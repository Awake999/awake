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OURCE MAP" sheetId="1" state="visible" r:id="rId1"/>
    <sheet xmlns:r="http://schemas.openxmlformats.org/officeDocument/2006/relationships" name="S1 0. WHY WE MISSED + METHOD" sheetId="2" state="visible" r:id="rId2"/>
    <sheet xmlns:r="http://schemas.openxmlformats.org/officeDocument/2006/relationships" name="S1 1. Geo Net (OOS CA-branch)" sheetId="3" state="visible" r:id="rId3"/>
    <sheet xmlns:r="http://schemas.openxmlformats.org/officeDocument/2006/relationships" name="S1 2. Nationwide CUs (LFCU-clas" sheetId="4" state="visible" r:id="rId4"/>
    <sheet xmlns:r="http://schemas.openxmlformats.org/officeDocument/2006/relationships" name="S1 3. Underwriter Rosters" sheetId="5" state="visible" r:id="rId5"/>
    <sheet xmlns:r="http://schemas.openxmlformats.org/officeDocument/2006/relationships" name="S1 4. Elan NO-GO Expansion" sheetId="6" state="visible" r:id="rId6"/>
    <sheet xmlns:r="http://schemas.openxmlformats.org/officeDocument/2006/relationships" name="S1 5. Disambiguation Watchlist" sheetId="7" state="visible" r:id="rId7"/>
    <sheet xmlns:r="http://schemas.openxmlformats.org/officeDocument/2006/relationships" name="S1 6. New GOLD Candidates (rank" sheetId="8" state="visible" r:id="rId8"/>
    <sheet xmlns:r="http://schemas.openxmlformats.org/officeDocument/2006/relationships" name="S2 Funding Table" sheetId="9" state="visible" r:id="rId9"/>
    <sheet xmlns:r="http://schemas.openxmlformats.org/officeDocument/2006/relationships" name="S2 Legend" sheetId="10" state="visible" r:id="rId10"/>
    <sheet xmlns:r="http://schemas.openxmlformats.org/officeDocument/2006/relationships" name="S3 Ranked - All Institutions" sheetId="11" state="visible" r:id="rId11"/>
    <sheet xmlns:r="http://schemas.openxmlformats.org/officeDocument/2006/relationships" name="S3 Self-Underwritten (Top Targe" sheetId="12" state="visible" r:id="rId12"/>
    <sheet xmlns:r="http://schemas.openxmlformats.org/officeDocument/2006/relationships" name="S3 SoCal Gold + CA-Accessible" sheetId="13" state="visible" r:id="rId13"/>
    <sheet xmlns:r="http://schemas.openxmlformats.org/officeDocument/2006/relationships" name="S3 Legend &amp; Scoring" sheetId="14" state="visible" r:id="rId14"/>
    <sheet xmlns:r="http://schemas.openxmlformats.org/officeDocument/2006/relationships" name="S4 1. Sprint List Draft" sheetId="15" state="visible" r:id="rId15"/>
    <sheet xmlns:r="http://schemas.openxmlformats.org/officeDocument/2006/relationships" name="S4 2. Full Master (164)" sheetId="16" state="visible" r:id="rId16"/>
    <sheet xmlns:r="http://schemas.openxmlformats.org/officeDocument/2006/relationships" name="S4 3. NO-GO List" sheetId="17" state="visible" r:id="rId17"/>
    <sheet xmlns:r="http://schemas.openxmlformats.org/officeDocument/2006/relationships" name="S4 4. Mentor Intel Reconciliati" sheetId="18" state="visible" r:id="rId18"/>
    <sheet xmlns:r="http://schemas.openxmlformats.org/officeDocument/2006/relationships" name="S4 5. Legend &amp; Method" sheetId="19" state="visible" r:id="rId19"/>
    <sheet xmlns:r="http://schemas.openxmlformats.org/officeDocument/2006/relationships" name="S5 0. GOLD Priority (EWS-Chex)" sheetId="20" state="visible" r:id="rId20"/>
    <sheet xmlns:r="http://schemas.openxmlformats.org/officeDocument/2006/relationships" name="S5 1. Side-by-Side (Bureau)" sheetId="21" state="visible" r:id="rId21"/>
    <sheet xmlns:r="http://schemas.openxmlformats.org/officeDocument/2006/relationships" name="S5 2. ADD to His List (ours)" sheetId="22" state="visible" r:id="rId22"/>
    <sheet xmlns:r="http://schemas.openxmlformats.org/officeDocument/2006/relationships" name="S5 3. ADD to Our List (his)" sheetId="23" state="visible" r:id="rId23"/>
    <sheet xmlns:r="http://schemas.openxmlformats.org/officeDocument/2006/relationships" name="S5 4. New SoCal Finds" sheetId="24" state="visible" r:id="rId24"/>
    <sheet xmlns:r="http://schemas.openxmlformats.org/officeDocument/2006/relationships" name="S5 5. EWS-Chex Reference" sheetId="25" state="visible" r:id="rId25"/>
    <sheet xmlns:r="http://schemas.openxmlformats.org/officeDocument/2006/relationships" name="S5 6. DP Log (dated+linked)" sheetId="26" state="visible" r:id="rId26"/>
    <sheet xmlns:r="http://schemas.openxmlformats.org/officeDocument/2006/relationships" name="S5 7. Strategy &amp; Enhancements" sheetId="27" state="visible" r:id="rId27"/>
    <sheet xmlns:r="http://schemas.openxmlformats.org/officeDocument/2006/relationships" name="S5 8. Conflicts &amp; Questions v2" sheetId="28" state="visible" r:id="rId28"/>
    <sheet xmlns:r="http://schemas.openxmlformats.org/officeDocument/2006/relationships" name="S5 9. FDIC SOD Bank Census" sheetId="29" state="visible" r:id="rId29"/>
    <sheet xmlns:r="http://schemas.openxmlformats.org/officeDocument/2006/relationships" name="S5 11. MASTER PULL LIST" sheetId="30" state="visible" r:id="rId30"/>
    <sheet xmlns:r="http://schemas.openxmlformats.org/officeDocument/2006/relationships" name="S5 10. NCUA CU Census" sheetId="31" state="visible" r:id="rId31"/>
    <sheet xmlns:r="http://schemas.openxmlformats.org/officeDocument/2006/relationships" name="S5 12. No-Doc Strategy" sheetId="32" state="visible" r:id="rId32"/>
    <sheet xmlns:r="http://schemas.openxmlformats.org/officeDocument/2006/relationships" name="S5 13. Verification Log" sheetId="33" state="visible" r:id="rId33"/>
    <sheet xmlns:r="http://schemas.openxmlformats.org/officeDocument/2006/relationships" name="S5 14. Why We Missed - Lessons" sheetId="34" state="visible" r:id="rId34"/>
  </sheets>
  <definedNames>
    <definedName name="_xlnm._FilterDatabase" localSheetId="8" hidden="1">'S2 Funding Table'!$A$1:$AG$1</definedName>
    <definedName name="_xlnm._FilterDatabase" localSheetId="10" hidden="1">'S3 Ranked - All Institutions'!$A$1:$AH$163</definedName>
    <definedName name="_xlnm._FilterDatabase" localSheetId="11" hidden="1">'S3 Self-Underwritten (Top Targe'!$A$1:$AH$50</definedName>
    <definedName name="_xlnm._FilterDatabase" localSheetId="12" hidden="1">'S3 SoCal Gold + CA-Accessible'!$A$1:$AH$65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FFFFFF"/>
      <sz val="11"/>
    </font>
    <font>
      <name val="Calibri"/>
      <b val="1"/>
      <color rgb="FFFFFFFF"/>
      <sz val="10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D4ED8"/>
      <sz val="10"/>
      <u val="single"/>
    </font>
    <font>
      <name val="Arial"/>
      <b val="1"/>
      <color theme="1"/>
      <sz val="10"/>
    </font>
    <font>
      <name val="Arial"/>
      <b val="1"/>
      <color rgb="FF4C1D95"/>
      <sz val="13"/>
    </font>
    <font>
      <name val="Arial"/>
      <b val="1"/>
      <color rgb="FF4C1D95"/>
      <sz val="11"/>
    </font>
    <font>
      <name val="Calibri"/>
      <b val="1"/>
      <color rgb="FFFFFFFF"/>
      <sz val="14"/>
      <scheme val="minor"/>
    </font>
    <font>
      <name val="Calibri"/>
      <i val="1"/>
      <color rgb="FFFFFFFF"/>
      <sz val="9"/>
      <scheme val="minor"/>
    </font>
    <font>
      <name val="Calibri"/>
      <b val="1"/>
      <color theme="1"/>
      <sz val="10"/>
      <scheme val="minor"/>
    </font>
    <font>
      <name val="Calibri"/>
      <color theme="1"/>
      <sz val="11"/>
      <scheme val="minor"/>
    </font>
    <font>
      <name val="Calibri"/>
      <color theme="1"/>
      <sz val="9"/>
      <scheme val="minor"/>
    </font>
    <font>
      <b val="1"/>
      <color rgb="00FFFFFF"/>
      <sz val="14"/>
    </font>
    <font>
      <i val="1"/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sz val="8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5B21B6"/>
      <sz val="11"/>
    </font>
    <font>
      <name val="Arial"/>
      <b val="1"/>
      <sz val="10"/>
    </font>
    <font>
      <name val="Arial"/>
      <sz val="10"/>
    </font>
    <font>
      <name val="Arial"/>
      <color rgb="006B7280"/>
      <sz val="9"/>
    </font>
    <font>
      <name val="Arial"/>
      <b val="1"/>
      <color rgb="00FFFFFF"/>
      <sz val="10"/>
    </font>
    <font>
      <name val="Arial"/>
      <color rgb="009CA3AF"/>
      <sz val="8"/>
    </font>
  </fonts>
  <fills count="7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FF1F4E78"/>
        <bgColor rgb="FF1F4E78"/>
      </patternFill>
    </fill>
    <fill>
      <patternFill patternType="solid">
        <fgColor rgb="FFFF0000"/>
        <bgColor rgb="FFFF0000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FFD966"/>
        <bgColor rgb="FFFFD966"/>
      </patternFill>
    </fill>
    <fill>
      <patternFill patternType="solid">
        <fgColor rgb="FFCCC0DA"/>
        <bgColor rgb="FFCCC0DA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4B183"/>
        <bgColor rgb="FFF4B183"/>
      </patternFill>
    </fill>
    <fill>
      <patternFill patternType="solid">
        <fgColor rgb="FFE6B8AF"/>
        <bgColor rgb="FFE6B8AF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4C1D95"/>
        <bgColor rgb="FF4C1D95"/>
      </patternFill>
    </fill>
    <fill>
      <patternFill patternType="solid">
        <fgColor rgb="FFDDD6FE"/>
        <bgColor rgb="FFDDD6FE"/>
      </patternFill>
    </fill>
    <fill>
      <patternFill patternType="solid">
        <fgColor rgb="FFD1FAE5"/>
        <bgColor rgb="FFD1FAE5"/>
      </patternFill>
    </fill>
    <fill>
      <patternFill patternType="solid">
        <fgColor rgb="FFCFFAFE"/>
        <bgColor rgb="FFCFFAFE"/>
      </patternFill>
    </fill>
    <fill>
      <patternFill patternType="solid">
        <fgColor rgb="FFC6F6D5"/>
        <bgColor rgb="FFC6F6D5"/>
      </patternFill>
    </fill>
    <fill>
      <patternFill patternType="solid">
        <fgColor rgb="FFEDE9FE"/>
        <bgColor rgb="FFEDE9FE"/>
      </patternFill>
    </fill>
    <fill>
      <patternFill patternType="solid">
        <fgColor rgb="FFE5E7EB"/>
        <bgColor rgb="FFE5E7EB"/>
      </patternFill>
    </fill>
    <fill>
      <patternFill patternType="solid">
        <fgColor rgb="FFFBBF24"/>
        <bgColor rgb="FFFBBF24"/>
      </patternFill>
    </fill>
    <fill>
      <patternFill patternType="solid">
        <fgColor rgb="FFE0E7FF"/>
        <bgColor rgb="FFE0E7FF"/>
      </patternFill>
    </fill>
    <fill>
      <patternFill patternType="solid">
        <fgColor rgb="FFFDE68A"/>
        <bgColor rgb="FFFDE68A"/>
      </patternFill>
    </fill>
    <fill>
      <patternFill patternType="solid">
        <fgColor rgb="FFFEF3C7"/>
        <bgColor rgb="FFFEF3C7"/>
      </patternFill>
    </fill>
    <fill>
      <patternFill patternType="solid">
        <fgColor rgb="FFE06666"/>
        <bgColor rgb="FFE06666"/>
      </patternFill>
    </fill>
    <fill>
      <patternFill patternType="solid">
        <fgColor rgb="FFFED7AA"/>
        <bgColor rgb="FFFED7AA"/>
      </patternFill>
    </fill>
    <fill>
      <patternFill patternType="solid">
        <fgColor rgb="FFFBCFE8"/>
        <bgColor rgb="FFFBCFE8"/>
      </patternFill>
    </fill>
    <fill>
      <patternFill patternType="solid">
        <fgColor rgb="FFF3F4F6"/>
        <bgColor rgb="FFF3F4F6"/>
      </patternFill>
    </fill>
    <fill>
      <patternFill patternType="solid">
        <fgColor rgb="FFFECACA"/>
        <bgColor rgb="FFFECACA"/>
      </patternFill>
    </fill>
    <fill>
      <patternFill patternType="solid">
        <fgColor rgb="FFFCE7F3"/>
        <bgColor rgb="FFFCE7F3"/>
      </patternFill>
    </fill>
    <fill>
      <patternFill patternType="solid">
        <fgColor rgb="FFD9F99D"/>
        <bgColor rgb="FFD9F99D"/>
      </patternFill>
    </fill>
    <fill>
      <patternFill patternType="solid">
        <fgColor rgb="FF99F6E4"/>
        <bgColor rgb="FF99F6E4"/>
      </patternFill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rgb="FFFFEB9C"/>
        <bgColor rgb="FFFFEB9C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4DFEC"/>
      </patternFill>
    </fill>
    <fill>
      <patternFill patternType="solid">
        <fgColor rgb="00C00000"/>
      </patternFill>
    </fill>
    <fill>
      <patternFill patternType="solid">
        <fgColor rgb="000F0A1E"/>
      </patternFill>
    </fill>
    <fill>
      <patternFill patternType="solid">
        <fgColor rgb="00DDD6FE"/>
      </patternFill>
    </fill>
    <fill>
      <patternFill patternType="solid">
        <fgColor rgb="00FBCFE8"/>
      </patternFill>
    </fill>
    <fill>
      <patternFill patternType="solid">
        <fgColor rgb="00A7F3D0"/>
      </patternFill>
    </fill>
    <fill>
      <patternFill patternType="solid">
        <fgColor rgb="00BAE6FD"/>
      </patternFill>
    </fill>
    <fill>
      <patternFill patternType="solid">
        <fgColor rgb="00FDE68A"/>
      </patternFill>
    </fill>
    <fill>
      <patternFill patternType="solid">
        <fgColor rgb="005B21B6"/>
      </patternFill>
    </fill>
  </fills>
  <borders count="1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/>
    </border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25" fillId="65" borderId="0" pivotButton="0" quotePrefix="0" xfId="0"/>
    <xf numFmtId="0" fontId="26" fillId="0" borderId="0" applyAlignment="1" pivotButton="0" quotePrefix="0" xfId="0">
      <alignment vertical="top" wrapText="1"/>
    </xf>
    <xf numFmtId="0" fontId="27" fillId="0" borderId="0" pivotButton="0" quotePrefix="0" xfId="0"/>
    <xf numFmtId="0" fontId="28" fillId="66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8" fillId="67" borderId="0" pivotButton="0" quotePrefix="0" xfId="0"/>
    <xf numFmtId="0" fontId="28" fillId="68" borderId="0" pivotButton="0" quotePrefix="0" xfId="0"/>
    <xf numFmtId="0" fontId="28" fillId="69" borderId="0" pivotButton="0" quotePrefix="0" xfId="0"/>
    <xf numFmtId="0" fontId="28" fillId="70" borderId="0" pivotButton="0" quotePrefix="0" xfId="0"/>
    <xf numFmtId="0" fontId="31" fillId="71" borderId="0" applyAlignment="1" pivotButton="0" quotePrefix="0" xfId="0">
      <alignment vertical="center"/>
    </xf>
    <xf numFmtId="0" fontId="28" fillId="0" borderId="0" pivotButton="0" quotePrefix="0" xfId="0"/>
    <xf numFmtId="0" fontId="29" fillId="66" borderId="0" pivotButton="0" quotePrefix="0" xfId="0"/>
    <xf numFmtId="0" fontId="32" fillId="0" borderId="0" pivotButton="0" quotePrefix="0" xfId="0"/>
    <xf numFmtId="0" fontId="29" fillId="67" borderId="0" pivotButton="0" quotePrefix="0" xfId="0"/>
    <xf numFmtId="0" fontId="29" fillId="68" borderId="0" pivotButton="0" quotePrefix="0" xfId="0"/>
    <xf numFmtId="0" fontId="29" fillId="69" borderId="0" pivotButton="0" quotePrefix="0" xfId="0"/>
    <xf numFmtId="0" fontId="29" fillId="7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7" borderId="2" applyAlignment="1" pivotButton="0" quotePrefix="0" xfId="0">
      <alignment vertical="center" wrapText="1"/>
    </xf>
    <xf numFmtId="0" fontId="4" fillId="7" borderId="3" applyAlignment="1" pivotButton="0" quotePrefix="0" xfId="0">
      <alignment vertical="center" wrapText="1"/>
    </xf>
    <xf numFmtId="0" fontId="5" fillId="0" borderId="3" pivotButton="0" quotePrefix="0" xfId="0"/>
    <xf numFmtId="0" fontId="6" fillId="8" borderId="2" pivotButton="0" quotePrefix="0" xfId="0"/>
    <xf numFmtId="0" fontId="7" fillId="9" borderId="2" pivotButton="0" quotePrefix="0" xfId="0"/>
    <xf numFmtId="0" fontId="7" fillId="10" borderId="2" pivotButton="0" quotePrefix="0" xfId="0"/>
    <xf numFmtId="0" fontId="7" fillId="11" borderId="2" pivotButton="0" quotePrefix="0" xfId="0"/>
    <xf numFmtId="0" fontId="6" fillId="12" borderId="2" pivotButton="0" quotePrefix="0" xfId="0"/>
    <xf numFmtId="0" fontId="7" fillId="13" borderId="2" pivotButton="0" quotePrefix="0" xfId="0"/>
    <xf numFmtId="0" fontId="6" fillId="14" borderId="2" pivotButton="0" quotePrefix="0" xfId="0"/>
    <xf numFmtId="0" fontId="7" fillId="14" borderId="2" pivotButton="0" quotePrefix="0" xfId="0"/>
    <xf numFmtId="0" fontId="7" fillId="15" borderId="2" pivotButton="0" quotePrefix="0" xfId="0"/>
    <xf numFmtId="0" fontId="6" fillId="16" borderId="2" pivotButton="0" quotePrefix="0" xfId="0"/>
    <xf numFmtId="0" fontId="7" fillId="16" borderId="2" pivotButton="0" quotePrefix="0" xfId="0"/>
    <xf numFmtId="0" fontId="6" fillId="10" borderId="2" pivotButton="0" quotePrefix="0" xfId="0"/>
    <xf numFmtId="0" fontId="7" fillId="17" borderId="2" pivotButton="0" quotePrefix="0" xfId="0"/>
    <xf numFmtId="0" fontId="7" fillId="18" borderId="2" pivotButton="0" quotePrefix="0" xfId="0"/>
    <xf numFmtId="0" fontId="7" fillId="19" borderId="2" pivotButton="0" quotePrefix="0" xfId="0"/>
    <xf numFmtId="0" fontId="7" fillId="20" borderId="2" pivotButton="0" quotePrefix="0" xfId="0"/>
    <xf numFmtId="0" fontId="6" fillId="21" borderId="2" pivotButton="0" quotePrefix="0" xfId="0"/>
    <xf numFmtId="0" fontId="7" fillId="21" borderId="2" pivotButton="0" quotePrefix="0" xfId="0"/>
    <xf numFmtId="0" fontId="7" fillId="22" borderId="2" pivotButton="0" quotePrefix="0" xfId="0"/>
    <xf numFmtId="0" fontId="7" fillId="23" borderId="2" pivotButton="0" quotePrefix="0" xfId="0"/>
    <xf numFmtId="0" fontId="7" fillId="24" borderId="2" pivotButton="0" quotePrefix="0" xfId="0"/>
    <xf numFmtId="0" fontId="7" fillId="25" borderId="2" pivotButton="0" quotePrefix="0" xfId="0"/>
    <xf numFmtId="0" fontId="6" fillId="26" borderId="2" pivotButton="0" quotePrefix="0" xfId="0"/>
    <xf numFmtId="0" fontId="7" fillId="26" borderId="2" pivotButton="0" quotePrefix="0" xfId="0"/>
    <xf numFmtId="0" fontId="6" fillId="0" borderId="3" pivotButton="0" quotePrefix="0" xfId="0"/>
    <xf numFmtId="0" fontId="8" fillId="27" borderId="4" applyAlignment="1" pivotButton="0" quotePrefix="0" xfId="0">
      <alignment horizontal="center" vertical="top" wrapText="1"/>
    </xf>
    <xf numFmtId="0" fontId="9" fillId="0" borderId="4" applyAlignment="1" pivotButton="0" quotePrefix="0" xfId="0">
      <alignment horizontal="center" vertical="top" wrapText="1"/>
    </xf>
    <xf numFmtId="0" fontId="9" fillId="28" borderId="4" applyAlignment="1" pivotButton="0" quotePrefix="0" xfId="0">
      <alignment vertical="top" wrapText="1"/>
    </xf>
    <xf numFmtId="0" fontId="9" fillId="29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9" fillId="30" borderId="4" applyAlignment="1" pivotButton="0" quotePrefix="0" xfId="0">
      <alignment horizontal="center" vertical="top" wrapText="1"/>
    </xf>
    <xf numFmtId="0" fontId="9" fillId="31" borderId="4" applyAlignment="1" pivotButton="0" quotePrefix="0" xfId="0">
      <alignment vertical="top" wrapText="1"/>
    </xf>
    <xf numFmtId="0" fontId="9" fillId="32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9" fillId="31" borderId="4" applyAlignment="1" pivotButton="0" quotePrefix="0" xfId="0">
      <alignment horizontal="center" vertical="top" wrapText="1"/>
    </xf>
    <xf numFmtId="0" fontId="9" fillId="29" borderId="4" applyAlignment="1" pivotButton="0" quotePrefix="0" xfId="0">
      <alignment horizontal="center" vertical="top" wrapText="1"/>
    </xf>
    <xf numFmtId="0" fontId="9" fillId="33" borderId="4" applyAlignment="1" pivotButton="0" quotePrefix="0" xfId="0">
      <alignment horizontal="center" vertical="top" wrapText="1"/>
    </xf>
    <xf numFmtId="0" fontId="11" fillId="34" borderId="4" applyAlignment="1" pivotButton="0" quotePrefix="0" xfId="0">
      <alignment vertical="top" wrapText="1"/>
    </xf>
    <xf numFmtId="0" fontId="9" fillId="35" borderId="4" applyAlignment="1" pivotButton="0" quotePrefix="0" xfId="0">
      <alignment horizontal="center" vertical="top" wrapText="1"/>
    </xf>
    <xf numFmtId="0" fontId="9" fillId="36" borderId="4" applyAlignment="1" pivotButton="0" quotePrefix="0" xfId="0">
      <alignment horizontal="center" vertical="top" wrapText="1"/>
    </xf>
    <xf numFmtId="0" fontId="9" fillId="8" borderId="4" applyAlignment="1" pivotButton="0" quotePrefix="0" xfId="0">
      <alignment horizontal="center" vertical="top" wrapText="1"/>
    </xf>
    <xf numFmtId="0" fontId="9" fillId="37" borderId="4" applyAlignment="1" pivotButton="0" quotePrefix="0" xfId="0">
      <alignment vertical="top" wrapText="1"/>
    </xf>
    <xf numFmtId="0" fontId="9" fillId="8" borderId="4" applyAlignment="1" pivotButton="0" quotePrefix="0" xfId="0">
      <alignment vertical="top" wrapText="1"/>
    </xf>
    <xf numFmtId="0" fontId="9" fillId="36" borderId="4" applyAlignment="1" pivotButton="0" quotePrefix="0" xfId="0">
      <alignment vertical="top" wrapText="1"/>
    </xf>
    <xf numFmtId="0" fontId="9" fillId="38" borderId="4" applyAlignment="1" pivotButton="0" quotePrefix="0" xfId="0">
      <alignment horizontal="center" vertical="top" wrapText="1"/>
    </xf>
    <xf numFmtId="0" fontId="9" fillId="38" borderId="4" applyAlignment="1" pivotButton="0" quotePrefix="0" xfId="0">
      <alignment vertical="top" wrapText="1"/>
    </xf>
    <xf numFmtId="0" fontId="9" fillId="39" borderId="4" applyAlignment="1" pivotButton="0" quotePrefix="0" xfId="0">
      <alignment vertical="top" wrapText="1"/>
    </xf>
    <xf numFmtId="0" fontId="9" fillId="40" borderId="4" applyAlignment="1" pivotButton="0" quotePrefix="0" xfId="0">
      <alignment vertical="top" wrapText="1"/>
    </xf>
    <xf numFmtId="0" fontId="9" fillId="33" borderId="4" applyAlignment="1" pivotButton="0" quotePrefix="0" xfId="0">
      <alignment vertical="top" wrapText="1"/>
    </xf>
    <xf numFmtId="0" fontId="9" fillId="41" borderId="4" applyAlignment="1" pivotButton="0" quotePrefix="0" xfId="0">
      <alignment vertical="top" wrapText="1"/>
    </xf>
    <xf numFmtId="0" fontId="9" fillId="42" borderId="4" applyAlignment="1" pivotButton="0" quotePrefix="0" xfId="0">
      <alignment horizontal="center" vertical="top" wrapText="1"/>
    </xf>
    <xf numFmtId="0" fontId="9" fillId="42" borderId="4" applyAlignment="1" pivotButton="0" quotePrefix="0" xfId="0">
      <alignment vertical="top" wrapText="1"/>
    </xf>
    <xf numFmtId="0" fontId="9" fillId="43" borderId="4" applyAlignment="1" pivotButton="0" quotePrefix="0" xfId="0">
      <alignment horizontal="center" vertical="top" wrapText="1"/>
    </xf>
    <xf numFmtId="0" fontId="9" fillId="44" borderId="4" applyAlignment="1" pivotButton="0" quotePrefix="0" xfId="0">
      <alignment vertical="top" wrapText="1"/>
    </xf>
    <xf numFmtId="0" fontId="9" fillId="45" borderId="4" applyAlignment="1" pivotButton="0" quotePrefix="0" xfId="0">
      <alignment vertical="top" wrapText="1"/>
    </xf>
    <xf numFmtId="0" fontId="12" fillId="0" borderId="3" pivotButton="0" quotePrefix="0" xfId="0"/>
    <xf numFmtId="0" fontId="13" fillId="0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11" fillId="0" borderId="3" applyAlignment="1" pivotButton="0" quotePrefix="0" xfId="0">
      <alignment vertical="top" wrapText="1"/>
    </xf>
    <xf numFmtId="0" fontId="14" fillId="46" borderId="2" applyAlignment="1" pivotButton="0" quotePrefix="0" xfId="0">
      <alignment horizontal="center" vertical="center" wrapText="1"/>
    </xf>
    <xf numFmtId="0" fontId="15" fillId="47" borderId="2" applyAlignment="1" pivotButton="0" quotePrefix="0" xfId="0">
      <alignment horizontal="center" vertical="center" wrapText="1"/>
    </xf>
    <xf numFmtId="0" fontId="4" fillId="47" borderId="5" applyAlignment="1" pivotButton="0" quotePrefix="0" xfId="0">
      <alignment horizontal="center" vertical="center" wrapText="1"/>
    </xf>
    <xf numFmtId="0" fontId="16" fillId="48" borderId="5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18" fillId="0" borderId="5" applyAlignment="1" pivotButton="0" quotePrefix="0" xfId="0">
      <alignment vertical="top" wrapText="1"/>
    </xf>
    <xf numFmtId="0" fontId="18" fillId="48" borderId="5" applyAlignment="1" pivotButton="0" quotePrefix="0" xfId="0">
      <alignment vertical="top" wrapText="1"/>
    </xf>
    <xf numFmtId="0" fontId="16" fillId="49" borderId="5" applyAlignment="1" pivotButton="0" quotePrefix="0" xfId="0">
      <alignment vertical="center"/>
    </xf>
    <xf numFmtId="0" fontId="16" fillId="50" borderId="5" applyAlignment="1" pivotButton="0" quotePrefix="0" xfId="0">
      <alignment vertical="center"/>
    </xf>
    <xf numFmtId="0" fontId="16" fillId="26" borderId="5" applyAlignment="1" pivotButton="0" quotePrefix="0" xfId="0">
      <alignment vertical="center"/>
    </xf>
    <xf numFmtId="0" fontId="16" fillId="51" borderId="5" applyAlignment="1" pivotButton="0" quotePrefix="0" xfId="0">
      <alignment vertical="center"/>
    </xf>
    <xf numFmtId="0" fontId="18" fillId="51" borderId="5" applyAlignment="1" pivotButton="0" quotePrefix="0" xfId="0">
      <alignment vertical="top" wrapText="1"/>
    </xf>
    <xf numFmtId="0" fontId="18" fillId="8" borderId="5" applyAlignment="1" pivotButton="0" quotePrefix="0" xfId="0">
      <alignment vertical="top" wrapText="1"/>
    </xf>
    <xf numFmtId="0" fontId="18" fillId="12" borderId="5" applyAlignment="1" pivotButton="0" quotePrefix="0" xfId="0">
      <alignment vertical="top" wrapText="1"/>
    </xf>
    <xf numFmtId="0" fontId="4" fillId="52" borderId="5" applyAlignment="1" pivotButton="0" quotePrefix="0" xfId="0">
      <alignment horizontal="center" vertical="center" wrapText="1"/>
    </xf>
    <xf numFmtId="0" fontId="16" fillId="51" borderId="5" applyAlignment="1" pivotButton="0" quotePrefix="0" xfId="0">
      <alignment vertical="top" wrapText="1"/>
    </xf>
    <xf numFmtId="0" fontId="7" fillId="51" borderId="5" applyAlignment="1" pivotButton="0" quotePrefix="0" xfId="0">
      <alignment vertical="top" wrapText="1"/>
    </xf>
    <xf numFmtId="0" fontId="16" fillId="26" borderId="5" applyAlignment="1" pivotButton="0" quotePrefix="0" xfId="0">
      <alignment vertical="top" wrapText="1"/>
    </xf>
    <xf numFmtId="0" fontId="7" fillId="26" borderId="5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18" fillId="53" borderId="5" applyAlignment="1" pivotButton="0" quotePrefix="0" xfId="0">
      <alignment vertical="top" wrapText="1"/>
    </xf>
    <xf numFmtId="0" fontId="16" fillId="49" borderId="5" applyAlignment="1" pivotButton="0" quotePrefix="0" xfId="0">
      <alignment vertical="top" wrapText="1"/>
    </xf>
    <xf numFmtId="0" fontId="19" fillId="54" borderId="0" applyAlignment="1" pivotButton="0" quotePrefix="0" xfId="0">
      <alignment horizontal="center" vertical="center" wrapText="1"/>
    </xf>
    <xf numFmtId="0" fontId="20" fillId="55" borderId="0" applyAlignment="1" pivotButton="0" quotePrefix="0" xfId="0">
      <alignment horizontal="center" vertical="center" wrapText="1"/>
    </xf>
    <xf numFmtId="0" fontId="21" fillId="55" borderId="12" applyAlignment="1" pivotButton="0" quotePrefix="0" xfId="0">
      <alignment horizontal="center" vertical="center" wrapText="1"/>
    </xf>
    <xf numFmtId="0" fontId="22" fillId="56" borderId="12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23" fillId="56" borderId="12" applyAlignment="1" pivotButton="0" quotePrefix="0" xfId="0">
      <alignment vertical="top" wrapText="1"/>
    </xf>
    <xf numFmtId="0" fontId="22" fillId="0" borderId="12" applyAlignment="1" pivotButton="0" quotePrefix="0" xfId="0">
      <alignment vertical="top" wrapText="1"/>
    </xf>
    <xf numFmtId="0" fontId="23" fillId="0" borderId="12" applyAlignment="1" pivotButton="0" quotePrefix="0" xfId="0">
      <alignment vertical="top" wrapText="1"/>
    </xf>
    <xf numFmtId="0" fontId="22" fillId="57" borderId="12" applyAlignment="1" pivotButton="0" quotePrefix="0" xfId="0">
      <alignment vertical="center"/>
    </xf>
    <xf numFmtId="0" fontId="23" fillId="57" borderId="12" applyAlignment="1" pivotButton="0" quotePrefix="0" xfId="0">
      <alignment vertical="top" wrapText="1"/>
    </xf>
    <xf numFmtId="0" fontId="22" fillId="58" borderId="12" applyAlignment="1" pivotButton="0" quotePrefix="0" xfId="0">
      <alignment vertical="center"/>
    </xf>
    <xf numFmtId="0" fontId="23" fillId="58" borderId="12" applyAlignment="1" pivotButton="0" quotePrefix="0" xfId="0">
      <alignment vertical="top" wrapText="1"/>
    </xf>
    <xf numFmtId="0" fontId="22" fillId="59" borderId="12" applyAlignment="1" pivotButton="0" quotePrefix="0" xfId="0">
      <alignment vertical="center"/>
    </xf>
    <xf numFmtId="0" fontId="23" fillId="59" borderId="12" applyAlignment="1" pivotButton="0" quotePrefix="0" xfId="0">
      <alignment vertical="top" wrapText="1"/>
    </xf>
    <xf numFmtId="0" fontId="22" fillId="60" borderId="12" applyAlignment="1" pivotButton="0" quotePrefix="0" xfId="0">
      <alignment vertical="center"/>
    </xf>
    <xf numFmtId="0" fontId="23" fillId="61" borderId="12" applyAlignment="1" pivotButton="0" quotePrefix="0" xfId="0">
      <alignment vertical="top" wrapText="1"/>
    </xf>
    <xf numFmtId="0" fontId="22" fillId="61" borderId="12" applyAlignment="1" pivotButton="0" quotePrefix="0" xfId="0">
      <alignment vertical="center"/>
    </xf>
    <xf numFmtId="0" fontId="23" fillId="62" borderId="12" applyAlignment="1" pivotButton="0" quotePrefix="0" xfId="0">
      <alignment vertical="top" wrapText="1"/>
    </xf>
    <xf numFmtId="0" fontId="22" fillId="6" borderId="12" applyAlignment="1" pivotButton="0" quotePrefix="0" xfId="0">
      <alignment vertical="center"/>
    </xf>
    <xf numFmtId="0" fontId="22" fillId="63" borderId="12" applyAlignment="1" pivotButton="0" quotePrefix="0" xfId="0">
      <alignment vertical="center"/>
    </xf>
    <xf numFmtId="0" fontId="22" fillId="62" borderId="0" applyAlignment="1" pivotButton="0" quotePrefix="0" xfId="0">
      <alignment vertical="top" wrapText="1"/>
    </xf>
    <xf numFmtId="0" fontId="22" fillId="60" borderId="12" pivotButton="0" quotePrefix="0" xfId="0"/>
    <xf numFmtId="0" fontId="23" fillId="62" borderId="0" applyAlignment="1" pivotButton="0" quotePrefix="0" xfId="0">
      <alignment vertical="top" wrapText="1"/>
    </xf>
    <xf numFmtId="0" fontId="23" fillId="57" borderId="0" applyAlignment="1" pivotButton="0" quotePrefix="0" xfId="0">
      <alignment vertical="top" wrapText="1"/>
    </xf>
    <xf numFmtId="0" fontId="23" fillId="6" borderId="12" applyAlignment="1" pivotButton="0" quotePrefix="0" xfId="0">
      <alignment vertical="top" wrapText="1"/>
    </xf>
    <xf numFmtId="0" fontId="23" fillId="60" borderId="0" applyAlignment="1" pivotButton="0" quotePrefix="0" xfId="0">
      <alignment vertical="top" wrapText="1"/>
    </xf>
    <xf numFmtId="0" fontId="22" fillId="56" borderId="12" applyAlignment="1" pivotButton="0" quotePrefix="0" xfId="0">
      <alignment vertical="top" wrapText="1"/>
    </xf>
    <xf numFmtId="0" fontId="22" fillId="60" borderId="12" applyAlignment="1" pivotButton="0" quotePrefix="0" xfId="0">
      <alignment vertical="top" wrapText="1"/>
    </xf>
    <xf numFmtId="0" fontId="21" fillId="64" borderId="12" applyAlignment="1" pivotButton="0" quotePrefix="0" xfId="0">
      <alignment horizontal="center" vertical="center" wrapText="1"/>
    </xf>
    <xf numFmtId="0" fontId="23" fillId="60" borderId="12" applyAlignment="1" pivotButton="0" quotePrefix="0" xfId="0">
      <alignment vertical="top" wrapText="1"/>
    </xf>
    <xf numFmtId="0" fontId="22" fillId="56" borderId="12" pivotButton="0" quotePrefix="0" xfId="0"/>
    <xf numFmtId="0" fontId="24" fillId="0" borderId="12" applyAlignment="1" pivotButton="0" quotePrefix="0" xfId="0">
      <alignment vertical="top" wrapText="1"/>
    </xf>
    <xf numFmtId="0" fontId="24" fillId="56" borderId="12" applyAlignment="1" pivotButton="0" quotePrefix="0" xfId="0">
      <alignment vertical="top" wrapText="1"/>
    </xf>
    <xf numFmtId="0" fontId="24" fillId="59" borderId="12" applyAlignment="1" pivotButton="0" quotePrefix="0" xfId="0">
      <alignment vertical="top" wrapText="1"/>
    </xf>
    <xf numFmtId="0" fontId="22" fillId="57" borderId="12" pivotButton="0" quotePrefix="0" xfId="0"/>
    <xf numFmtId="0" fontId="22" fillId="59" borderId="12" pivotButton="0" quotePrefix="0" xfId="0"/>
    <xf numFmtId="0" fontId="22" fillId="58" borderId="12" pivotButton="0" quotePrefix="0" xfId="0"/>
    <xf numFmtId="0" fontId="22" fillId="62" borderId="1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omments/comment1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S1 = GOLD Discovery Method
File: CA_Banklist__GOLD_Discovery__Method__06_09_2026.xlsx
Original tab: 0. WHY WE MISSED + METHOD
Date: 2026-06-09
Size: 19x1</t>
      </text>
    </comment>
  </commentList>
</comments>
</file>

<file path=xl/comments/comment2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S1 = GOLD Discovery Method
File: CA_Banklist__GOLD_Discovery__Method__06_09_2026.xlsx
Original tab: 1. Geo Net (OOS CA-branch)
Date: 2026-06-09
Size: 60x7</t>
      </text>
    </comment>
  </commentList>
</comments>
</file>

<file path=xl/comments/comment3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S1 = GOLD Discovery Method
File: CA_Banklist__GOLD_Discovery__Method__06_09_2026.xlsx
Original tab: 2. Nationwide CUs (LFCU-class)
Date: 2026-06-09
Size: 12x10</t>
      </text>
    </comment>
  </commentList>
</comments>
</file>

<file path=xl/comments/comment4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S1 = GOLD Discovery Method
File: CA_Banklist__GOLD_Discovery__Method__06_09_2026.xlsx
Original tab: 3. Underwriter Rosters
Date: 2026-06-09
Size: 10x7</t>
      </text>
    </comment>
  </commentList>
</comments>
</file>

<file path=xl/comments/comment5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S1 = GOLD Discovery Method
File: CA_Banklist__GOLD_Discovery__Method__06_09_2026.xlsx
Original tab: 4. Elan NO-GO Expansion
Date: 2026-06-09
Size: 12x5</t>
      </text>
    </comment>
  </commentList>
</comments>
</file>

<file path=xl/comments/comment6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S1 = GOLD Discovery Method
File: CA_Banklist__GOLD_Discovery__Method__06_09_2026.xlsx
Original tab: 5. Disambiguation Watchlist
Date: 2026-06-09
Size: 7x4</t>
      </text>
    </comment>
  </commentList>
</comments>
</file>

<file path=xl/comments/comment7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S1 = GOLD Discovery Method
File: CA_Banklist__GOLD_Discovery__Method__06_09_2026.xlsx
Original tab: 6. New GOLD Candidates (ranked)
Date: 2026-06-09
Size: 11x12</t>
      </text>
    </comment>
  </commentList>
</comments>
</file>

<file path=xl/comments/comment8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S2 = Code c2 v3 (CA Banklist)
File: Code_c2_v3__CA_Banklist.xlsx
Original tab: Funding Table
Date: 2026-05-29
Size: 165x34</t>
      </text>
    </comment>
  </commentList>
</comments>
</file>

<file path=xl/comments/comment9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S2 = Code c2 v3 (CA Banklist)
File: Code_c2_v3__CA_Banklist.xlsx
Original tab: Legend
Date: 2026-05-29
Size: 43x1</t>
      </text>
    </comment>
  </commentList>
</comments>
</file>

<file path=xl/comments/comment10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S3 = CA Banklist CW v4
File: CA_Banklist_CW_v4_05_29_2026.xlsx
Original tab: Ranked - All Institutions
Date: 2026-05-29
Size: 163x34</t>
      </text>
    </comment>
  </commentList>
</comments>
</file>

<file path=xl/comments/comment11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S3 = CA Banklist CW v4
File: CA_Banklist_CW_v4_05_29_2026.xlsx
Original tab: Self-Underwritten (Top Targets)
Date: 2026-05-29
Size: 50x34</t>
      </text>
    </comment>
  </commentList>
</comments>
</file>

<file path=xl/comments/comment12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S3 = CA Banklist CW v4
File: CA_Banklist_CW_v4_05_29_2026.xlsx
Original tab: SoCal Gold + CA-Accessible
Date: 2026-05-29
Size: 65x34</t>
      </text>
    </comment>
  </commentList>
</comments>
</file>

<file path=xl/comments/comment13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S3 = CA Banklist CW v4
File: CA_Banklist_CW_v4_05_29_2026.xlsx
Original tab: Legend &amp; Scoring
Date: 2026-05-29
Size: 39x2</t>
      </text>
    </comment>
  </commentList>
</comments>
</file>

<file path=xl/comments/comment14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S4 = Sprint CD c3 v1
File: CA_Banklist__Sprint__CD_c3_v1__05_29_2026.xlsx
Original tab: 1. Sprint List Draft
Date: 2026-05-29
Size: 45x18</t>
      </text>
    </comment>
  </commentList>
</comments>
</file>

<file path=xl/comments/comment15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S4 = Sprint CD c3 v1
File: CA_Banklist__Sprint__CD_c3_v1__05_29_2026.xlsx
Original tab: 2. Full Master (164)
Date: 2026-05-29
Size: 167x33</t>
      </text>
    </comment>
  </commentList>
</comments>
</file>

<file path=xl/comments/comment16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S4 = Sprint CD c3 v1
File: CA_Banklist__Sprint__CD_c3_v1__05_29_2026.xlsx
Original tab: 3. NO-GO List
Date: 2026-05-29
Size: 21x3</t>
      </text>
    </comment>
  </commentList>
</comments>
</file>

<file path=xl/comments/comment17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S4 = Sprint CD c3 v1
File: CA_Banklist__Sprint__CD_c3_v1__05_29_2026.xlsx
Original tab: 4. Mentor Intel Reconciliation
Date: 2026-05-29
Size: 24x5</t>
      </text>
    </comment>
  </commentList>
</comments>
</file>

<file path=xl/comments/comment18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S4 = Sprint CD c3 v1
File: CA_Banklist__Sprint__CD_c3_v1__05_29_2026.xlsx
Original tab: 5. Legend &amp; Method
Date: 2026-05-29
Size: 21x2</t>
      </text>
    </comment>
  </commentList>
</comments>
</file>

<file path=xl/comments/comment19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0. GOLD Priority (EWS-Chex)
Date: 2026-06-09
Size: 43x6</t>
      </text>
    </comment>
  </commentList>
</comments>
</file>

<file path=xl/comments/comment20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1. Side-by-Side (Bureau)
Date: 2026-06-09
Size: 24x16</t>
      </text>
    </comment>
  </commentList>
</comments>
</file>

<file path=xl/comments/comment21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2. ADD to His List (ours)
Date: 2026-06-09
Size: 22x11</t>
      </text>
    </comment>
  </commentList>
</comments>
</file>

<file path=xl/comments/comment22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3. ADD to Our List (his)
Date: 2026-06-09
Size: 9x5</t>
      </text>
    </comment>
  </commentList>
</comments>
</file>

<file path=xl/comments/comment23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4. New SoCal Finds
Date: 2026-06-09
Size: 23x12</t>
      </text>
    </comment>
  </commentList>
</comments>
</file>

<file path=xl/comments/comment24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5. EWS-Chex Reference
Date: 2026-06-09
Size: 34x5</t>
      </text>
    </comment>
  </commentList>
</comments>
</file>

<file path=xl/comments/comment25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6. DP Log (dated+linked)
Date: 2026-06-09
Size: 91x6</t>
      </text>
    </comment>
  </commentList>
</comments>
</file>

<file path=xl/comments/comment26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7. Strategy &amp; Enhancements
Date: 2026-06-09
Size: 11x2</t>
      </text>
    </comment>
  </commentList>
</comments>
</file>

<file path=xl/comments/comment27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8. Conflicts &amp; Questions v2
Date: 2026-06-09
Size: 19x4</t>
      </text>
    </comment>
  </commentList>
</comments>
</file>

<file path=xl/comments/comment28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9. FDIC SOD Bank Census
Date: 2026-06-09
Size: 117x8</t>
      </text>
    </comment>
  </commentList>
</comments>
</file>

<file path=xl/comments/comment29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11. MASTER PULL LIST
Date: 2026-06-09
Size: 265x22</t>
      </text>
    </comment>
  </commentList>
</comments>
</file>

<file path=xl/comments/comment30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10. NCUA CU Census
Date: 2026-06-09
Size: 144x7</t>
      </text>
    </comment>
  </commentList>
</comments>
</file>

<file path=xl/comments/comment31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12. No-Doc Strategy
Date: 2026-06-09
Size: 7x2</t>
      </text>
    </comment>
  </commentList>
</comments>
</file>

<file path=xl/comments/comment32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13. Verification Log
Date: 2026-06-09
Size: 17x4</t>
      </text>
    </comment>
  </commentList>
</comments>
</file>

<file path=xl/comments/comment33.xml><?xml version="1.0" encoding="utf-8"?>
<comments xmlns="http://schemas.openxmlformats.org/spreadsheetml/2006/main">
  <authors>
    <author>SOURCE MAP</author>
  </authors>
  <commentList>
    <comment ref="A1" authorId="0" shapeId="0">
      <text>
        <t>SOURCE PROVENANCE
From: S5 = SoCal Mentor Crosswalk EWS/Chex v4 MASTER
File: SoCal_Mentor_Crosswalk_EWS_Chex_v4_MASTER__06_09_2026.xlsx
Original tab: 14. Why We Missed - Lessons
Date: 2026-06-09
Size: 7x3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sheet1.xml><?xml version="1.0" encoding="utf-8"?>
<worksheet xmlns="http://schemas.openxmlformats.org/spreadsheetml/2006/main">
  <sheetPr>
    <tabColor rgb="005B21B6"/>
    <outlinePr summaryBelow="1" summaryRight="1"/>
    <pageSetUpPr/>
  </sheetPr>
  <dimension ref="A1:G4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40" customWidth="1" min="3" max="3"/>
    <col width="34" customWidth="1" min="4" max="4"/>
    <col width="11" customWidth="1" min="5" max="5"/>
    <col width="12" customWidth="1" min="6" max="6"/>
    <col width="52" customWidth="1" min="7" max="7"/>
  </cols>
  <sheetData>
    <row r="1" ht="28" customHeight="1">
      <c r="A1" s="1" t="inlineStr">
        <is>
          <t>CONSOLIDATED CA BANKLIST WORKBOOK  —  SOURCE MAP &amp; TAB INDEX</t>
        </is>
      </c>
    </row>
    <row r="2" ht="46" customHeight="1">
      <c r="A2" s="2" t="inlineStr">
        <is>
          <t>Five source workbooks merged into one with full fidelity (values + colors + freeze + filters). Each tab is prefixed with its source code below. A1 of every tab also carries a hover comment with full provenance. Built 2026-06-10. ADD-ONLY: nothing from the originals was removed.</t>
        </is>
      </c>
    </row>
    <row r="4">
      <c r="A4" s="3" t="inlineStr">
        <is>
          <t>SOURCE CODE KEY</t>
        </is>
      </c>
    </row>
    <row r="5">
      <c r="A5" s="4" t="inlineStr">
        <is>
          <t>S1</t>
        </is>
      </c>
      <c r="B5" s="5" t="inlineStr">
        <is>
          <t>GOLD Discovery Method</t>
        </is>
      </c>
      <c r="C5" s="6" t="inlineStr">
        <is>
          <t>CA_Banklist__GOLD_Discovery__Method__06_09_2026.xlsx</t>
        </is>
      </c>
      <c r="D5" s="5" t="inlineStr">
        <is>
          <t>2026-06-09</t>
        </is>
      </c>
    </row>
    <row r="6">
      <c r="A6" s="7" t="inlineStr">
        <is>
          <t>S2</t>
        </is>
      </c>
      <c r="B6" s="5" t="inlineStr">
        <is>
          <t>Code c2 v3 (CA Banklist)</t>
        </is>
      </c>
      <c r="C6" s="6" t="inlineStr">
        <is>
          <t>Code_c2_v3__CA_Banklist.xlsx</t>
        </is>
      </c>
      <c r="D6" s="5" t="inlineStr">
        <is>
          <t>2026-05-29</t>
        </is>
      </c>
    </row>
    <row r="7">
      <c r="A7" s="8" t="inlineStr">
        <is>
          <t>S3</t>
        </is>
      </c>
      <c r="B7" s="5" t="inlineStr">
        <is>
          <t>CA Banklist CW v4</t>
        </is>
      </c>
      <c r="C7" s="6" t="inlineStr">
        <is>
          <t>CA_Banklist_CW_v4_05_29_2026.xlsx</t>
        </is>
      </c>
      <c r="D7" s="5" t="inlineStr">
        <is>
          <t>2026-05-29</t>
        </is>
      </c>
    </row>
    <row r="8">
      <c r="A8" s="9" t="inlineStr">
        <is>
          <t>S4</t>
        </is>
      </c>
      <c r="B8" s="5" t="inlineStr">
        <is>
          <t>Sprint CD c3 v1</t>
        </is>
      </c>
      <c r="C8" s="6" t="inlineStr">
        <is>
          <t>CA_Banklist__Sprint__CD_c3_v1__05_29_2026.xlsx</t>
        </is>
      </c>
      <c r="D8" s="5" t="inlineStr">
        <is>
          <t>2026-05-29</t>
        </is>
      </c>
    </row>
    <row r="9">
      <c r="A9" s="10" t="inlineStr">
        <is>
          <t>S5</t>
        </is>
      </c>
      <c r="B9" s="5" t="inlineStr">
        <is>
          <t>SoCal Mentor Crosswalk EWS/Chex v4 MASTER</t>
        </is>
      </c>
      <c r="C9" s="6" t="inlineStr">
        <is>
          <t>SoCal_Mentor_Crosswalk_EWS_Chex_v4_MASTER__06_09_2026.xlsx</t>
        </is>
      </c>
      <c r="D9" s="5" t="inlineStr">
        <is>
          <t>2026-06-09</t>
        </is>
      </c>
    </row>
    <row r="11">
      <c r="A11" s="11" t="inlineStr">
        <is>
          <t>Master tab name</t>
        </is>
      </c>
      <c r="B11" s="11" t="inlineStr">
        <is>
          <t>Src</t>
        </is>
      </c>
      <c r="C11" s="11" t="inlineStr">
        <is>
          <t>Source workbook</t>
        </is>
      </c>
      <c r="D11" s="11" t="inlineStr">
        <is>
          <t>Original tab name</t>
        </is>
      </c>
      <c r="E11" s="11" t="inlineStr">
        <is>
          <t>Size (RxC)</t>
        </is>
      </c>
      <c r="F11" s="11" t="inlineStr">
        <is>
          <t>Date</t>
        </is>
      </c>
      <c r="G11" s="11" t="inlineStr">
        <is>
          <t>Original filename</t>
        </is>
      </c>
    </row>
    <row r="12">
      <c r="A12" s="12" t="inlineStr">
        <is>
          <t>S1 0. WHY WE MISSED + METHOD</t>
        </is>
      </c>
      <c r="B12" s="13" t="inlineStr">
        <is>
          <t>S1</t>
        </is>
      </c>
      <c r="C12" s="5" t="inlineStr">
        <is>
          <t>GOLD Discovery Method</t>
        </is>
      </c>
      <c r="D12" s="5" t="inlineStr">
        <is>
          <t>0. WHY WE MISSED + METHOD</t>
        </is>
      </c>
      <c r="E12" s="5" t="inlineStr">
        <is>
          <t>19x1</t>
        </is>
      </c>
      <c r="F12" s="5" t="inlineStr">
        <is>
          <t>2026-06-09</t>
        </is>
      </c>
      <c r="G12" s="14" t="inlineStr">
        <is>
          <t>CA_Banklist__GOLD_Discovery__Method__06_09_2026.xlsx</t>
        </is>
      </c>
    </row>
    <row r="13">
      <c r="A13" s="12" t="inlineStr">
        <is>
          <t>S1 1. Geo Net (OOS CA-branch)</t>
        </is>
      </c>
      <c r="B13" s="13" t="inlineStr">
        <is>
          <t>S1</t>
        </is>
      </c>
      <c r="C13" s="5" t="inlineStr">
        <is>
          <t>GOLD Discovery Method</t>
        </is>
      </c>
      <c r="D13" s="5" t="inlineStr">
        <is>
          <t>1. Geo Net (OOS CA-branch)</t>
        </is>
      </c>
      <c r="E13" s="5" t="inlineStr">
        <is>
          <t>60x7</t>
        </is>
      </c>
      <c r="F13" s="5" t="inlineStr">
        <is>
          <t>2026-06-09</t>
        </is>
      </c>
      <c r="G13" s="14" t="inlineStr">
        <is>
          <t>CA_Banklist__GOLD_Discovery__Method__06_09_2026.xlsx</t>
        </is>
      </c>
    </row>
    <row r="14">
      <c r="A14" s="12" t="inlineStr">
        <is>
          <t>S1 2. Nationwide CUs (LFCU-clas</t>
        </is>
      </c>
      <c r="B14" s="13" t="inlineStr">
        <is>
          <t>S1</t>
        </is>
      </c>
      <c r="C14" s="5" t="inlineStr">
        <is>
          <t>GOLD Discovery Method</t>
        </is>
      </c>
      <c r="D14" s="5" t="inlineStr">
        <is>
          <t>2. Nationwide CUs (LFCU-class)</t>
        </is>
      </c>
      <c r="E14" s="5" t="inlineStr">
        <is>
          <t>12x10</t>
        </is>
      </c>
      <c r="F14" s="5" t="inlineStr">
        <is>
          <t>2026-06-09</t>
        </is>
      </c>
      <c r="G14" s="14" t="inlineStr">
        <is>
          <t>CA_Banklist__GOLD_Discovery__Method__06_09_2026.xlsx</t>
        </is>
      </c>
    </row>
    <row r="15">
      <c r="A15" s="12" t="inlineStr">
        <is>
          <t>S1 3. Underwriter Rosters</t>
        </is>
      </c>
      <c r="B15" s="13" t="inlineStr">
        <is>
          <t>S1</t>
        </is>
      </c>
      <c r="C15" s="5" t="inlineStr">
        <is>
          <t>GOLD Discovery Method</t>
        </is>
      </c>
      <c r="D15" s="5" t="inlineStr">
        <is>
          <t>3. Underwriter Rosters</t>
        </is>
      </c>
      <c r="E15" s="5" t="inlineStr">
        <is>
          <t>10x7</t>
        </is>
      </c>
      <c r="F15" s="5" t="inlineStr">
        <is>
          <t>2026-06-09</t>
        </is>
      </c>
      <c r="G15" s="14" t="inlineStr">
        <is>
          <t>CA_Banklist__GOLD_Discovery__Method__06_09_2026.xlsx</t>
        </is>
      </c>
    </row>
    <row r="16">
      <c r="A16" s="12" t="inlineStr">
        <is>
          <t>S1 4. Elan NO-GO Expansion</t>
        </is>
      </c>
      <c r="B16" s="13" t="inlineStr">
        <is>
          <t>S1</t>
        </is>
      </c>
      <c r="C16" s="5" t="inlineStr">
        <is>
          <t>GOLD Discovery Method</t>
        </is>
      </c>
      <c r="D16" s="5" t="inlineStr">
        <is>
          <t>4. Elan NO-GO Expansion</t>
        </is>
      </c>
      <c r="E16" s="5" t="inlineStr">
        <is>
          <t>12x5</t>
        </is>
      </c>
      <c r="F16" s="5" t="inlineStr">
        <is>
          <t>2026-06-09</t>
        </is>
      </c>
      <c r="G16" s="14" t="inlineStr">
        <is>
          <t>CA_Banklist__GOLD_Discovery__Method__06_09_2026.xlsx</t>
        </is>
      </c>
    </row>
    <row r="17">
      <c r="A17" s="12" t="inlineStr">
        <is>
          <t>S1 5. Disambiguation Watchlist</t>
        </is>
      </c>
      <c r="B17" s="13" t="inlineStr">
        <is>
          <t>S1</t>
        </is>
      </c>
      <c r="C17" s="5" t="inlineStr">
        <is>
          <t>GOLD Discovery Method</t>
        </is>
      </c>
      <c r="D17" s="5" t="inlineStr">
        <is>
          <t>5. Disambiguation Watchlist</t>
        </is>
      </c>
      <c r="E17" s="5" t="inlineStr">
        <is>
          <t>7x4</t>
        </is>
      </c>
      <c r="F17" s="5" t="inlineStr">
        <is>
          <t>2026-06-09</t>
        </is>
      </c>
      <c r="G17" s="14" t="inlineStr">
        <is>
          <t>CA_Banklist__GOLD_Discovery__Method__06_09_2026.xlsx</t>
        </is>
      </c>
    </row>
    <row r="18">
      <c r="A18" s="12" t="inlineStr">
        <is>
          <t>S1 6. New GOLD Candidates (rank</t>
        </is>
      </c>
      <c r="B18" s="13" t="inlineStr">
        <is>
          <t>S1</t>
        </is>
      </c>
      <c r="C18" s="5" t="inlineStr">
        <is>
          <t>GOLD Discovery Method</t>
        </is>
      </c>
      <c r="D18" s="5" t="inlineStr">
        <is>
          <t>6. New GOLD Candidates (ranked)</t>
        </is>
      </c>
      <c r="E18" s="5" t="inlineStr">
        <is>
          <t>11x12</t>
        </is>
      </c>
      <c r="F18" s="5" t="inlineStr">
        <is>
          <t>2026-06-09</t>
        </is>
      </c>
      <c r="G18" s="14" t="inlineStr">
        <is>
          <t>CA_Banklist__GOLD_Discovery__Method__06_09_2026.xlsx</t>
        </is>
      </c>
    </row>
    <row r="19">
      <c r="A19" s="12" t="inlineStr">
        <is>
          <t>S2 Funding Table</t>
        </is>
      </c>
      <c r="B19" s="15" t="inlineStr">
        <is>
          <t>S2</t>
        </is>
      </c>
      <c r="C19" s="5" t="inlineStr">
        <is>
          <t>Code c2 v3 (CA Banklist)</t>
        </is>
      </c>
      <c r="D19" s="5" t="inlineStr">
        <is>
          <t>Funding Table</t>
        </is>
      </c>
      <c r="E19" s="5" t="inlineStr">
        <is>
          <t>165x34</t>
        </is>
      </c>
      <c r="F19" s="5" t="inlineStr">
        <is>
          <t>2026-05-29</t>
        </is>
      </c>
      <c r="G19" s="14" t="inlineStr">
        <is>
          <t>Code_c2_v3__CA_Banklist.xlsx</t>
        </is>
      </c>
    </row>
    <row r="20">
      <c r="A20" s="12" t="inlineStr">
        <is>
          <t>S2 Legend</t>
        </is>
      </c>
      <c r="B20" s="15" t="inlineStr">
        <is>
          <t>S2</t>
        </is>
      </c>
      <c r="C20" s="5" t="inlineStr">
        <is>
          <t>Code c2 v3 (CA Banklist)</t>
        </is>
      </c>
      <c r="D20" s="5" t="inlineStr">
        <is>
          <t>Legend</t>
        </is>
      </c>
      <c r="E20" s="5" t="inlineStr">
        <is>
          <t>43x1</t>
        </is>
      </c>
      <c r="F20" s="5" t="inlineStr">
        <is>
          <t>2026-05-29</t>
        </is>
      </c>
      <c r="G20" s="14" t="inlineStr">
        <is>
          <t>Code_c2_v3__CA_Banklist.xlsx</t>
        </is>
      </c>
    </row>
    <row r="21">
      <c r="A21" s="12" t="inlineStr">
        <is>
          <t>S3 Ranked - All Institutions</t>
        </is>
      </c>
      <c r="B21" s="16" t="inlineStr">
        <is>
          <t>S3</t>
        </is>
      </c>
      <c r="C21" s="5" t="inlineStr">
        <is>
          <t>CA Banklist CW v4</t>
        </is>
      </c>
      <c r="D21" s="5" t="inlineStr">
        <is>
          <t>Ranked - All Institutions</t>
        </is>
      </c>
      <c r="E21" s="5" t="inlineStr">
        <is>
          <t>163x34</t>
        </is>
      </c>
      <c r="F21" s="5" t="inlineStr">
        <is>
          <t>2026-05-29</t>
        </is>
      </c>
      <c r="G21" s="14" t="inlineStr">
        <is>
          <t>CA_Banklist_CW_v4_05_29_2026.xlsx</t>
        </is>
      </c>
    </row>
    <row r="22">
      <c r="A22" s="12" t="inlineStr">
        <is>
          <t>S3 Self-Underwritten (Top Targe</t>
        </is>
      </c>
      <c r="B22" s="16" t="inlineStr">
        <is>
          <t>S3</t>
        </is>
      </c>
      <c r="C22" s="5" t="inlineStr">
        <is>
          <t>CA Banklist CW v4</t>
        </is>
      </c>
      <c r="D22" s="5" t="inlineStr">
        <is>
          <t>Self-Underwritten (Top Targets)</t>
        </is>
      </c>
      <c r="E22" s="5" t="inlineStr">
        <is>
          <t>50x34</t>
        </is>
      </c>
      <c r="F22" s="5" t="inlineStr">
        <is>
          <t>2026-05-29</t>
        </is>
      </c>
      <c r="G22" s="14" t="inlineStr">
        <is>
          <t>CA_Banklist_CW_v4_05_29_2026.xlsx</t>
        </is>
      </c>
    </row>
    <row r="23">
      <c r="A23" s="12" t="inlineStr">
        <is>
          <t>S3 SoCal Gold + CA-Accessible</t>
        </is>
      </c>
      <c r="B23" s="16" t="inlineStr">
        <is>
          <t>S3</t>
        </is>
      </c>
      <c r="C23" s="5" t="inlineStr">
        <is>
          <t>CA Banklist CW v4</t>
        </is>
      </c>
      <c r="D23" s="5" t="inlineStr">
        <is>
          <t>SoCal Gold + CA-Accessible</t>
        </is>
      </c>
      <c r="E23" s="5" t="inlineStr">
        <is>
          <t>65x34</t>
        </is>
      </c>
      <c r="F23" s="5" t="inlineStr">
        <is>
          <t>2026-05-29</t>
        </is>
      </c>
      <c r="G23" s="14" t="inlineStr">
        <is>
          <t>CA_Banklist_CW_v4_05_29_2026.xlsx</t>
        </is>
      </c>
    </row>
    <row r="24">
      <c r="A24" s="12" t="inlineStr">
        <is>
          <t>S3 Legend &amp; Scoring</t>
        </is>
      </c>
      <c r="B24" s="16" t="inlineStr">
        <is>
          <t>S3</t>
        </is>
      </c>
      <c r="C24" s="5" t="inlineStr">
        <is>
          <t>CA Banklist CW v4</t>
        </is>
      </c>
      <c r="D24" s="5" t="inlineStr">
        <is>
          <t>Legend &amp; Scoring</t>
        </is>
      </c>
      <c r="E24" s="5" t="inlineStr">
        <is>
          <t>39x2</t>
        </is>
      </c>
      <c r="F24" s="5" t="inlineStr">
        <is>
          <t>2026-05-29</t>
        </is>
      </c>
      <c r="G24" s="14" t="inlineStr">
        <is>
          <t>CA_Banklist_CW_v4_05_29_2026.xlsx</t>
        </is>
      </c>
    </row>
    <row r="25">
      <c r="A25" s="12" t="inlineStr">
        <is>
          <t>S4 1. Sprint List Draft</t>
        </is>
      </c>
      <c r="B25" s="17" t="inlineStr">
        <is>
          <t>S4</t>
        </is>
      </c>
      <c r="C25" s="5" t="inlineStr">
        <is>
          <t>Sprint CD c3 v1</t>
        </is>
      </c>
      <c r="D25" s="5" t="inlineStr">
        <is>
          <t>1. Sprint List Draft</t>
        </is>
      </c>
      <c r="E25" s="5" t="inlineStr">
        <is>
          <t>45x18</t>
        </is>
      </c>
      <c r="F25" s="5" t="inlineStr">
        <is>
          <t>2026-05-29</t>
        </is>
      </c>
      <c r="G25" s="14" t="inlineStr">
        <is>
          <t>CA_Banklist__Sprint__CD_c3_v1__05_29_2026.xlsx</t>
        </is>
      </c>
    </row>
    <row r="26">
      <c r="A26" s="12" t="inlineStr">
        <is>
          <t>S4 2. Full Master (164)</t>
        </is>
      </c>
      <c r="B26" s="17" t="inlineStr">
        <is>
          <t>S4</t>
        </is>
      </c>
      <c r="C26" s="5" t="inlineStr">
        <is>
          <t>Sprint CD c3 v1</t>
        </is>
      </c>
      <c r="D26" s="5" t="inlineStr">
        <is>
          <t>2. Full Master (164)</t>
        </is>
      </c>
      <c r="E26" s="5" t="inlineStr">
        <is>
          <t>167x33</t>
        </is>
      </c>
      <c r="F26" s="5" t="inlineStr">
        <is>
          <t>2026-05-29</t>
        </is>
      </c>
      <c r="G26" s="14" t="inlineStr">
        <is>
          <t>CA_Banklist__Sprint__CD_c3_v1__05_29_2026.xlsx</t>
        </is>
      </c>
    </row>
    <row r="27">
      <c r="A27" s="12" t="inlineStr">
        <is>
          <t>S4 3. NO-GO List</t>
        </is>
      </c>
      <c r="B27" s="17" t="inlineStr">
        <is>
          <t>S4</t>
        </is>
      </c>
      <c r="C27" s="5" t="inlineStr">
        <is>
          <t>Sprint CD c3 v1</t>
        </is>
      </c>
      <c r="D27" s="5" t="inlineStr">
        <is>
          <t>3. NO-GO List</t>
        </is>
      </c>
      <c r="E27" s="5" t="inlineStr">
        <is>
          <t>21x3</t>
        </is>
      </c>
      <c r="F27" s="5" t="inlineStr">
        <is>
          <t>2026-05-29</t>
        </is>
      </c>
      <c r="G27" s="14" t="inlineStr">
        <is>
          <t>CA_Banklist__Sprint__CD_c3_v1__05_29_2026.xlsx</t>
        </is>
      </c>
    </row>
    <row r="28">
      <c r="A28" s="12" t="inlineStr">
        <is>
          <t>S4 4. Mentor Intel Reconciliati</t>
        </is>
      </c>
      <c r="B28" s="17" t="inlineStr">
        <is>
          <t>S4</t>
        </is>
      </c>
      <c r="C28" s="5" t="inlineStr">
        <is>
          <t>Sprint CD c3 v1</t>
        </is>
      </c>
      <c r="D28" s="5" t="inlineStr">
        <is>
          <t>4. Mentor Intel Reconciliation</t>
        </is>
      </c>
      <c r="E28" s="5" t="inlineStr">
        <is>
          <t>24x5</t>
        </is>
      </c>
      <c r="F28" s="5" t="inlineStr">
        <is>
          <t>2026-05-29</t>
        </is>
      </c>
      <c r="G28" s="14" t="inlineStr">
        <is>
          <t>CA_Banklist__Sprint__CD_c3_v1__05_29_2026.xlsx</t>
        </is>
      </c>
    </row>
    <row r="29">
      <c r="A29" s="12" t="inlineStr">
        <is>
          <t>S4 5. Legend &amp; Method</t>
        </is>
      </c>
      <c r="B29" s="17" t="inlineStr">
        <is>
          <t>S4</t>
        </is>
      </c>
      <c r="C29" s="5" t="inlineStr">
        <is>
          <t>Sprint CD c3 v1</t>
        </is>
      </c>
      <c r="D29" s="5" t="inlineStr">
        <is>
          <t>5. Legend &amp; Method</t>
        </is>
      </c>
      <c r="E29" s="5" t="inlineStr">
        <is>
          <t>21x2</t>
        </is>
      </c>
      <c r="F29" s="5" t="inlineStr">
        <is>
          <t>2026-05-29</t>
        </is>
      </c>
      <c r="G29" s="14" t="inlineStr">
        <is>
          <t>CA_Banklist__Sprint__CD_c3_v1__05_29_2026.xlsx</t>
        </is>
      </c>
    </row>
    <row r="30">
      <c r="A30" s="12" t="inlineStr">
        <is>
          <t>S5 0. GOLD Priority (EWS-Chex)</t>
        </is>
      </c>
      <c r="B30" s="18" t="inlineStr">
        <is>
          <t>S5</t>
        </is>
      </c>
      <c r="C30" s="5" t="inlineStr">
        <is>
          <t>SoCal Mentor Crosswalk EWS/Chex v4 MASTER</t>
        </is>
      </c>
      <c r="D30" s="5" t="inlineStr">
        <is>
          <t>0. GOLD Priority (EWS-Chex)</t>
        </is>
      </c>
      <c r="E30" s="5" t="inlineStr">
        <is>
          <t>43x6</t>
        </is>
      </c>
      <c r="F30" s="5" t="inlineStr">
        <is>
          <t>2026-06-09</t>
        </is>
      </c>
      <c r="G30" s="14" t="inlineStr">
        <is>
          <t>SoCal_Mentor_Crosswalk_EWS_Chex_v4_MASTER__06_09_2026.xlsx</t>
        </is>
      </c>
    </row>
    <row r="31">
      <c r="A31" s="12" t="inlineStr">
        <is>
          <t>S5 1. Side-by-Side (Bureau)</t>
        </is>
      </c>
      <c r="B31" s="18" t="inlineStr">
        <is>
          <t>S5</t>
        </is>
      </c>
      <c r="C31" s="5" t="inlineStr">
        <is>
          <t>SoCal Mentor Crosswalk EWS/Chex v4 MASTER</t>
        </is>
      </c>
      <c r="D31" s="5" t="inlineStr">
        <is>
          <t>1. Side-by-Side (Bureau)</t>
        </is>
      </c>
      <c r="E31" s="5" t="inlineStr">
        <is>
          <t>24x16</t>
        </is>
      </c>
      <c r="F31" s="5" t="inlineStr">
        <is>
          <t>2026-06-09</t>
        </is>
      </c>
      <c r="G31" s="14" t="inlineStr">
        <is>
          <t>SoCal_Mentor_Crosswalk_EWS_Chex_v4_MASTER__06_09_2026.xlsx</t>
        </is>
      </c>
    </row>
    <row r="32">
      <c r="A32" s="12" t="inlineStr">
        <is>
          <t>S5 2. ADD to His List (ours)</t>
        </is>
      </c>
      <c r="B32" s="18" t="inlineStr">
        <is>
          <t>S5</t>
        </is>
      </c>
      <c r="C32" s="5" t="inlineStr">
        <is>
          <t>SoCal Mentor Crosswalk EWS/Chex v4 MASTER</t>
        </is>
      </c>
      <c r="D32" s="5" t="inlineStr">
        <is>
          <t>2. ADD to His List (ours)</t>
        </is>
      </c>
      <c r="E32" s="5" t="inlineStr">
        <is>
          <t>22x11</t>
        </is>
      </c>
      <c r="F32" s="5" t="inlineStr">
        <is>
          <t>2026-06-09</t>
        </is>
      </c>
      <c r="G32" s="14" t="inlineStr">
        <is>
          <t>SoCal_Mentor_Crosswalk_EWS_Chex_v4_MASTER__06_09_2026.xlsx</t>
        </is>
      </c>
    </row>
    <row r="33">
      <c r="A33" s="12" t="inlineStr">
        <is>
          <t>S5 3. ADD to Our List (his)</t>
        </is>
      </c>
      <c r="B33" s="18" t="inlineStr">
        <is>
          <t>S5</t>
        </is>
      </c>
      <c r="C33" s="5" t="inlineStr">
        <is>
          <t>SoCal Mentor Crosswalk EWS/Chex v4 MASTER</t>
        </is>
      </c>
      <c r="D33" s="5" t="inlineStr">
        <is>
          <t>3. ADD to Our List (his)</t>
        </is>
      </c>
      <c r="E33" s="5" t="inlineStr">
        <is>
          <t>9x5</t>
        </is>
      </c>
      <c r="F33" s="5" t="inlineStr">
        <is>
          <t>2026-06-09</t>
        </is>
      </c>
      <c r="G33" s="14" t="inlineStr">
        <is>
          <t>SoCal_Mentor_Crosswalk_EWS_Chex_v4_MASTER__06_09_2026.xlsx</t>
        </is>
      </c>
    </row>
    <row r="34">
      <c r="A34" s="12" t="inlineStr">
        <is>
          <t>S5 4. New SoCal Finds</t>
        </is>
      </c>
      <c r="B34" s="18" t="inlineStr">
        <is>
          <t>S5</t>
        </is>
      </c>
      <c r="C34" s="5" t="inlineStr">
        <is>
          <t>SoCal Mentor Crosswalk EWS/Chex v4 MASTER</t>
        </is>
      </c>
      <c r="D34" s="5" t="inlineStr">
        <is>
          <t>4. New SoCal Finds</t>
        </is>
      </c>
      <c r="E34" s="5" t="inlineStr">
        <is>
          <t>23x12</t>
        </is>
      </c>
      <c r="F34" s="5" t="inlineStr">
        <is>
          <t>2026-06-09</t>
        </is>
      </c>
      <c r="G34" s="14" t="inlineStr">
        <is>
          <t>SoCal_Mentor_Crosswalk_EWS_Chex_v4_MASTER__06_09_2026.xlsx</t>
        </is>
      </c>
    </row>
    <row r="35">
      <c r="A35" s="12" t="inlineStr">
        <is>
          <t>S5 5. EWS-Chex Reference</t>
        </is>
      </c>
      <c r="B35" s="18" t="inlineStr">
        <is>
          <t>S5</t>
        </is>
      </c>
      <c r="C35" s="5" t="inlineStr">
        <is>
          <t>SoCal Mentor Crosswalk EWS/Chex v4 MASTER</t>
        </is>
      </c>
      <c r="D35" s="5" t="inlineStr">
        <is>
          <t>5. EWS-Chex Reference</t>
        </is>
      </c>
      <c r="E35" s="5" t="inlineStr">
        <is>
          <t>34x5</t>
        </is>
      </c>
      <c r="F35" s="5" t="inlineStr">
        <is>
          <t>2026-06-09</t>
        </is>
      </c>
      <c r="G35" s="14" t="inlineStr">
        <is>
          <t>SoCal_Mentor_Crosswalk_EWS_Chex_v4_MASTER__06_09_2026.xlsx</t>
        </is>
      </c>
    </row>
    <row r="36">
      <c r="A36" s="12" t="inlineStr">
        <is>
          <t>S5 6. DP Log (dated+linked)</t>
        </is>
      </c>
      <c r="B36" s="18" t="inlineStr">
        <is>
          <t>S5</t>
        </is>
      </c>
      <c r="C36" s="5" t="inlineStr">
        <is>
          <t>SoCal Mentor Crosswalk EWS/Chex v4 MASTER</t>
        </is>
      </c>
      <c r="D36" s="5" t="inlineStr">
        <is>
          <t>6. DP Log (dated+linked)</t>
        </is>
      </c>
      <c r="E36" s="5" t="inlineStr">
        <is>
          <t>91x6</t>
        </is>
      </c>
      <c r="F36" s="5" t="inlineStr">
        <is>
          <t>2026-06-09</t>
        </is>
      </c>
      <c r="G36" s="14" t="inlineStr">
        <is>
          <t>SoCal_Mentor_Crosswalk_EWS_Chex_v4_MASTER__06_09_2026.xlsx</t>
        </is>
      </c>
    </row>
    <row r="37">
      <c r="A37" s="12" t="inlineStr">
        <is>
          <t>S5 7. Strategy &amp; Enhancements</t>
        </is>
      </c>
      <c r="B37" s="18" t="inlineStr">
        <is>
          <t>S5</t>
        </is>
      </c>
      <c r="C37" s="5" t="inlineStr">
        <is>
          <t>SoCal Mentor Crosswalk EWS/Chex v4 MASTER</t>
        </is>
      </c>
      <c r="D37" s="5" t="inlineStr">
        <is>
          <t>7. Strategy &amp; Enhancements</t>
        </is>
      </c>
      <c r="E37" s="5" t="inlineStr">
        <is>
          <t>11x2</t>
        </is>
      </c>
      <c r="F37" s="5" t="inlineStr">
        <is>
          <t>2026-06-09</t>
        </is>
      </c>
      <c r="G37" s="14" t="inlineStr">
        <is>
          <t>SoCal_Mentor_Crosswalk_EWS_Chex_v4_MASTER__06_09_2026.xlsx</t>
        </is>
      </c>
    </row>
    <row r="38">
      <c r="A38" s="12" t="inlineStr">
        <is>
          <t>S5 8. Conflicts &amp; Questions v2</t>
        </is>
      </c>
      <c r="B38" s="18" t="inlineStr">
        <is>
          <t>S5</t>
        </is>
      </c>
      <c r="C38" s="5" t="inlineStr">
        <is>
          <t>SoCal Mentor Crosswalk EWS/Chex v4 MASTER</t>
        </is>
      </c>
      <c r="D38" s="5" t="inlineStr">
        <is>
          <t>8. Conflicts &amp; Questions v2</t>
        </is>
      </c>
      <c r="E38" s="5" t="inlineStr">
        <is>
          <t>19x4</t>
        </is>
      </c>
      <c r="F38" s="5" t="inlineStr">
        <is>
          <t>2026-06-09</t>
        </is>
      </c>
      <c r="G38" s="14" t="inlineStr">
        <is>
          <t>SoCal_Mentor_Crosswalk_EWS_Chex_v4_MASTER__06_09_2026.xlsx</t>
        </is>
      </c>
    </row>
    <row r="39">
      <c r="A39" s="12" t="inlineStr">
        <is>
          <t>S5 9. FDIC SOD Bank Census</t>
        </is>
      </c>
      <c r="B39" s="18" t="inlineStr">
        <is>
          <t>S5</t>
        </is>
      </c>
      <c r="C39" s="5" t="inlineStr">
        <is>
          <t>SoCal Mentor Crosswalk EWS/Chex v4 MASTER</t>
        </is>
      </c>
      <c r="D39" s="5" t="inlineStr">
        <is>
          <t>9. FDIC SOD Bank Census</t>
        </is>
      </c>
      <c r="E39" s="5" t="inlineStr">
        <is>
          <t>117x8</t>
        </is>
      </c>
      <c r="F39" s="5" t="inlineStr">
        <is>
          <t>2026-06-09</t>
        </is>
      </c>
      <c r="G39" s="14" t="inlineStr">
        <is>
          <t>SoCal_Mentor_Crosswalk_EWS_Chex_v4_MASTER__06_09_2026.xlsx</t>
        </is>
      </c>
    </row>
    <row r="40">
      <c r="A40" s="12" t="inlineStr">
        <is>
          <t>S5 11. MASTER PULL LIST</t>
        </is>
      </c>
      <c r="B40" s="18" t="inlineStr">
        <is>
          <t>S5</t>
        </is>
      </c>
      <c r="C40" s="5" t="inlineStr">
        <is>
          <t>SoCal Mentor Crosswalk EWS/Chex v4 MASTER</t>
        </is>
      </c>
      <c r="D40" s="5" t="inlineStr">
        <is>
          <t>11. MASTER PULL LIST</t>
        </is>
      </c>
      <c r="E40" s="5" t="inlineStr">
        <is>
          <t>265x22</t>
        </is>
      </c>
      <c r="F40" s="5" t="inlineStr">
        <is>
          <t>2026-06-09</t>
        </is>
      </c>
      <c r="G40" s="14" t="inlineStr">
        <is>
          <t>SoCal_Mentor_Crosswalk_EWS_Chex_v4_MASTER__06_09_2026.xlsx</t>
        </is>
      </c>
    </row>
    <row r="41">
      <c r="A41" s="12" t="inlineStr">
        <is>
          <t>S5 10. NCUA CU Census</t>
        </is>
      </c>
      <c r="B41" s="18" t="inlineStr">
        <is>
          <t>S5</t>
        </is>
      </c>
      <c r="C41" s="5" t="inlineStr">
        <is>
          <t>SoCal Mentor Crosswalk EWS/Chex v4 MASTER</t>
        </is>
      </c>
      <c r="D41" s="5" t="inlineStr">
        <is>
          <t>10. NCUA CU Census</t>
        </is>
      </c>
      <c r="E41" s="5" t="inlineStr">
        <is>
          <t>144x7</t>
        </is>
      </c>
      <c r="F41" s="5" t="inlineStr">
        <is>
          <t>2026-06-09</t>
        </is>
      </c>
      <c r="G41" s="14" t="inlineStr">
        <is>
          <t>SoCal_Mentor_Crosswalk_EWS_Chex_v4_MASTER__06_09_2026.xlsx</t>
        </is>
      </c>
    </row>
    <row r="42">
      <c r="A42" s="12" t="inlineStr">
        <is>
          <t>S5 12. No-Doc Strategy</t>
        </is>
      </c>
      <c r="B42" s="18" t="inlineStr">
        <is>
          <t>S5</t>
        </is>
      </c>
      <c r="C42" s="5" t="inlineStr">
        <is>
          <t>SoCal Mentor Crosswalk EWS/Chex v4 MASTER</t>
        </is>
      </c>
      <c r="D42" s="5" t="inlineStr">
        <is>
          <t>12. No-Doc Strategy</t>
        </is>
      </c>
      <c r="E42" s="5" t="inlineStr">
        <is>
          <t>7x2</t>
        </is>
      </c>
      <c r="F42" s="5" t="inlineStr">
        <is>
          <t>2026-06-09</t>
        </is>
      </c>
      <c r="G42" s="14" t="inlineStr">
        <is>
          <t>SoCal_Mentor_Crosswalk_EWS_Chex_v4_MASTER__06_09_2026.xlsx</t>
        </is>
      </c>
    </row>
    <row r="43">
      <c r="A43" s="12" t="inlineStr">
        <is>
          <t>S5 13. Verification Log</t>
        </is>
      </c>
      <c r="B43" s="18" t="inlineStr">
        <is>
          <t>S5</t>
        </is>
      </c>
      <c r="C43" s="5" t="inlineStr">
        <is>
          <t>SoCal Mentor Crosswalk EWS/Chex v4 MASTER</t>
        </is>
      </c>
      <c r="D43" s="5" t="inlineStr">
        <is>
          <t>13. Verification Log</t>
        </is>
      </c>
      <c r="E43" s="5" t="inlineStr">
        <is>
          <t>17x4</t>
        </is>
      </c>
      <c r="F43" s="5" t="inlineStr">
        <is>
          <t>2026-06-09</t>
        </is>
      </c>
      <c r="G43" s="14" t="inlineStr">
        <is>
          <t>SoCal_Mentor_Crosswalk_EWS_Chex_v4_MASTER__06_09_2026.xlsx</t>
        </is>
      </c>
    </row>
    <row r="44">
      <c r="A44" s="12" t="inlineStr">
        <is>
          <t>S5 14. Why We Missed - Lessons</t>
        </is>
      </c>
      <c r="B44" s="18" t="inlineStr">
        <is>
          <t>S5</t>
        </is>
      </c>
      <c r="C44" s="5" t="inlineStr">
        <is>
          <t>SoCal Mentor Crosswalk EWS/Chex v4 MASTER</t>
        </is>
      </c>
      <c r="D44" s="5" t="inlineStr">
        <is>
          <t>14. Why We Missed - Lessons</t>
        </is>
      </c>
      <c r="E44" s="5" t="inlineStr">
        <is>
          <t>7x3</t>
        </is>
      </c>
      <c r="F44" s="5" t="inlineStr">
        <is>
          <t>2026-06-09</t>
        </is>
      </c>
      <c r="G44" s="14" t="inlineStr">
        <is>
          <t>SoCal_Mentor_Crosswalk_EWS_Chex_v4_MASTER__06_09_2026.xlsx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9" t="inlineStr">
        <is>
          <t>WHY GOLD GOT MISSED — AND THE 4-PASS METHOD TO STOP MISSING IT  (built 2026-06-09)</t>
        </is>
      </c>
    </row>
    <row r="2">
      <c r="A2" s="20" t="n"/>
    </row>
    <row r="3">
      <c r="A3" s="21" t="inlineStr">
        <is>
          <t>THE 4 ROOT CAUSES (diagnosed from your own files)</t>
        </is>
      </c>
    </row>
    <row r="4">
      <c r="A4" s="20" t="inlineStr">
        <is>
          <t>1. ENTITY COLLISION (first-namesake-wins). Common names map to many charters. FDIC live count: "Enterprise"=5 banks, "Pinnacle"=8 (one HQ in CA!), "Heritage"=25, "First Bank"=11. Your pipeline logged Pacific Enterprise Bank (defunct) and never asked if a live same-name entity existed. THIS is how Enterprise Bank &amp; Trust ($17.2B, CA branches) got missed.</t>
        </is>
      </c>
    </row>
    <row r="5">
      <c r="A5" s="20" t="inlineStr">
        <is>
          <t>2. WRONG UNIT OF SELECTION. You cataloged "California banks." The target is "institutions a California APPLICANT can access." FDIC shows 5,559 bank branches in CA but only 117 banks HQ in CA — 59 active out-of-state banks have CA branches. A HQ filter deletes them. Credit unions are worse: nationwide-membership CUs (LFCU) are 100% accessible to a CA resident and 0% captured.</t>
        </is>
      </c>
    </row>
    <row r="6">
      <c r="A6" s="20" t="inlineStr">
        <is>
          <t>3. VERIFICATION ENGINE, NOT DISCOVERY ENGINE. Your extract deepens rows that already exist in a seed list. It cannot create a row nobody seeded. Both Enterprise AND LFCU arrived by human word-of-mouth — the one channel the pipeline lacks.</t>
        </is>
      </c>
    </row>
    <row r="7">
      <c r="A7" s="20" t="inlineStr">
        <is>
          <t>4. ABSENCE OF EVIDENCE = EVIDENCE OF ABSENCE. "N/M, never guess" is right for facts, but a thin-data high-ceiling lead scores low and sinks identically to a dead lead. Nothing routes "unknown but promising" to a CALL queue.</t>
        </is>
      </c>
    </row>
    <row r="8">
      <c r="A8" s="20" t="n"/>
    </row>
    <row r="9">
      <c r="A9" s="21" t="inlineStr">
        <is>
          <t>THE 4 REPEATABLE PASSES (run these every cycle — sheets 1-4)</t>
        </is>
      </c>
    </row>
    <row r="10">
      <c r="A10" s="20" t="inlineStr">
        <is>
          <t>PASS A — GEOGRAPHY NET (sheet 1). Query FDIC locations API filters=STALP:CA -&gt; every bank with a CA branch regardless of HQ. Diff against master. Repeat with NCUA for CUs. Catches multi-state banks (Enterprise B&amp;T, WaFd, Sunflower).</t>
        </is>
      </c>
    </row>
    <row r="11">
      <c r="A11" s="20" t="inlineStr">
        <is>
          <t>PASS B — NATIONWIDE-CU SWEEP (sheet 2). Enumerate open-charter / association-backdoor CUs (join via small donation) that issue business cards. These are HQ-anywhere but CA-accessible. Catches LFCU, DCU, Truliant.</t>
        </is>
      </c>
    </row>
    <row r="12">
      <c r="A12" s="20" t="inlineStr">
        <is>
          <t>PASS C — UNDERWRITER-FIRST REVERSE LOOKUP (sheet 3). Pull issuer-platform client rosters (CorServ/Apex, TCM, FNBO, UMB, TIB, Torpago) and intersect with CA-accessibility. One roster surfaces dozens of storefronts. ALSO: reverse it to EXPAND the Elan NO-GO list (sheet 4).</t>
        </is>
      </c>
    </row>
    <row r="13">
      <c r="A13" s="20" t="inlineStr">
        <is>
          <t>PASS D — DISAMBIGUATION RE-SCAN (sheet 5). For every common-name institution, query FDIC/NCUA for ALL same-name charters; flag any live one with CA access not already in the master. Never let first-match-wins stand.</t>
        </is>
      </c>
    </row>
    <row r="14">
      <c r="A14" s="20" t="n"/>
    </row>
    <row r="15">
      <c r="A15" s="21" t="inlineStr">
        <is>
          <t>THE STANDING RULE</t>
        </is>
      </c>
    </row>
    <row r="16">
      <c r="A16" s="20" t="inlineStr">
        <is>
          <t>The two best leads (Enterprise, LFCU) both came from HUMANS, not the extract — because the extract is a microscope, not a net. Keep the microscope (it is rigorous). ADD: (1) a word-of-mouth intake that feeds a CALL queue, (2) the 4 API-driven nets above. Score "thin + high-ceiling" as VERIFY, not as dead.</t>
        </is>
      </c>
    </row>
    <row r="17">
      <c r="A17" s="20" t="n"/>
    </row>
    <row r="18">
      <c r="A18" s="21" t="inlineStr">
        <is>
          <t>REALITY CHECK ON THE ENTERPRISE LEAD (verify before you bank on it)</t>
        </is>
      </c>
    </row>
    <row r="19">
      <c r="A19" s="20" t="inlineStr">
        <is>
          <t>jmorrow@enterprisebank.com = Enterprise Bank &amp; Trust ($17.2B, Clayton MO, has CA branches). BUT: (a) its business card appears WHITE-LABEL / likely Elan-issued (myaccountaccess / eZBusiness) = NOT self-underwritten, possibly NO-GO; (b) the "$5K-$50K EZ Credit Line, app-only" figure appears to belong to a DIFFERENT Enterprise Bank (Lowell MA enterprisebanking.com, or Pittsburgh enterprisebankpgh.com). ACTION: ask jmorrow directly — exact product name, is the card issued by Elan/US Bank or self-issued, is the $50K a LOC or card, and what (if any) financials. Do not assume the mentor claim maps to this entity.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6" customWidth="1" min="3" max="3"/>
    <col width="10" customWidth="1" min="4" max="4"/>
    <col width="9" customWidth="1" min="5" max="5"/>
    <col width="18" customWidth="1" min="6" max="6"/>
    <col width="30" customWidth="1" min="7" max="7"/>
  </cols>
  <sheetData>
    <row r="1">
      <c r="A1" s="22" t="inlineStr">
        <is>
          <t>Bank (out-of-state HQ, has CA branch)</t>
        </is>
      </c>
      <c r="B1" s="22" t="inlineStr">
        <is>
          <t>HQ State</t>
        </is>
      </c>
      <c r="C1" s="22" t="inlineStr">
        <is>
          <t>HQ City</t>
        </is>
      </c>
      <c r="D1" s="22" t="inlineStr">
        <is>
          <t>Assets $B</t>
        </is>
      </c>
      <c r="E1" s="22" t="inlineStr">
        <is>
          <t>FDIC CERT</t>
        </is>
      </c>
      <c r="F1" s="22" t="inlineStr">
        <is>
          <t>In your master? (loose)</t>
        </is>
      </c>
      <c r="G1" s="22" t="inlineStr">
        <is>
          <t>Next step</t>
        </is>
      </c>
    </row>
    <row r="2">
      <c r="A2" s="23" t="inlineStr">
        <is>
          <t>JPMorgan Chase Bank, National Association</t>
        </is>
      </c>
      <c r="B2" s="23" t="inlineStr">
        <is>
          <t>OH</t>
        </is>
      </c>
      <c r="C2" s="23" t="inlineStr">
        <is>
          <t>Columbus</t>
        </is>
      </c>
      <c r="D2" s="23" t="n">
        <v>4016.57</v>
      </c>
      <c r="E2" s="23" t="n">
        <v>628</v>
      </c>
      <c r="F2" s="23" t="inlineStr">
        <is>
          <t>likely yes</t>
        </is>
      </c>
      <c r="G2" s="23" t="inlineStr">
        <is>
          <t>already covered (verify name match)</t>
        </is>
      </c>
    </row>
    <row r="3">
      <c r="A3" s="23" t="inlineStr">
        <is>
          <t>Bank of America, National Association</t>
        </is>
      </c>
      <c r="B3" s="23" t="inlineStr">
        <is>
          <t>NC</t>
        </is>
      </c>
      <c r="C3" s="23" t="inlineStr">
        <is>
          <t>Charlotte</t>
        </is>
      </c>
      <c r="D3" s="23" t="n">
        <v>2672.19</v>
      </c>
      <c r="E3" s="23" t="n">
        <v>3510</v>
      </c>
      <c r="F3" s="23" t="inlineStr">
        <is>
          <t>likely yes</t>
        </is>
      </c>
      <c r="G3" s="23" t="inlineStr">
        <is>
          <t>already covered (verify name match)</t>
        </is>
      </c>
    </row>
    <row r="4">
      <c r="A4" s="23" t="inlineStr">
        <is>
          <t>Citibank, National Association</t>
        </is>
      </c>
      <c r="B4" s="23" t="inlineStr">
        <is>
          <t>SD</t>
        </is>
      </c>
      <c r="C4" s="23" t="inlineStr">
        <is>
          <t>Sioux Falls</t>
        </is>
      </c>
      <c r="D4" s="23" t="n">
        <v>1933.62</v>
      </c>
      <c r="E4" s="23" t="n">
        <v>7213</v>
      </c>
      <c r="F4" s="23" t="inlineStr">
        <is>
          <t>likely yes</t>
        </is>
      </c>
      <c r="G4" s="23" t="inlineStr">
        <is>
          <t>already covered (verify name match)</t>
        </is>
      </c>
    </row>
    <row r="5">
      <c r="A5" s="23" t="inlineStr">
        <is>
          <t>Wells Fargo Bank, National Association</t>
        </is>
      </c>
      <c r="B5" s="23" t="inlineStr">
        <is>
          <t>SD</t>
        </is>
      </c>
      <c r="C5" s="23" t="inlineStr">
        <is>
          <t>Sioux Falls</t>
        </is>
      </c>
      <c r="D5" s="23" t="n">
        <v>1852.24</v>
      </c>
      <c r="E5" s="23" t="n">
        <v>3511</v>
      </c>
      <c r="F5" s="23" t="inlineStr">
        <is>
          <t>likely yes</t>
        </is>
      </c>
      <c r="G5" s="23" t="inlineStr">
        <is>
          <t>already covered (verify name match)</t>
        </is>
      </c>
    </row>
    <row r="6">
      <c r="A6" s="23" t="inlineStr">
        <is>
          <t>U.S. Bank National Association</t>
        </is>
      </c>
      <c r="B6" s="23" t="inlineStr">
        <is>
          <t>OH</t>
        </is>
      </c>
      <c r="C6" s="23" t="inlineStr">
        <is>
          <t>Cincinnati</t>
        </is>
      </c>
      <c r="D6" s="23" t="n">
        <v>683.38</v>
      </c>
      <c r="E6" s="23" t="n">
        <v>6548</v>
      </c>
      <c r="F6" s="23" t="inlineStr">
        <is>
          <t>likely yes</t>
        </is>
      </c>
      <c r="G6" s="23" t="inlineStr">
        <is>
          <t>already covered (verify name match)</t>
        </is>
      </c>
    </row>
    <row r="7">
      <c r="A7" s="23" t="inlineStr">
        <is>
          <t>PNC Bank, National Association</t>
        </is>
      </c>
      <c r="B7" s="23" t="inlineStr">
        <is>
          <t>DE</t>
        </is>
      </c>
      <c r="C7" s="23" t="inlineStr">
        <is>
          <t>Wilmington</t>
        </is>
      </c>
      <c r="D7" s="23" t="n">
        <v>567.95</v>
      </c>
      <c r="E7" s="23" t="n">
        <v>6384</v>
      </c>
      <c r="F7" s="23" t="inlineStr">
        <is>
          <t>likely yes</t>
        </is>
      </c>
      <c r="G7" s="23" t="inlineStr">
        <is>
          <t>already covered (verify name match)</t>
        </is>
      </c>
    </row>
    <row r="8">
      <c r="A8" s="23" t="inlineStr">
        <is>
          <t>The Bank of New York Mellon</t>
        </is>
      </c>
      <c r="B8" s="23" t="inlineStr">
        <is>
          <t>NY</t>
        </is>
      </c>
      <c r="C8" s="23" t="inlineStr">
        <is>
          <t>New York</t>
        </is>
      </c>
      <c r="D8" s="23" t="n">
        <v>467.35</v>
      </c>
      <c r="E8" s="23" t="n">
        <v>639</v>
      </c>
      <c r="F8" s="23" t="inlineStr">
        <is>
          <t>likely yes</t>
        </is>
      </c>
      <c r="G8" s="23" t="inlineStr">
        <is>
          <t>already covered (verify name match)</t>
        </is>
      </c>
    </row>
    <row r="9">
      <c r="A9" s="23" t="inlineStr">
        <is>
          <t>Fifth Third Bank, National Association</t>
        </is>
      </c>
      <c r="B9" s="23" t="inlineStr">
        <is>
          <t>OH</t>
        </is>
      </c>
      <c r="C9" s="23" t="inlineStr">
        <is>
          <t>Cincinnati</t>
        </is>
      </c>
      <c r="D9" s="23" t="n">
        <v>296.12</v>
      </c>
      <c r="E9" s="23" t="n">
        <v>6672</v>
      </c>
      <c r="F9" s="23" t="inlineStr">
        <is>
          <t>likely yes</t>
        </is>
      </c>
      <c r="G9" s="23" t="inlineStr">
        <is>
          <t>already covered (verify name match)</t>
        </is>
      </c>
    </row>
    <row r="10">
      <c r="A10" s="23" t="inlineStr">
        <is>
          <t>BMO Bank National Association</t>
        </is>
      </c>
      <c r="B10" s="23" t="inlineStr">
        <is>
          <t>IL</t>
        </is>
      </c>
      <c r="C10" s="23" t="inlineStr">
        <is>
          <t>Chicago</t>
        </is>
      </c>
      <c r="D10" s="23" t="n">
        <v>251.96</v>
      </c>
      <c r="E10" s="23" t="n">
        <v>16571</v>
      </c>
      <c r="F10" s="23" t="inlineStr">
        <is>
          <t>likely yes</t>
        </is>
      </c>
      <c r="G10" s="23" t="inlineStr">
        <is>
          <t>already covered (verify name match)</t>
        </is>
      </c>
    </row>
    <row r="11">
      <c r="A11" s="23" t="inlineStr">
        <is>
          <t>First-Citizens Bank &amp; Trust Company</t>
        </is>
      </c>
      <c r="B11" s="23" t="inlineStr">
        <is>
          <t>NC</t>
        </is>
      </c>
      <c r="C11" s="23" t="inlineStr">
        <is>
          <t>Raleigh</t>
        </is>
      </c>
      <c r="D11" s="23" t="n">
        <v>235.52</v>
      </c>
      <c r="E11" s="23" t="n">
        <v>11063</v>
      </c>
      <c r="F11" s="23" t="inlineStr">
        <is>
          <t>likely yes</t>
        </is>
      </c>
      <c r="G11" s="23" t="inlineStr">
        <is>
          <t>already covered (verify name match)</t>
        </is>
      </c>
    </row>
    <row r="12">
      <c r="A12" s="23" t="inlineStr">
        <is>
          <t>Citizens Bank, National Association</t>
        </is>
      </c>
      <c r="B12" s="23" t="inlineStr">
        <is>
          <t>RI</t>
        </is>
      </c>
      <c r="C12" s="23" t="inlineStr">
        <is>
          <t>Providence</t>
        </is>
      </c>
      <c r="D12" s="23" t="n">
        <v>227.13</v>
      </c>
      <c r="E12" s="23" t="n">
        <v>57957</v>
      </c>
      <c r="F12" s="23" t="inlineStr">
        <is>
          <t>likely yes</t>
        </is>
      </c>
      <c r="G12" s="23" t="inlineStr">
        <is>
          <t>already covered (verify name match)</t>
        </is>
      </c>
    </row>
    <row r="13">
      <c r="A13" s="23" t="inlineStr">
        <is>
          <t>The Northern Trust Company</t>
        </is>
      </c>
      <c r="B13" s="23" t="inlineStr">
        <is>
          <t>IL</t>
        </is>
      </c>
      <c r="C13" s="23" t="inlineStr">
        <is>
          <t>Chicago</t>
        </is>
      </c>
      <c r="D13" s="23" t="n">
        <v>173.84</v>
      </c>
      <c r="E13" s="23" t="n">
        <v>913</v>
      </c>
      <c r="F13" s="23" t="inlineStr">
        <is>
          <t>likely yes</t>
        </is>
      </c>
      <c r="G13" s="23" t="inlineStr">
        <is>
          <t>already covered (verify name match)</t>
        </is>
      </c>
    </row>
    <row r="14">
      <c r="A14" s="24" t="inlineStr">
        <is>
          <t>HSBC Bank USA, National Association</t>
        </is>
      </c>
      <c r="B14" s="24" t="inlineStr">
        <is>
          <t>VA</t>
        </is>
      </c>
      <c r="C14" s="24" t="inlineStr">
        <is>
          <t>Tysons</t>
        </is>
      </c>
      <c r="D14" s="24" t="n">
        <v>167.71</v>
      </c>
      <c r="E14" s="24" t="n">
        <v>57890</v>
      </c>
      <c r="F14" s="24" t="inlineStr">
        <is>
          <t>NO — MISSED</t>
        </is>
      </c>
      <c r="G14" s="24" t="inlineStr">
        <is>
          <t>RUN through no-doc rubric</t>
        </is>
      </c>
    </row>
    <row r="15">
      <c r="A15" s="23" t="inlineStr">
        <is>
          <t>Pinnacle Bank</t>
        </is>
      </c>
      <c r="B15" s="23" t="inlineStr">
        <is>
          <t>TN</t>
        </is>
      </c>
      <c r="C15" s="23" t="inlineStr">
        <is>
          <t>Nashville</t>
        </is>
      </c>
      <c r="D15" s="23" t="n">
        <v>122.63</v>
      </c>
      <c r="E15" s="23" t="n">
        <v>35583</v>
      </c>
      <c r="F15" s="23" t="inlineStr">
        <is>
          <t>likely yes</t>
        </is>
      </c>
      <c r="G15" s="23" t="inlineStr">
        <is>
          <t>already covered (verify name match)</t>
        </is>
      </c>
    </row>
    <row r="16">
      <c r="A16" s="23" t="inlineStr">
        <is>
          <t>Western Alliance Bank</t>
        </is>
      </c>
      <c r="B16" s="23" t="inlineStr">
        <is>
          <t>AZ</t>
        </is>
      </c>
      <c r="C16" s="23" t="inlineStr">
        <is>
          <t>Phoenix</t>
        </is>
      </c>
      <c r="D16" s="23" t="n">
        <v>98.77</v>
      </c>
      <c r="E16" s="23" t="n">
        <v>57512</v>
      </c>
      <c r="F16" s="23" t="inlineStr">
        <is>
          <t>likely yes</t>
        </is>
      </c>
      <c r="G16" s="23" t="inlineStr">
        <is>
          <t>already covered (verify name match)</t>
        </is>
      </c>
    </row>
    <row r="17">
      <c r="A17" s="23" t="inlineStr">
        <is>
          <t>Zions Bancorporation, N.A.</t>
        </is>
      </c>
      <c r="B17" s="23" t="inlineStr">
        <is>
          <t>UT</t>
        </is>
      </c>
      <c r="C17" s="23" t="inlineStr">
        <is>
          <t>Salt Lake City</t>
        </is>
      </c>
      <c r="D17" s="23" t="n">
        <v>87.95999999999999</v>
      </c>
      <c r="E17" s="23" t="n">
        <v>2270</v>
      </c>
      <c r="F17" s="23" t="inlineStr">
        <is>
          <t>likely yes</t>
        </is>
      </c>
      <c r="G17" s="23" t="inlineStr">
        <is>
          <t>already covered (verify name match)</t>
        </is>
      </c>
    </row>
    <row r="18">
      <c r="A18" s="24" t="inlineStr">
        <is>
          <t>Flagstar Bank, National Association</t>
        </is>
      </c>
      <c r="B18" s="24" t="inlineStr">
        <is>
          <t>NY</t>
        </is>
      </c>
      <c r="C18" s="24" t="inlineStr">
        <is>
          <t>Hicksville</t>
        </is>
      </c>
      <c r="D18" s="24" t="n">
        <v>87.13</v>
      </c>
      <c r="E18" s="24" t="n">
        <v>32541</v>
      </c>
      <c r="F18" s="24" t="inlineStr">
        <is>
          <t>NO — MISSED</t>
        </is>
      </c>
      <c r="G18" s="24" t="inlineStr">
        <is>
          <t>RUN through no-doc rubric</t>
        </is>
      </c>
    </row>
    <row r="19">
      <c r="A19" s="23" t="inlineStr">
        <is>
          <t>UMB Bank, National Association</t>
        </is>
      </c>
      <c r="B19" s="23" t="inlineStr">
        <is>
          <t>MO</t>
        </is>
      </c>
      <c r="C19" s="23" t="inlineStr">
        <is>
          <t>Kansas City</t>
        </is>
      </c>
      <c r="D19" s="23" t="n">
        <v>72.34999999999999</v>
      </c>
      <c r="E19" s="23" t="n">
        <v>8273</v>
      </c>
      <c r="F19" s="23" t="inlineStr">
        <is>
          <t>likely yes</t>
        </is>
      </c>
      <c r="G19" s="23" t="inlineStr">
        <is>
          <t>already covered (verify name match)</t>
        </is>
      </c>
    </row>
    <row r="20">
      <c r="A20" s="23" t="inlineStr">
        <is>
          <t>Columbia Bank</t>
        </is>
      </c>
      <c r="B20" s="23" t="inlineStr">
        <is>
          <t>OR</t>
        </is>
      </c>
      <c r="C20" s="23" t="inlineStr">
        <is>
          <t>Roseburg</t>
        </is>
      </c>
      <c r="D20" s="23" t="n">
        <v>66.01000000000001</v>
      </c>
      <c r="E20" s="23" t="n">
        <v>17266</v>
      </c>
      <c r="F20" s="23" t="inlineStr">
        <is>
          <t>likely yes</t>
        </is>
      </c>
      <c r="G20" s="23" t="inlineStr">
        <is>
          <t>already covered (verify name match)</t>
        </is>
      </c>
    </row>
    <row r="21">
      <c r="A21" s="23" t="inlineStr">
        <is>
          <t>Valley National Bank</t>
        </is>
      </c>
      <c r="B21" s="23" t="inlineStr">
        <is>
          <t>NJ</t>
        </is>
      </c>
      <c r="C21" s="23" t="inlineStr">
        <is>
          <t>Passaic</t>
        </is>
      </c>
      <c r="D21" s="23" t="n">
        <v>64.39</v>
      </c>
      <c r="E21" s="23" t="n">
        <v>9396</v>
      </c>
      <c r="F21" s="23" t="inlineStr">
        <is>
          <t>likely yes</t>
        </is>
      </c>
      <c r="G21" s="23" t="inlineStr">
        <is>
          <t>already covered (verify name match)</t>
        </is>
      </c>
    </row>
    <row r="22">
      <c r="A22" s="24" t="inlineStr">
        <is>
          <t>SoFi Bank, National Association</t>
        </is>
      </c>
      <c r="B22" s="24" t="inlineStr">
        <is>
          <t>UT</t>
        </is>
      </c>
      <c r="C22" s="24" t="inlineStr">
        <is>
          <t>Cottonwood Heights</t>
        </is>
      </c>
      <c r="D22" s="24" t="n">
        <v>49.67</v>
      </c>
      <c r="E22" s="24" t="n">
        <v>26881</v>
      </c>
      <c r="F22" s="24" t="inlineStr">
        <is>
          <t>NO — MISSED</t>
        </is>
      </c>
      <c r="G22" s="24" t="inlineStr">
        <is>
          <t>RUN through no-doc rubric</t>
        </is>
      </c>
    </row>
    <row r="23">
      <c r="A23" s="24" t="inlineStr">
        <is>
          <t>EverBank, National Association</t>
        </is>
      </c>
      <c r="B23" s="24" t="inlineStr">
        <is>
          <t>FL</t>
        </is>
      </c>
      <c r="C23" s="24" t="inlineStr">
        <is>
          <t>Jacksonville</t>
        </is>
      </c>
      <c r="D23" s="24" t="n">
        <v>47.23</v>
      </c>
      <c r="E23" s="24" t="n">
        <v>34775</v>
      </c>
      <c r="F23" s="24" t="inlineStr">
        <is>
          <t>NO — MISSED</t>
        </is>
      </c>
      <c r="G23" s="24" t="inlineStr">
        <is>
          <t>RUN through no-doc rubric</t>
        </is>
      </c>
    </row>
    <row r="24">
      <c r="A24" s="24" t="inlineStr">
        <is>
          <t>MidFirst Bank</t>
        </is>
      </c>
      <c r="B24" s="24" t="inlineStr">
        <is>
          <t>OK</t>
        </is>
      </c>
      <c r="C24" s="24" t="inlineStr">
        <is>
          <t>Oklahoma City</t>
        </is>
      </c>
      <c r="D24" s="24" t="n">
        <v>42.11</v>
      </c>
      <c r="E24" s="24" t="n">
        <v>4063</v>
      </c>
      <c r="F24" s="24" t="inlineStr">
        <is>
          <t>NO — MISSED</t>
        </is>
      </c>
      <c r="G24" s="24" t="inlineStr">
        <is>
          <t>RUN through no-doc rubric</t>
        </is>
      </c>
    </row>
    <row r="25">
      <c r="A25" s="23" t="inlineStr">
        <is>
          <t>Bank OZK</t>
        </is>
      </c>
      <c r="B25" s="23" t="inlineStr">
        <is>
          <t>AR</t>
        </is>
      </c>
      <c r="C25" s="23" t="inlineStr">
        <is>
          <t>Little Rock</t>
        </is>
      </c>
      <c r="D25" s="23" t="n">
        <v>41.66</v>
      </c>
      <c r="E25" s="23" t="n">
        <v>110</v>
      </c>
      <c r="F25" s="23" t="inlineStr">
        <is>
          <t>likely yes</t>
        </is>
      </c>
      <c r="G25" s="23" t="inlineStr">
        <is>
          <t>already covered (verify name match)</t>
        </is>
      </c>
    </row>
    <row r="26">
      <c r="A26" s="23" t="inlineStr">
        <is>
          <t>BNY Mellon, National Association</t>
        </is>
      </c>
      <c r="B26" s="23" t="inlineStr">
        <is>
          <t>PA</t>
        </is>
      </c>
      <c r="C26" s="23" t="inlineStr">
        <is>
          <t>Pittsburgh</t>
        </is>
      </c>
      <c r="D26" s="23" t="n">
        <v>30.92</v>
      </c>
      <c r="E26" s="23" t="n">
        <v>7946</v>
      </c>
      <c r="F26" s="23" t="inlineStr">
        <is>
          <t>likely yes</t>
        </is>
      </c>
      <c r="G26" s="23" t="inlineStr">
        <is>
          <t>already covered (verify name match)</t>
        </is>
      </c>
    </row>
    <row r="27">
      <c r="A27" s="24" t="inlineStr">
        <is>
          <t>WaFd Bank</t>
        </is>
      </c>
      <c r="B27" s="24" t="inlineStr">
        <is>
          <t>WA</t>
        </is>
      </c>
      <c r="C27" s="24" t="inlineStr">
        <is>
          <t>Seattle</t>
        </is>
      </c>
      <c r="D27" s="24" t="n">
        <v>27.55</v>
      </c>
      <c r="E27" s="24" t="n">
        <v>28088</v>
      </c>
      <c r="F27" s="24" t="inlineStr">
        <is>
          <t>NO — MISSED</t>
        </is>
      </c>
      <c r="G27" s="24" t="inlineStr">
        <is>
          <t>RUN through no-doc rubric</t>
        </is>
      </c>
    </row>
    <row r="28">
      <c r="A28" s="24" t="inlineStr">
        <is>
          <t>Enterprise Bank &amp; Trust</t>
        </is>
      </c>
      <c r="B28" s="24" t="inlineStr">
        <is>
          <t>MO</t>
        </is>
      </c>
      <c r="C28" s="24" t="inlineStr">
        <is>
          <t>Clayton</t>
        </is>
      </c>
      <c r="D28" s="24" t="n">
        <v>17.2</v>
      </c>
      <c r="E28" s="24" t="n">
        <v>27237</v>
      </c>
      <c r="F28" s="24" t="inlineStr">
        <is>
          <t>NO — MISSED</t>
        </is>
      </c>
      <c r="G28" s="24" t="inlineStr">
        <is>
          <t>RUN through no-doc rubric</t>
        </is>
      </c>
    </row>
    <row r="29">
      <c r="A29" s="23" t="inlineStr">
        <is>
          <t>Banner Bank</t>
        </is>
      </c>
      <c r="B29" s="23" t="inlineStr">
        <is>
          <t>WA</t>
        </is>
      </c>
      <c r="C29" s="23" t="inlineStr">
        <is>
          <t>Walla Walla</t>
        </is>
      </c>
      <c r="D29" s="23" t="n">
        <v>16.34</v>
      </c>
      <c r="E29" s="23" t="n">
        <v>28489</v>
      </c>
      <c r="F29" s="23" t="inlineStr">
        <is>
          <t>likely yes</t>
        </is>
      </c>
      <c r="G29" s="23" t="inlineStr">
        <is>
          <t>already covered (verify name match)</t>
        </is>
      </c>
    </row>
    <row r="30">
      <c r="A30" s="24" t="inlineStr">
        <is>
          <t>Israel Discount Bank of New York</t>
        </is>
      </c>
      <c r="B30" s="24" t="inlineStr">
        <is>
          <t>NY</t>
        </is>
      </c>
      <c r="C30" s="24" t="inlineStr">
        <is>
          <t>New York</t>
        </is>
      </c>
      <c r="D30" s="24" t="n">
        <v>13.99</v>
      </c>
      <c r="E30" s="24" t="n">
        <v>19977</v>
      </c>
      <c r="F30" s="24" t="inlineStr">
        <is>
          <t>NO — MISSED</t>
        </is>
      </c>
      <c r="G30" s="24" t="inlineStr">
        <is>
          <t>RUN through no-doc rubric</t>
        </is>
      </c>
    </row>
    <row r="31">
      <c r="A31" s="24" t="inlineStr">
        <is>
          <t>Beal Bank USA</t>
        </is>
      </c>
      <c r="B31" s="24" t="inlineStr">
        <is>
          <t>NV</t>
        </is>
      </c>
      <c r="C31" s="24" t="inlineStr">
        <is>
          <t>Las Vegas</t>
        </is>
      </c>
      <c r="D31" s="24" t="n">
        <v>13.03</v>
      </c>
      <c r="E31" s="24" t="n">
        <v>57833</v>
      </c>
      <c r="F31" s="24" t="inlineStr">
        <is>
          <t>NO — MISSED</t>
        </is>
      </c>
      <c r="G31" s="24" t="inlineStr">
        <is>
          <t>RUN through no-doc rubric</t>
        </is>
      </c>
    </row>
    <row r="32">
      <c r="A32" s="24" t="inlineStr">
        <is>
          <t>Safra National Bank of New York</t>
        </is>
      </c>
      <c r="B32" s="24" t="inlineStr">
        <is>
          <t>NY</t>
        </is>
      </c>
      <c r="C32" s="24" t="inlineStr">
        <is>
          <t>New York</t>
        </is>
      </c>
      <c r="D32" s="24" t="n">
        <v>12.15</v>
      </c>
      <c r="E32" s="24" t="n">
        <v>26876</v>
      </c>
      <c r="F32" s="24" t="inlineStr">
        <is>
          <t>NO — MISSED</t>
        </is>
      </c>
      <c r="G32" s="24" t="inlineStr">
        <is>
          <t>RUN through no-doc rubric</t>
        </is>
      </c>
    </row>
    <row r="33">
      <c r="A33" s="24" t="inlineStr">
        <is>
          <t>LendingClub Bank, National Association</t>
        </is>
      </c>
      <c r="B33" s="24" t="inlineStr">
        <is>
          <t>UT</t>
        </is>
      </c>
      <c r="C33" s="24" t="inlineStr">
        <is>
          <t>Lehi</t>
        </is>
      </c>
      <c r="D33" s="24" t="n">
        <v>11.85</v>
      </c>
      <c r="E33" s="24" t="n">
        <v>32551</v>
      </c>
      <c r="F33" s="24" t="inlineStr">
        <is>
          <t>NO — MISSED</t>
        </is>
      </c>
      <c r="G33" s="24" t="inlineStr">
        <is>
          <t>RUN through no-doc rubric</t>
        </is>
      </c>
    </row>
    <row r="34">
      <c r="A34" s="24" t="inlineStr">
        <is>
          <t>Byline Bank</t>
        </is>
      </c>
      <c r="B34" s="24" t="inlineStr">
        <is>
          <t>IL</t>
        </is>
      </c>
      <c r="C34" s="24" t="inlineStr">
        <is>
          <t>Chicago</t>
        </is>
      </c>
      <c r="D34" s="24" t="n">
        <v>9.890000000000001</v>
      </c>
      <c r="E34" s="24" t="n">
        <v>20624</v>
      </c>
      <c r="F34" s="24" t="inlineStr">
        <is>
          <t>NO — MISSED</t>
        </is>
      </c>
      <c r="G34" s="24" t="inlineStr">
        <is>
          <t>RUN through no-doc rubric</t>
        </is>
      </c>
    </row>
    <row r="35">
      <c r="A35" s="24" t="inlineStr">
        <is>
          <t>Amalgamated Bank</t>
        </is>
      </c>
      <c r="B35" s="24" t="inlineStr">
        <is>
          <t>NY</t>
        </is>
      </c>
      <c r="C35" s="24" t="inlineStr">
        <is>
          <t>New York</t>
        </is>
      </c>
      <c r="D35" s="24" t="n">
        <v>9.17</v>
      </c>
      <c r="E35" s="24" t="n">
        <v>622</v>
      </c>
      <c r="F35" s="24" t="inlineStr">
        <is>
          <t>NO — MISSED</t>
        </is>
      </c>
      <c r="G35" s="24" t="inlineStr">
        <is>
          <t>RUN through no-doc rubric</t>
        </is>
      </c>
    </row>
    <row r="36">
      <c r="A36" s="24" t="inlineStr">
        <is>
          <t>Sunflower Bank, National Association</t>
        </is>
      </c>
      <c r="B36" s="24" t="inlineStr">
        <is>
          <t>TX</t>
        </is>
      </c>
      <c r="C36" s="24" t="inlineStr">
        <is>
          <t>Dallas</t>
        </is>
      </c>
      <c r="D36" s="24" t="n">
        <v>8.550000000000001</v>
      </c>
      <c r="E36" s="24" t="n">
        <v>4767</v>
      </c>
      <c r="F36" s="24" t="inlineStr">
        <is>
          <t>NO — MISSED</t>
        </is>
      </c>
      <c r="G36" s="24" t="inlineStr">
        <is>
          <t>RUN through no-doc rubric</t>
        </is>
      </c>
    </row>
    <row r="37">
      <c r="A37" s="23" t="inlineStr">
        <is>
          <t>First Bank</t>
        </is>
      </c>
      <c r="B37" s="23" t="inlineStr">
        <is>
          <t>MO</t>
        </is>
      </c>
      <c r="C37" s="23" t="inlineStr">
        <is>
          <t>St. Louis</t>
        </is>
      </c>
      <c r="D37" s="23" t="n">
        <v>6.69</v>
      </c>
      <c r="E37" s="23" t="n">
        <v>12229</v>
      </c>
      <c r="F37" s="23" t="inlineStr">
        <is>
          <t>likely yes</t>
        </is>
      </c>
      <c r="G37" s="23" t="inlineStr">
        <is>
          <t>already covered (verify name match)</t>
        </is>
      </c>
    </row>
    <row r="38">
      <c r="A38" s="23" t="inlineStr">
        <is>
          <t>Metro City Bank</t>
        </is>
      </c>
      <c r="B38" s="23" t="inlineStr">
        <is>
          <t>GA</t>
        </is>
      </c>
      <c r="C38" s="23" t="inlineStr">
        <is>
          <t>Doraville</t>
        </is>
      </c>
      <c r="D38" s="23" t="n">
        <v>4.63</v>
      </c>
      <c r="E38" s="23" t="n">
        <v>58181</v>
      </c>
      <c r="F38" s="23" t="inlineStr">
        <is>
          <t>likely yes</t>
        </is>
      </c>
      <c r="G38" s="23" t="inlineStr">
        <is>
          <t>already covered (verify name match)</t>
        </is>
      </c>
    </row>
    <row r="39">
      <c r="A39" s="23" t="inlineStr">
        <is>
          <t>Sunwest Bank</t>
        </is>
      </c>
      <c r="B39" s="23" t="inlineStr">
        <is>
          <t>UT</t>
        </is>
      </c>
      <c r="C39" s="23" t="inlineStr">
        <is>
          <t>Sandy</t>
        </is>
      </c>
      <c r="D39" s="23" t="n">
        <v>4.27</v>
      </c>
      <c r="E39" s="23" t="n">
        <v>20164</v>
      </c>
      <c r="F39" s="23" t="inlineStr">
        <is>
          <t>likely yes</t>
        </is>
      </c>
      <c r="G39" s="23" t="inlineStr">
        <is>
          <t>already covered (verify name match)</t>
        </is>
      </c>
    </row>
    <row r="40">
      <c r="A40" s="24" t="inlineStr">
        <is>
          <t>Woori America Bank</t>
        </is>
      </c>
      <c r="B40" s="24" t="inlineStr">
        <is>
          <t>NY</t>
        </is>
      </c>
      <c r="C40" s="24" t="inlineStr">
        <is>
          <t>New York</t>
        </is>
      </c>
      <c r="D40" s="24" t="n">
        <v>4.04</v>
      </c>
      <c r="E40" s="24" t="n">
        <v>24920</v>
      </c>
      <c r="F40" s="24" t="inlineStr">
        <is>
          <t>NO — MISSED</t>
        </is>
      </c>
      <c r="G40" s="24" t="inlineStr">
        <is>
          <t>RUN through no-doc rubric</t>
        </is>
      </c>
    </row>
    <row r="41">
      <c r="A41" s="23" t="inlineStr">
        <is>
          <t>First Western Trust Bank</t>
        </is>
      </c>
      <c r="B41" s="23" t="inlineStr">
        <is>
          <t>CO</t>
        </is>
      </c>
      <c r="C41" s="23" t="inlineStr">
        <is>
          <t>Denver</t>
        </is>
      </c>
      <c r="D41" s="23" t="n">
        <v>3.24</v>
      </c>
      <c r="E41" s="23" t="n">
        <v>57607</v>
      </c>
      <c r="F41" s="23" t="inlineStr">
        <is>
          <t>likely yes</t>
        </is>
      </c>
      <c r="G41" s="23" t="inlineStr">
        <is>
          <t>already covered (verify name match)</t>
        </is>
      </c>
    </row>
    <row r="42">
      <c r="A42" s="24" t="inlineStr">
        <is>
          <t>Monet Bank</t>
        </is>
      </c>
      <c r="B42" s="24" t="inlineStr">
        <is>
          <t>TX</t>
        </is>
      </c>
      <c r="C42" s="24" t="inlineStr">
        <is>
          <t>Plano</t>
        </is>
      </c>
      <c r="D42" s="24" t="n">
        <v>3.17</v>
      </c>
      <c r="E42" s="24" t="n">
        <v>32574</v>
      </c>
      <c r="F42" s="24" t="inlineStr">
        <is>
          <t>NO — MISSED</t>
        </is>
      </c>
      <c r="G42" s="24" t="inlineStr">
        <is>
          <t>RUN through no-doc rubric</t>
        </is>
      </c>
    </row>
    <row r="43">
      <c r="A43" s="23" t="inlineStr">
        <is>
          <t>Bank of Guam</t>
        </is>
      </c>
      <c r="B43" s="23" t="inlineStr">
        <is>
          <t>GU</t>
        </is>
      </c>
      <c r="C43" s="23" t="inlineStr">
        <is>
          <t>Hagatna</t>
        </is>
      </c>
      <c r="D43" s="23" t="n">
        <v>3.14</v>
      </c>
      <c r="E43" s="23" t="n">
        <v>20884</v>
      </c>
      <c r="F43" s="23" t="inlineStr">
        <is>
          <t>likely yes</t>
        </is>
      </c>
      <c r="G43" s="23" t="inlineStr">
        <is>
          <t>already covered (verify name match)</t>
        </is>
      </c>
    </row>
    <row r="44">
      <c r="A44" s="23" t="inlineStr">
        <is>
          <t>TIB National Association</t>
        </is>
      </c>
      <c r="B44" s="23" t="inlineStr">
        <is>
          <t>TX</t>
        </is>
      </c>
      <c r="C44" s="23" t="inlineStr">
        <is>
          <t>Farmers Branch</t>
        </is>
      </c>
      <c r="D44" s="23" t="n">
        <v>3</v>
      </c>
      <c r="E44" s="23" t="n">
        <v>23647</v>
      </c>
      <c r="F44" s="23" t="inlineStr">
        <is>
          <t>likely yes</t>
        </is>
      </c>
      <c r="G44" s="23" t="inlineStr">
        <is>
          <t>already covered (verify name match)</t>
        </is>
      </c>
    </row>
    <row r="45">
      <c r="A45" s="24" t="inlineStr">
        <is>
          <t>Habib American Bank</t>
        </is>
      </c>
      <c r="B45" s="24" t="inlineStr">
        <is>
          <t>NY</t>
        </is>
      </c>
      <c r="C45" s="24" t="inlineStr">
        <is>
          <t>New York</t>
        </is>
      </c>
      <c r="D45" s="24" t="n">
        <v>2.98</v>
      </c>
      <c r="E45" s="24" t="n">
        <v>25093</v>
      </c>
      <c r="F45" s="24" t="inlineStr">
        <is>
          <t>NO — MISSED</t>
        </is>
      </c>
      <c r="G45" s="24" t="inlineStr">
        <is>
          <t>RUN through no-doc rubric</t>
        </is>
      </c>
    </row>
    <row r="46">
      <c r="A46" s="23" t="inlineStr">
        <is>
          <t>Industrial and Commercial Bank of China USA, National Association</t>
        </is>
      </c>
      <c r="B46" s="23" t="inlineStr">
        <is>
          <t>NY</t>
        </is>
      </c>
      <c r="C46" s="23" t="inlineStr">
        <is>
          <t>New York</t>
        </is>
      </c>
      <c r="D46" s="23" t="n">
        <v>2.86</v>
      </c>
      <c r="E46" s="23" t="n">
        <v>24387</v>
      </c>
      <c r="F46" s="23" t="inlineStr">
        <is>
          <t>likely yes</t>
        </is>
      </c>
      <c r="G46" s="23" t="inlineStr">
        <is>
          <t>already covered (verify name match)</t>
        </is>
      </c>
    </row>
    <row r="47">
      <c r="A47" s="23" t="inlineStr">
        <is>
          <t>American First National Bank</t>
        </is>
      </c>
      <c r="B47" s="23" t="inlineStr">
        <is>
          <t>TX</t>
        </is>
      </c>
      <c r="C47" s="23" t="inlineStr">
        <is>
          <t>Houston</t>
        </is>
      </c>
      <c r="D47" s="23" t="n">
        <v>2.86</v>
      </c>
      <c r="E47" s="23" t="n">
        <v>34656</v>
      </c>
      <c r="F47" s="23" t="inlineStr">
        <is>
          <t>likely yes</t>
        </is>
      </c>
      <c r="G47" s="23" t="inlineStr">
        <is>
          <t>already covered (verify name match)</t>
        </is>
      </c>
    </row>
    <row r="48">
      <c r="A48" s="23" t="inlineStr">
        <is>
          <t>Golden Bank, National Association</t>
        </is>
      </c>
      <c r="B48" s="23" t="inlineStr">
        <is>
          <t>TX</t>
        </is>
      </c>
      <c r="C48" s="23" t="inlineStr">
        <is>
          <t>Houston</t>
        </is>
      </c>
      <c r="D48" s="23" t="n">
        <v>2.25</v>
      </c>
      <c r="E48" s="23" t="n">
        <v>26223</v>
      </c>
      <c r="F48" s="23" t="inlineStr">
        <is>
          <t>likely yes</t>
        </is>
      </c>
      <c r="G48" s="23" t="inlineStr">
        <is>
          <t>already covered (verify name match)</t>
        </is>
      </c>
    </row>
    <row r="49">
      <c r="A49" s="23" t="inlineStr">
        <is>
          <t>Citizens National Bank of Texas</t>
        </is>
      </c>
      <c r="B49" s="23" t="inlineStr">
        <is>
          <t>TX</t>
        </is>
      </c>
      <c r="C49" s="23" t="inlineStr">
        <is>
          <t>Waxahachie</t>
        </is>
      </c>
      <c r="D49" s="23" t="n">
        <v>2.11</v>
      </c>
      <c r="E49" s="23" t="n">
        <v>5574</v>
      </c>
      <c r="F49" s="23" t="inlineStr">
        <is>
          <t>likely yes</t>
        </is>
      </c>
      <c r="G49" s="23" t="inlineStr">
        <is>
          <t>already covered (verify name match)</t>
        </is>
      </c>
    </row>
    <row r="50">
      <c r="A50" s="24" t="inlineStr">
        <is>
          <t>Shinhan Bank America</t>
        </is>
      </c>
      <c r="B50" s="24" t="inlineStr">
        <is>
          <t>NY</t>
        </is>
      </c>
      <c r="C50" s="24" t="inlineStr">
        <is>
          <t>New York</t>
        </is>
      </c>
      <c r="D50" s="24" t="n">
        <v>1.97</v>
      </c>
      <c r="E50" s="24" t="n">
        <v>33188</v>
      </c>
      <c r="F50" s="24" t="inlineStr">
        <is>
          <t>NO — MISSED</t>
        </is>
      </c>
      <c r="G50" s="24" t="inlineStr">
        <is>
          <t>RUN through no-doc rubric</t>
        </is>
      </c>
    </row>
    <row r="51">
      <c r="A51" s="23" t="inlineStr">
        <is>
          <t>City First Bank, National Association</t>
        </is>
      </c>
      <c r="B51" s="23" t="inlineStr">
        <is>
          <t>DC</t>
        </is>
      </c>
      <c r="C51" s="23" t="inlineStr">
        <is>
          <t>Washington</t>
        </is>
      </c>
      <c r="D51" s="23" t="n">
        <v>1.42</v>
      </c>
      <c r="E51" s="23" t="n">
        <v>34352</v>
      </c>
      <c r="F51" s="23" t="inlineStr">
        <is>
          <t>likely yes</t>
        </is>
      </c>
      <c r="G51" s="23" t="inlineStr">
        <is>
          <t>already covered (verify name match)</t>
        </is>
      </c>
    </row>
    <row r="52">
      <c r="A52" s="24" t="inlineStr">
        <is>
          <t>Wallis Bank</t>
        </is>
      </c>
      <c r="B52" s="24" t="inlineStr">
        <is>
          <t>TX</t>
        </is>
      </c>
      <c r="C52" s="24" t="inlineStr">
        <is>
          <t>Wallis</t>
        </is>
      </c>
      <c r="D52" s="24" t="n">
        <v>1.4</v>
      </c>
      <c r="E52" s="24" t="n">
        <v>20845</v>
      </c>
      <c r="F52" s="24" t="inlineStr">
        <is>
          <t>NO — MISSED</t>
        </is>
      </c>
      <c r="G52" s="24" t="inlineStr">
        <is>
          <t>RUN through no-doc rubric</t>
        </is>
      </c>
    </row>
    <row r="53">
      <c r="A53" s="24" t="inlineStr">
        <is>
          <t>Southwestern National Bank</t>
        </is>
      </c>
      <c r="B53" s="24" t="inlineStr">
        <is>
          <t>TX</t>
        </is>
      </c>
      <c r="C53" s="24" t="inlineStr">
        <is>
          <t>Houston</t>
        </is>
      </c>
      <c r="D53" s="24" t="n">
        <v>1.39</v>
      </c>
      <c r="E53" s="24" t="n">
        <v>34319</v>
      </c>
      <c r="F53" s="24" t="inlineStr">
        <is>
          <t>NO — MISSED</t>
        </is>
      </c>
      <c r="G53" s="24" t="inlineStr">
        <is>
          <t>RUN through no-doc rubric</t>
        </is>
      </c>
    </row>
    <row r="54">
      <c r="A54" s="24" t="inlineStr">
        <is>
          <t>Hana Bank USA, National Association</t>
        </is>
      </c>
      <c r="B54" s="24" t="inlineStr">
        <is>
          <t>NJ</t>
        </is>
      </c>
      <c r="C54" s="24" t="inlineStr">
        <is>
          <t>Fort Lee</t>
        </is>
      </c>
      <c r="D54" s="24" t="n">
        <v>0.84</v>
      </c>
      <c r="E54" s="24" t="n">
        <v>26790</v>
      </c>
      <c r="F54" s="24" t="inlineStr">
        <is>
          <t>NO — MISSED</t>
        </is>
      </c>
      <c r="G54" s="24" t="inlineStr">
        <is>
          <t>RUN through no-doc rubric</t>
        </is>
      </c>
    </row>
    <row r="55">
      <c r="A55" s="24" t="inlineStr">
        <is>
          <t>Wilmington Trust, National Association</t>
        </is>
      </c>
      <c r="B55" s="24" t="inlineStr">
        <is>
          <t>DE</t>
        </is>
      </c>
      <c r="C55" s="24" t="inlineStr">
        <is>
          <t>Wilmington</t>
        </is>
      </c>
      <c r="D55" s="24" t="n">
        <v>0.76</v>
      </c>
      <c r="E55" s="24" t="n">
        <v>34069</v>
      </c>
      <c r="F55" s="24" t="inlineStr">
        <is>
          <t>NO — MISSED</t>
        </is>
      </c>
      <c r="G55" s="24" t="inlineStr">
        <is>
          <t>RUN through no-doc rubric</t>
        </is>
      </c>
    </row>
    <row r="56">
      <c r="A56" s="24" t="inlineStr">
        <is>
          <t>OneUnited Bank</t>
        </is>
      </c>
      <c r="B56" s="24" t="inlineStr">
        <is>
          <t>MA</t>
        </is>
      </c>
      <c r="C56" s="24" t="inlineStr">
        <is>
          <t>Boston</t>
        </is>
      </c>
      <c r="D56" s="24" t="n">
        <v>0.61</v>
      </c>
      <c r="E56" s="24" t="n">
        <v>23966</v>
      </c>
      <c r="F56" s="24" t="inlineStr">
        <is>
          <t>NO — MISSED</t>
        </is>
      </c>
      <c r="G56" s="24" t="inlineStr">
        <is>
          <t>RUN through no-doc rubric</t>
        </is>
      </c>
    </row>
    <row r="57">
      <c r="A57" s="24" t="inlineStr">
        <is>
          <t>Magnolia Bank, Incorporated</t>
        </is>
      </c>
      <c r="B57" s="24" t="inlineStr">
        <is>
          <t>KY</t>
        </is>
      </c>
      <c r="C57" s="24" t="inlineStr">
        <is>
          <t>Elizabethtown</t>
        </is>
      </c>
      <c r="D57" s="24" t="n">
        <v>0.52</v>
      </c>
      <c r="E57" s="24" t="n">
        <v>8120</v>
      </c>
      <c r="F57" s="24" t="inlineStr">
        <is>
          <t>NO — MISSED</t>
        </is>
      </c>
      <c r="G57" s="24" t="inlineStr">
        <is>
          <t>RUN through no-doc rubric</t>
        </is>
      </c>
    </row>
    <row r="58">
      <c r="A58" s="23" t="inlineStr">
        <is>
          <t>Austin Capital Bank SSB</t>
        </is>
      </c>
      <c r="B58" s="23" t="inlineStr">
        <is>
          <t>TX</t>
        </is>
      </c>
      <c r="C58" s="23" t="inlineStr">
        <is>
          <t>Austin</t>
        </is>
      </c>
      <c r="D58" s="23" t="n">
        <v>0.42</v>
      </c>
      <c r="E58" s="23" t="n">
        <v>58082</v>
      </c>
      <c r="F58" s="23" t="inlineStr">
        <is>
          <t>likely yes</t>
        </is>
      </c>
      <c r="G58" s="23" t="inlineStr">
        <is>
          <t>already covered (verify name match)</t>
        </is>
      </c>
    </row>
    <row r="59">
      <c r="A59" s="24" t="inlineStr">
        <is>
          <t>CIBC National Trust Company</t>
        </is>
      </c>
      <c r="B59" s="24" t="inlineStr">
        <is>
          <t>GA</t>
        </is>
      </c>
      <c r="C59" s="24" t="inlineStr">
        <is>
          <t>Atlanta</t>
        </is>
      </c>
      <c r="D59" s="24" t="n">
        <v>0.4</v>
      </c>
      <c r="E59" s="24" t="n">
        <v>91325</v>
      </c>
      <c r="F59" s="24" t="inlineStr">
        <is>
          <t>NO — MISSED</t>
        </is>
      </c>
      <c r="G59" s="24" t="inlineStr">
        <is>
          <t>RUN through no-doc rubric</t>
        </is>
      </c>
    </row>
    <row r="60">
      <c r="A60" s="23" t="inlineStr">
        <is>
          <t>Bank of England</t>
        </is>
      </c>
      <c r="B60" s="23" t="inlineStr">
        <is>
          <t>AR</t>
        </is>
      </c>
      <c r="C60" s="23" t="inlineStr">
        <is>
          <t>England</t>
        </is>
      </c>
      <c r="D60" s="23" t="n">
        <v>0.33</v>
      </c>
      <c r="E60" s="23" t="n">
        <v>13303</v>
      </c>
      <c r="F60" s="23" t="inlineStr">
        <is>
          <t>likely yes</t>
        </is>
      </c>
      <c r="G60" s="23" t="inlineStr">
        <is>
          <t>already covered (verify name match)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2" customWidth="1" min="4" max="4"/>
    <col width="16" customWidth="1" min="5" max="5"/>
    <col width="14" customWidth="1" min="6" max="6"/>
    <col width="12" customWidth="1" min="7" max="7"/>
    <col width="9" customWidth="1" min="8" max="8"/>
    <col width="14" customWidth="1" min="9" max="9"/>
    <col width="34" customWidth="1" min="10" max="10"/>
  </cols>
  <sheetData>
    <row r="1">
      <c r="A1" s="22" t="inlineStr">
        <is>
          <t>Credit Union</t>
        </is>
      </c>
      <c r="B1" s="22" t="inlineStr">
        <is>
          <t>CA-resident join path</t>
        </is>
      </c>
      <c r="C1" s="22" t="inlineStr">
        <is>
          <t>Biz card? / LOC?</t>
        </is>
      </c>
      <c r="D1" s="22" t="inlineStr">
        <is>
          <t>Self-issued or issuer</t>
        </is>
      </c>
      <c r="E1" s="22" t="inlineStr">
        <is>
          <t>Apply</t>
        </is>
      </c>
      <c r="F1" s="22" t="inlineStr">
        <is>
          <t>Financials</t>
        </is>
      </c>
      <c r="G1" s="22" t="inlineStr">
        <is>
          <t>Est. limit</t>
        </is>
      </c>
      <c r="H1" s="22" t="inlineStr">
        <is>
          <t>No-Doc fit /5</t>
        </is>
      </c>
      <c r="I1" s="22" t="inlineStr">
        <is>
          <t>Verdict</t>
        </is>
      </c>
      <c r="J1" s="22" t="inlineStr">
        <is>
          <t>Verify before applying</t>
        </is>
      </c>
    </row>
    <row r="2">
      <c r="A2" s="25" t="inlineStr">
        <is>
          <t>Digital FCU (DCU)</t>
        </is>
      </c>
      <c r="B2" s="25" t="inlineStr">
        <is>
          <t>Join an eligible partner org (e.g. Reef Check); membership required</t>
        </is>
      </c>
      <c r="C2" s="25" t="inlineStr">
        <is>
          <t>Business Visa Platinum / Y LOC</t>
        </is>
      </c>
      <c r="D2" s="25" t="inlineStr">
        <is>
          <t>SELF-ISSUED by DCU</t>
        </is>
      </c>
      <c r="E2" s="25" t="inlineStr">
        <is>
          <t>Online</t>
        </is>
      </c>
      <c r="F2" s="25" t="inlineStr">
        <is>
          <t>N/M</t>
        </is>
      </c>
      <c r="G2" s="25" t="inlineStr">
        <is>
          <t>$25,000 (stated max)</t>
        </is>
      </c>
      <c r="H2" s="25" t="n">
        <v>4</v>
      </c>
      <c r="I2" s="25" t="inlineStr">
        <is>
          <t>GO — strongest verified</t>
        </is>
      </c>
      <c r="J2" s="25" t="inlineStr">
        <is>
          <t>Confirm partner-org fee; bureaus N/M</t>
        </is>
      </c>
    </row>
    <row r="3">
      <c r="A3" s="25" t="inlineStr">
        <is>
          <t>Lafayette FCU (LFCU)</t>
        </is>
      </c>
      <c r="B3" s="25" t="inlineStr">
        <is>
          <t>HOFLC association, one-time $10, anyone nationwide</t>
        </is>
      </c>
      <c r="C3" s="25" t="inlineStr">
        <is>
          <t>Business Mastercard / Y LOC</t>
        </is>
      </c>
      <c r="D3" s="25" t="inlineStr">
        <is>
          <t>Likely self-issued (CURewards) — UNCONFIRMED</t>
        </is>
      </c>
      <c r="E3" s="25" t="inlineStr">
        <is>
          <t>Phone/branch/officer (no clean online app)</t>
        </is>
      </c>
      <c r="F3" s="25" t="inlineStr">
        <is>
          <t>N/M</t>
        </is>
      </c>
      <c r="G3" s="25" t="inlineStr">
        <is>
          <t>"High limits" — no number</t>
        </is>
      </c>
      <c r="H3" s="25" t="n">
        <v>4</v>
      </c>
      <c r="I3" s="25" t="inlineStr">
        <is>
          <t>GO — your seed, holds up</t>
        </is>
      </c>
      <c r="J3" s="25" t="inlineStr">
        <is>
          <t>Confirm issuer self vs Elan + published max</t>
        </is>
      </c>
    </row>
    <row r="4">
      <c r="A4" s="25" t="inlineStr">
        <is>
          <t>Truliant FCU</t>
        </is>
      </c>
      <c r="B4" s="25" t="inlineStr">
        <is>
          <t>American Consumer Council (ACC) — FREE nationwide</t>
        </is>
      </c>
      <c r="C4" s="25" t="inlineStr">
        <is>
          <t>Business Visa w/ self-replenishing LOC</t>
        </is>
      </c>
      <c r="D4" s="25" t="inlineStr">
        <is>
          <t>SELF-ISSUED by Truliant (confirmed)</t>
        </is>
      </c>
      <c r="E4" s="25" t="inlineStr">
        <is>
          <t>Online</t>
        </is>
      </c>
      <c r="F4" s="25" t="inlineStr">
        <is>
          <t>N/M</t>
        </is>
      </c>
      <c r="G4" s="25" t="inlineStr">
        <is>
          <t>N/M (no published max)</t>
        </is>
      </c>
      <c r="H4" s="25" t="n">
        <v>3</v>
      </c>
      <c r="I4" s="25" t="inlineStr">
        <is>
          <t>GO — verify CA-biz eligibility</t>
        </is>
      </c>
      <c r="J4" s="25" t="inlineStr">
        <is>
          <t>Does a CA-domiciled business qualify for BUSINESS membership?</t>
        </is>
      </c>
    </row>
    <row r="5">
      <c r="A5" s="24" t="inlineStr">
        <is>
          <t>Andrews FCU</t>
        </is>
      </c>
      <c r="B5" s="24" t="inlineStr">
        <is>
          <t>American Consumer Council (ACC) — FREE</t>
        </is>
      </c>
      <c r="C5" s="24" t="inlineStr">
        <is>
          <t>Visa Business Rewards / Y</t>
        </is>
      </c>
      <c r="D5" s="24" t="inlineStr">
        <is>
          <t>N/M — possibly ELAN (myaccountaccess) — VERIFY</t>
        </is>
      </c>
      <c r="E5" s="24" t="inlineStr">
        <is>
          <t>Online</t>
        </is>
      </c>
      <c r="F5" s="24" t="inlineStr">
        <is>
          <t>N/M</t>
        </is>
      </c>
      <c r="G5" s="24" t="inlineStr">
        <is>
          <t>$50,000 (stated unsecured max)</t>
        </is>
      </c>
      <c r="H5" s="24" t="n">
        <v>3</v>
      </c>
      <c r="I5" s="24" t="inlineStr">
        <is>
          <t>CAUTION</t>
        </is>
      </c>
      <c r="J5" s="24" t="inlineStr">
        <is>
          <t>50-mi business-address rule may bar CA biz; confirm issuer not Elan</t>
        </is>
      </c>
    </row>
    <row r="6">
      <c r="A6" s="23" t="inlineStr">
        <is>
          <t>Consumers CU (IL)</t>
        </is>
      </c>
      <c r="B6" s="23" t="inlineStr">
        <is>
          <t>Consumers Cooperative Assn, one-time $5 (biz ~$10)</t>
        </is>
      </c>
      <c r="C6" s="23" t="inlineStr">
        <is>
          <t>Business Visa Platinum</t>
        </is>
      </c>
      <c r="D6" s="23" t="inlineStr">
        <is>
          <t>N/M (360Control platform) — VERIFY</t>
        </is>
      </c>
      <c r="E6" s="23" t="inlineStr">
        <is>
          <t>Inquiry/online</t>
        </is>
      </c>
      <c r="F6" s="23" t="inlineStr">
        <is>
          <t>N/M</t>
        </is>
      </c>
      <c r="G6" s="23" t="inlineStr">
        <is>
          <t>N/M</t>
        </is>
      </c>
      <c r="H6" s="23" t="n">
        <v>3</v>
      </c>
      <c r="I6" s="23" t="inlineStr">
        <is>
          <t>VERIFY</t>
        </is>
      </c>
      <c r="J6" s="23" t="inlineStr">
        <is>
          <t>Issuer self vs agent; published limit</t>
        </is>
      </c>
    </row>
    <row r="7">
      <c r="A7" s="23" t="inlineStr">
        <is>
          <t>Signature FCU</t>
        </is>
      </c>
      <c r="B7" s="23" t="inlineStr">
        <is>
          <t>Open-enrollment partner (e.g. USBG) — fee N/M</t>
        </is>
      </c>
      <c r="C7" s="23" t="inlineStr">
        <is>
          <t>Business Visa Signature</t>
        </is>
      </c>
      <c r="D7" s="23" t="inlineStr">
        <is>
          <t>N/M — VERIFY</t>
        </is>
      </c>
      <c r="E7" s="23" t="inlineStr">
        <is>
          <t>Online</t>
        </is>
      </c>
      <c r="F7" s="23" t="inlineStr">
        <is>
          <t>N/M</t>
        </is>
      </c>
      <c r="G7" s="23" t="inlineStr">
        <is>
          <t>N/M</t>
        </is>
      </c>
      <c r="H7" s="23" t="n">
        <v>3</v>
      </c>
      <c r="I7" s="23" t="inlineStr">
        <is>
          <t>VERIFY</t>
        </is>
      </c>
      <c r="J7" s="23" t="inlineStr">
        <is>
          <t>Which partner still has open public enrollment; issuer</t>
        </is>
      </c>
    </row>
    <row r="8">
      <c r="A8" s="26" t="inlineStr">
        <is>
          <t>Connexus CU</t>
        </is>
      </c>
      <c r="B8" s="26" t="inlineStr">
        <is>
          <t>Connexus Assn, one-time $5</t>
        </is>
      </c>
      <c r="C8" s="26" t="inlineStr">
        <is>
          <t>Business Visa</t>
        </is>
      </c>
      <c r="D8" s="26" t="inlineStr">
        <is>
          <t>ELAN Financial Services (stated)</t>
        </is>
      </c>
      <c r="E8" s="26" t="inlineStr">
        <is>
          <t>—</t>
        </is>
      </c>
      <c r="F8" s="26" t="inlineStr">
        <is>
          <t>—</t>
        </is>
      </c>
      <c r="G8" s="26" t="inlineStr">
        <is>
          <t>—</t>
        </is>
      </c>
      <c r="H8" s="26" t="n">
        <v>0</v>
      </c>
      <c r="I8" s="26" t="inlineStr">
        <is>
          <t>NO-GO (Elan)</t>
        </is>
      </c>
      <c r="J8" s="26" t="inlineStr">
        <is>
          <t>—</t>
        </is>
      </c>
    </row>
    <row r="9">
      <c r="A9" s="23" t="inlineStr">
        <is>
          <t>Nusenda CU</t>
        </is>
      </c>
      <c r="B9" s="23" t="inlineStr">
        <is>
          <t>La Montanita Co-op $15 — NM-centric</t>
        </is>
      </c>
      <c r="C9" s="23" t="inlineStr">
        <is>
          <t>Business Visa Platinum (self-issued)</t>
        </is>
      </c>
      <c r="D9" s="23" t="inlineStr">
        <is>
          <t>SELF-ISSUED</t>
        </is>
      </c>
      <c r="E9" s="23" t="inlineStr">
        <is>
          <t>N/M</t>
        </is>
      </c>
      <c r="F9" s="23" t="inlineStr">
        <is>
          <t>N/M</t>
        </is>
      </c>
      <c r="G9" s="23" t="inlineStr">
        <is>
          <t>N/M</t>
        </is>
      </c>
      <c r="H9" s="23" t="n">
        <v>2</v>
      </c>
      <c r="I9" s="23" t="inlineStr">
        <is>
          <t>WEAK for CA</t>
        </is>
      </c>
      <c r="J9" s="23" t="inlineStr">
        <is>
          <t>Membership is NM/West-TX centric — likely blocks CA</t>
        </is>
      </c>
    </row>
    <row r="10">
      <c r="A10" s="27" t="inlineStr">
        <is>
          <t>PenFed / Alliant / First Tech / Bethpage / Quorum / SDFCU</t>
        </is>
      </c>
      <c r="B10" s="27" t="inlineStr">
        <is>
          <t>Open nationwide join</t>
        </is>
      </c>
      <c r="C10" s="27" t="inlineStr">
        <is>
          <t>NO business card product</t>
        </is>
      </c>
      <c r="D10" s="27" t="inlineStr">
        <is>
          <t>—</t>
        </is>
      </c>
      <c r="E10" s="27" t="inlineStr">
        <is>
          <t>—</t>
        </is>
      </c>
      <c r="F10" s="27" t="inlineStr">
        <is>
          <t>—</t>
        </is>
      </c>
      <c r="G10" s="27" t="inlineStr">
        <is>
          <t>—</t>
        </is>
      </c>
      <c r="H10" s="27" t="n">
        <v>0</v>
      </c>
      <c r="I10" s="27" t="inlineStr">
        <is>
          <t>OUT</t>
        </is>
      </c>
      <c r="J10" s="27" t="inlineStr">
        <is>
          <t>Personal cards only — no biz product</t>
        </is>
      </c>
    </row>
    <row r="11">
      <c r="A11" s="27" t="inlineStr">
        <is>
          <t>Navy Federal (GO BIZ)</t>
        </is>
      </c>
      <c r="B11" s="27" t="inlineStr">
        <is>
          <t>Military/DoD/veteran + family only</t>
        </is>
      </c>
      <c r="C11" s="27" t="inlineStr">
        <is>
          <t>Self-issued business card</t>
        </is>
      </c>
      <c r="D11" s="27" t="inlineStr">
        <is>
          <t>SELF-ISSUED</t>
        </is>
      </c>
      <c r="E11" s="27" t="inlineStr">
        <is>
          <t>—</t>
        </is>
      </c>
      <c r="F11" s="27" t="inlineStr">
        <is>
          <t>—</t>
        </is>
      </c>
      <c r="G11" s="27" t="inlineStr">
        <is>
          <t>—</t>
        </is>
      </c>
      <c r="H11" s="27" t="n">
        <v>0</v>
      </c>
      <c r="I11" s="27" t="inlineStr">
        <is>
          <t>OUT for general public</t>
        </is>
      </c>
      <c r="J11" s="27" t="inlineStr">
        <is>
          <t>Eligibility-restricted</t>
        </is>
      </c>
    </row>
    <row r="12">
      <c r="A12" s="27" t="inlineStr">
        <is>
          <t>Suncoast / Affinity</t>
        </is>
      </c>
      <c r="B12" s="27" t="inlineStr">
        <is>
          <t>Open personal join</t>
        </is>
      </c>
      <c r="C12" s="27" t="inlineStr">
        <is>
          <t>Biz card exists</t>
        </is>
      </c>
      <c r="D12" s="27" t="inlineStr">
        <is>
          <t>—</t>
        </is>
      </c>
      <c r="E12" s="27" t="inlineStr">
        <is>
          <t>—</t>
        </is>
      </c>
      <c r="F12" s="27" t="inlineStr">
        <is>
          <t>—</t>
        </is>
      </c>
      <c r="G12" s="27" t="inlineStr">
        <is>
          <t>—</t>
        </is>
      </c>
      <c r="H12" s="27" t="n">
        <v>0</v>
      </c>
      <c r="I12" s="27" t="inlineStr">
        <is>
          <t>OUT for CA</t>
        </is>
      </c>
      <c r="J12" s="27" t="inlineStr">
        <is>
          <t>Business eligibility geo-locked (FL / NJ-NY-CT)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2" customWidth="1" min="4" max="4"/>
    <col width="22" customWidth="1" min="5" max="5"/>
    <col width="30" customWidth="1" min="6" max="6"/>
    <col width="34" customWidth="1" min="7" max="7"/>
  </cols>
  <sheetData>
    <row r="1">
      <c r="A1" s="22" t="inlineStr">
        <is>
          <t>Institution / Program</t>
        </is>
      </c>
      <c r="B1" s="22" t="inlineStr">
        <is>
          <t>Platform</t>
        </is>
      </c>
      <c r="C1" s="22" t="inlineStr">
        <is>
          <t>Issuer of record</t>
        </is>
      </c>
      <c r="D1" s="22" t="inlineStr">
        <is>
          <t>HQ</t>
        </is>
      </c>
      <c r="E1" s="22" t="inlineStr">
        <is>
          <t>CA-accessible?</t>
        </is>
      </c>
      <c r="F1" s="22" t="inlineStr">
        <is>
          <t>Note</t>
        </is>
      </c>
      <c r="G1" s="22" t="inlineStr">
        <is>
          <t>Source</t>
        </is>
      </c>
    </row>
    <row r="2">
      <c r="A2" s="24" t="inlineStr">
        <is>
          <t>Sunwest Bank — Visionary Card</t>
        </is>
      </c>
      <c r="B2" s="24" t="inlineStr">
        <is>
          <t>Torpago + Marqeta</t>
        </is>
      </c>
      <c r="C2" s="24" t="inlineStr">
        <is>
          <t>THE BANK (own balance sheet)</t>
        </is>
      </c>
      <c r="D2" s="24" t="inlineStr">
        <is>
          <t>UT HQ / founded CA</t>
        </is>
      </c>
      <c r="E2" s="24" t="inlineStr">
        <is>
          <t>YES — CA branches + VisionaryPayments@sunwestbank.com</t>
        </is>
      </c>
      <c r="F2" s="24" t="inlineStr">
        <is>
          <t>HIGHEST VALUE: cash-flow UW, no-PG marketed (CONFIRM in cardholder agmt)</t>
        </is>
      </c>
      <c r="G2" s="24" t="inlineStr">
        <is>
          <t>torpago.com/press/sunwest-bank...</t>
        </is>
      </c>
    </row>
    <row r="3">
      <c r="A3" s="23" t="inlineStr">
        <is>
          <t>Northeast Bank</t>
        </is>
      </c>
      <c r="B3" s="23" t="inlineStr">
        <is>
          <t>CorServ Account Issuer</t>
        </is>
      </c>
      <c r="C3" s="23" t="inlineStr">
        <is>
          <t>The bank itself</t>
        </is>
      </c>
      <c r="D3" s="23" t="inlineStr">
        <is>
          <t>MN</t>
        </is>
      </c>
      <c r="E3" s="23" t="inlineStr">
        <is>
          <t>N/M (no CA branch)</t>
        </is>
      </c>
      <c r="F3" s="23" t="inlineStr">
        <is>
          <t>Own-balance-sheet model — ideal structurally, but out-of-state</t>
        </is>
      </c>
      <c r="G3" s="23" t="inlineStr">
        <is>
          <t>corservsolutions.com</t>
        </is>
      </c>
    </row>
    <row r="4">
      <c r="A4" s="23" t="inlineStr">
        <is>
          <t>Capitol Federal (CapFed)</t>
        </is>
      </c>
      <c r="B4" s="23" t="inlineStr">
        <is>
          <t>CorServ Account Issuer</t>
        </is>
      </c>
      <c r="C4" s="23" t="inlineStr">
        <is>
          <t>The bank itself</t>
        </is>
      </c>
      <c r="D4" s="23" t="inlineStr">
        <is>
          <t>KS</t>
        </is>
      </c>
      <c r="E4" s="23" t="inlineStr">
        <is>
          <t>N/M</t>
        </is>
      </c>
      <c r="F4" s="23" t="inlineStr">
        <is>
          <t>Commercial card suite</t>
        </is>
      </c>
      <c r="G4" s="23" t="inlineStr">
        <is>
          <t>corservsolutions.com</t>
        </is>
      </c>
    </row>
    <row r="5">
      <c r="A5" s="23" t="inlineStr">
        <is>
          <t>Pinnacle Bank (Elberton GA)</t>
        </is>
      </c>
      <c r="B5" s="23" t="inlineStr">
        <is>
          <t>CorServ</t>
        </is>
      </c>
      <c r="C5" s="23" t="inlineStr">
        <is>
          <t>The bank itself</t>
        </is>
      </c>
      <c r="D5" s="23" t="inlineStr">
        <is>
          <t>GA</t>
        </is>
      </c>
      <c r="E5" s="23" t="inlineStr">
        <is>
          <t>N/M</t>
        </is>
      </c>
      <c r="F5" s="23" t="inlineStr">
        <is>
          <t>Distinct from Pinnacle TN ($122B) and Pinnacle CA ($0.95B)</t>
        </is>
      </c>
      <c r="G5" s="23" t="inlineStr">
        <is>
          <t>corservsolutions.com</t>
        </is>
      </c>
    </row>
    <row r="6">
      <c r="A6" s="23" t="inlineStr">
        <is>
          <t>Rosedale Federal S&amp;L / Glen Burnie / STAR Financial / First Business Bank / Tradition Capital</t>
        </is>
      </c>
      <c r="B6" s="23" t="inlineStr">
        <is>
          <t>CorServ</t>
        </is>
      </c>
      <c r="C6" s="23" t="inlineStr">
        <is>
          <t>The bank itself</t>
        </is>
      </c>
      <c r="D6" s="23" t="inlineStr">
        <is>
          <t>MD/IN/WI/MN</t>
        </is>
      </c>
      <c r="E6" s="23" t="inlineStr">
        <is>
          <t>N/M</t>
        </is>
      </c>
      <c r="F6" s="23" t="inlineStr">
        <is>
          <t>CorServ Account-Issuer roster — none with confirmed CA online intake</t>
        </is>
      </c>
      <c r="G6" s="23" t="inlineStr">
        <is>
          <t>corservsolutions.com</t>
        </is>
      </c>
    </row>
    <row r="7">
      <c r="A7" s="23" t="inlineStr">
        <is>
          <t>~250 FNBO / First Bankcard agent FIs</t>
        </is>
      </c>
      <c r="B7" s="23" t="inlineStr">
        <is>
          <t>FNBO agent</t>
        </is>
      </c>
      <c r="C7" s="23" t="inlineStr">
        <is>
          <t>FNBO (NOT storefront)</t>
        </is>
      </c>
      <c r="D7" s="23" t="inlineStr">
        <is>
          <t>NE</t>
        </is>
      </c>
      <c r="E7" s="23" t="inlineStr">
        <is>
          <t>FNBO biz cards apply nationwide online</t>
        </is>
      </c>
      <c r="F7" s="23" t="inlineStr">
        <is>
          <t>Agent model: issuer=FNBO. OK only if rule is "avoid Elan"</t>
        </is>
      </c>
      <c r="G7" s="23" t="inlineStr">
        <is>
          <t>firstbankcard.com</t>
        </is>
      </c>
    </row>
    <row r="8">
      <c r="A8" s="23" t="inlineStr">
        <is>
          <t>~750 TCM Bank agent banks</t>
        </is>
      </c>
      <c r="B8" s="23" t="inlineStr">
        <is>
          <t>TCM Bank (ICBA)</t>
        </is>
      </c>
      <c r="C8" s="23" t="inlineStr">
        <is>
          <t>TCM Bank (NOT storefront)</t>
        </is>
      </c>
      <c r="D8" s="23" t="inlineStr">
        <is>
          <t>FL</t>
        </is>
      </c>
      <c r="E8" s="23" t="inlineStr">
        <is>
          <t>Nationwide via member banks</t>
        </is>
      </c>
      <c r="F8" s="23" t="inlineStr">
        <is>
          <t>Client list not published</t>
        </is>
      </c>
      <c r="G8" s="23" t="inlineStr">
        <is>
          <t>tcmbank.com</t>
        </is>
      </c>
    </row>
    <row r="9">
      <c r="A9" s="23" t="inlineStr">
        <is>
          <t>~1,400 TIB correspondent / Jack Henry banks</t>
        </is>
      </c>
      <c r="B9" s="23" t="inlineStr">
        <is>
          <t>TIB agent</t>
        </is>
      </c>
      <c r="C9" s="23" t="inlineStr">
        <is>
          <t>TIB N.A. (NOT storefront)</t>
        </is>
      </c>
      <c r="D9" s="23" t="inlineStr">
        <is>
          <t>TX</t>
        </is>
      </c>
      <c r="E9" s="23" t="inlineStr">
        <is>
          <t>Coast-to-coast</t>
        </is>
      </c>
      <c r="F9" s="23" t="inlineStr">
        <is>
          <t>Storefronts unnamed publicly</t>
        </is>
      </c>
      <c r="G9" s="23" t="inlineStr">
        <is>
          <t>prnewswire.com</t>
        </is>
      </c>
    </row>
    <row r="10">
      <c r="A10" s="23" t="inlineStr">
        <is>
          <t>UMB agent-bank cobrands</t>
        </is>
      </c>
      <c r="B10" s="23" t="inlineStr">
        <is>
          <t>UMB agent</t>
        </is>
      </c>
      <c r="C10" s="23" t="inlineStr">
        <is>
          <t>UMB Bank (NOT storefront)</t>
        </is>
      </c>
      <c r="D10" s="23" t="inlineStr">
        <is>
          <t>MO</t>
        </is>
      </c>
      <c r="E10" s="23" t="inlineStr">
        <is>
          <t>N/M</t>
        </is>
      </c>
      <c r="F10" s="23" t="inlineStr">
        <is>
          <t>Cobrand programs nationwide</t>
        </is>
      </c>
      <c r="G10" s="23" t="inlineStr">
        <is>
          <t>umb.com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40" customWidth="1" min="4" max="4"/>
    <col width="16" customWidth="1" min="5" max="5"/>
  </cols>
  <sheetData>
    <row r="1">
      <c r="A1" s="22" t="inlineStr">
        <is>
          <t>Institution</t>
        </is>
      </c>
      <c r="B1" s="22" t="inlineStr">
        <is>
          <t>HQ / CA relevance</t>
        </is>
      </c>
      <c r="C1" s="22" t="inlineStr">
        <is>
          <t>Confirmed Elan?</t>
        </is>
      </c>
      <c r="D1" s="22" t="inlineStr">
        <is>
          <t>Source</t>
        </is>
      </c>
      <c r="E1" s="22" t="inlineStr">
        <is>
          <t>Status</t>
        </is>
      </c>
    </row>
    <row r="2">
      <c r="A2" s="26" t="inlineStr">
        <is>
          <t>Preferred Bank</t>
        </is>
      </c>
      <c r="B2" s="26" t="inlineStr">
        <is>
          <t>Los Angeles, CA</t>
        </is>
      </c>
      <c r="C2" s="26" t="inlineStr">
        <is>
          <t>YES (disclosure)</t>
        </is>
      </c>
      <c r="D2" s="26" t="inlineStr">
        <is>
          <t>preferredbank.com/business/loans-and-credit/credit-cards</t>
        </is>
      </c>
      <c r="E2" s="26" t="inlineStr">
        <is>
          <t>NEW — add to blacklist</t>
        </is>
      </c>
    </row>
    <row r="3">
      <c r="A3" s="26" t="inlineStr">
        <is>
          <t>Mokelumne FCU</t>
        </is>
      </c>
      <c r="B3" s="26" t="inlineStr">
        <is>
          <t>Lodi, CA</t>
        </is>
      </c>
      <c r="C3" s="26" t="inlineStr">
        <is>
          <t>YES</t>
        </is>
      </c>
      <c r="D3" s="26" t="inlineStr">
        <is>
          <t>mokelumnefcu.com/loans-services/elan-visa</t>
        </is>
      </c>
      <c r="E3" s="26" t="inlineStr">
        <is>
          <t>NEW — add to blacklist</t>
        </is>
      </c>
    </row>
    <row r="4">
      <c r="A4" s="26" t="inlineStr">
        <is>
          <t>Gateway Bank</t>
        </is>
      </c>
      <c r="B4" s="26" t="inlineStr">
        <is>
          <t>Oakland, CA</t>
        </is>
      </c>
      <c r="C4" s="26" t="inlineStr">
        <is>
          <t>YES</t>
        </is>
      </c>
      <c r="D4" s="26" t="inlineStr">
        <is>
          <t>gateway.bank/resources/elan-credit-card</t>
        </is>
      </c>
      <c r="E4" s="26" t="inlineStr">
        <is>
          <t>NEW — add to blacklist</t>
        </is>
      </c>
    </row>
    <row r="5">
      <c r="A5" s="26" t="inlineStr">
        <is>
          <t>EverBank</t>
        </is>
      </c>
      <c r="B5" s="26" t="inlineStr">
        <is>
          <t>FL (CA branches incl. Encino)</t>
        </is>
      </c>
      <c r="C5" s="26" t="inlineStr">
        <is>
          <t>YES</t>
        </is>
      </c>
      <c r="D5" s="26" t="inlineStr">
        <is>
          <t>everbank.com/.../manage-credit-card</t>
        </is>
      </c>
      <c r="E5" s="26" t="inlineStr">
        <is>
          <t>NEW — add to blacklist</t>
        </is>
      </c>
    </row>
    <row r="6">
      <c r="A6" s="26" t="inlineStr">
        <is>
          <t>Citizens Deposit Bank</t>
        </is>
      </c>
      <c r="B6" s="26" t="inlineStr">
        <is>
          <t>Vanceburg, KY</t>
        </is>
      </c>
      <c r="C6" s="26" t="inlineStr">
        <is>
          <t>YES</t>
        </is>
      </c>
      <c r="D6" s="26" t="inlineStr">
        <is>
          <t>cdbky.com/elan-credit-cards/</t>
        </is>
      </c>
      <c r="E6" s="26" t="inlineStr">
        <is>
          <t>NEW</t>
        </is>
      </c>
    </row>
    <row r="7">
      <c r="A7" s="26" t="inlineStr">
        <is>
          <t>Hanmi Bank</t>
        </is>
      </c>
      <c r="B7" s="26" t="inlineStr">
        <is>
          <t>Los Angeles, CA</t>
        </is>
      </c>
      <c r="C7" s="26" t="inlineStr">
        <is>
          <t>YES</t>
        </is>
      </c>
      <c r="D7" s="26" t="inlineStr">
        <is>
          <t>hanmi.com/business/business-credit-cards</t>
        </is>
      </c>
      <c r="E7" s="26" t="inlineStr">
        <is>
          <t>already known</t>
        </is>
      </c>
    </row>
    <row r="8">
      <c r="A8" s="26" t="inlineStr">
        <is>
          <t>Poppy Bank</t>
        </is>
      </c>
      <c r="B8" s="26" t="inlineStr">
        <is>
          <t>Santa Rosa, CA</t>
        </is>
      </c>
      <c r="C8" s="26" t="inlineStr">
        <is>
          <t>YES</t>
        </is>
      </c>
      <c r="D8" s="26" t="inlineStr">
        <is>
          <t>your prior confirmation</t>
        </is>
      </c>
      <c r="E8" s="26" t="inlineStr">
        <is>
          <t>already known</t>
        </is>
      </c>
    </row>
    <row r="9">
      <c r="A9" s="26" t="inlineStr">
        <is>
          <t>First Entertainment CU</t>
        </is>
      </c>
      <c r="B9" s="26" t="inlineStr">
        <is>
          <t>Hollywood, CA</t>
        </is>
      </c>
      <c r="C9" s="26" t="inlineStr">
        <is>
          <t>YES</t>
        </is>
      </c>
      <c r="D9" s="26" t="inlineStr">
        <is>
          <t>your prior confirmation</t>
        </is>
      </c>
      <c r="E9" s="26" t="inlineStr">
        <is>
          <t>already known</t>
        </is>
      </c>
    </row>
    <row r="10">
      <c r="A10" s="26" t="inlineStr">
        <is>
          <t>Connexus CU</t>
        </is>
      </c>
      <c r="B10" s="26" t="inlineStr">
        <is>
          <t>WI (nationwide)</t>
        </is>
      </c>
      <c r="C10" s="26" t="inlineStr">
        <is>
          <t>YES</t>
        </is>
      </c>
      <c r="D10" s="26" t="inlineStr">
        <is>
          <t>connexuscu.org</t>
        </is>
      </c>
      <c r="E10" s="26" t="inlineStr">
        <is>
          <t>already known</t>
        </is>
      </c>
    </row>
    <row r="11">
      <c r="A11" s="26" t="inlineStr">
        <is>
          <t>Valley National Bank</t>
        </is>
      </c>
      <c r="B11" s="26" t="inlineStr">
        <is>
          <t>NJ</t>
        </is>
      </c>
      <c r="C11" s="26" t="inlineStr">
        <is>
          <t>YES</t>
        </is>
      </c>
      <c r="D11" s="26" t="inlineStr">
        <is>
          <t>your prior confirmation</t>
        </is>
      </c>
      <c r="E11" s="26" t="inlineStr">
        <is>
          <t>already known</t>
        </is>
      </c>
    </row>
    <row r="12">
      <c r="A12" s="23" t="inlineStr">
        <is>
          <t>Washington Financial / Green Belt / Provident NJ / Prevail / F&amp;M VA / FSB Y-12 / Members First IA / First Class CU</t>
        </is>
      </c>
      <c r="B12" s="23" t="inlineStr">
        <is>
          <t>various</t>
        </is>
      </c>
      <c r="C12" s="23" t="inlineStr">
        <is>
          <t>LIKELY (surfaced under Elan query)</t>
        </is>
      </c>
      <c r="D12" s="23" t="inlineStr">
        <is>
          <t>verify exact disclosure text</t>
        </is>
      </c>
      <c r="E12" s="23" t="inlineStr">
        <is>
          <t>VERIFY before blacklisting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  <col width="40" customWidth="1" min="4" max="4"/>
  </cols>
  <sheetData>
    <row r="1">
      <c r="A1" s="22" t="inlineStr">
        <is>
          <t>Name in your list</t>
        </is>
      </c>
      <c r="B1" s="22" t="inlineStr">
        <is>
          <t># of LIVE same-name FDIC charters</t>
        </is>
      </c>
      <c r="C1" s="22" t="inlineStr">
        <is>
          <t>Risk</t>
        </is>
      </c>
      <c r="D1" s="22" t="inlineStr">
        <is>
          <t>Action</t>
        </is>
      </c>
    </row>
    <row r="2">
      <c r="A2" s="24" t="inlineStr">
        <is>
          <t>Enterprise</t>
        </is>
      </c>
      <c r="B2" s="24" t="inlineStr">
        <is>
          <t>5 (MO $17.2B / NE / SC / PA / OK)</t>
        </is>
      </c>
      <c r="C2" s="24" t="inlineStr">
        <is>
          <t>You logged Pacific Enterprise (defunct). Real one = Enterprise Bank &amp; Trust MO, has CA branches</t>
        </is>
      </c>
      <c r="D2" s="24" t="inlineStr">
        <is>
          <t>Re-check which entity the mentor meant; 3 web "Enterprise Bank"s too</t>
        </is>
      </c>
    </row>
    <row r="3">
      <c r="A3" s="24" t="inlineStr">
        <is>
          <t>Pinnacle</t>
        </is>
      </c>
      <c r="B3" s="24" t="inlineStr">
        <is>
          <t>8 (TN $122B / NE / TX / WY / CA $0.95B / AL / IA / KY)</t>
        </is>
      </c>
      <c r="C3" s="24" t="inlineStr">
        <is>
          <t>One is HQ in CALIFORNIA and may not be in your list; TN one issues via CorServ</t>
        </is>
      </c>
      <c r="D3" s="24" t="inlineStr">
        <is>
          <t>Add Pinnacle Bank (CA) if missing; note TN=CorServ issuer</t>
        </is>
      </c>
    </row>
    <row r="4">
      <c r="A4" s="24" t="inlineStr">
        <is>
          <t>Heritage</t>
        </is>
      </c>
      <c r="B4" s="24" t="inlineStr">
        <is>
          <t>25 active charters nationwide</t>
        </is>
      </c>
      <c r="C4" s="24" t="inlineStr">
        <is>
          <t>Many same-name banks; high collision risk</t>
        </is>
      </c>
      <c r="D4" s="24" t="inlineStr">
        <is>
          <t>Confirm exact CERT for any "Heritage" row</t>
        </is>
      </c>
    </row>
    <row r="5">
      <c r="A5" s="24" t="inlineStr">
        <is>
          <t>First Bank</t>
        </is>
      </c>
      <c r="B5" s="24" t="inlineStr">
        <is>
          <t>11 (NC $12.9B / MO / NJ / VA / AK / FL / IA / TX / MS / KS / OK)</t>
        </is>
      </c>
      <c r="C5" s="24" t="inlineStr">
        <is>
          <t>Your reconciliation already flagged "First Bank NEEDS DISAMBIG"</t>
        </is>
      </c>
      <c r="D5" s="24" t="inlineStr">
        <is>
          <t>Pin the exact entity + FNBO program claim</t>
        </is>
      </c>
    </row>
    <row r="6">
      <c r="A6" s="24" t="inlineStr">
        <is>
          <t>Provident</t>
        </is>
      </c>
      <c r="B6" s="24" t="inlineStr">
        <is>
          <t>2 (Provident Bank NJ $25B / Provident Savings CA $1.2B)</t>
        </is>
      </c>
      <c r="C6" s="24" t="inlineStr">
        <is>
          <t>NJ vs CA confusion</t>
        </is>
      </c>
      <c r="D6" s="24" t="inlineStr">
        <is>
          <t>Confirm which one</t>
        </is>
      </c>
    </row>
    <row r="7">
      <c r="A7" s="24" t="inlineStr">
        <is>
          <t>Pacific / Premier / Liberty / Summit / Banner</t>
        </is>
      </c>
      <c r="B7" s="24" t="inlineStr">
        <is>
          <t>multiple each</t>
        </is>
      </c>
      <c r="C7" s="24" t="inlineStr">
        <is>
          <t>Common heads — re-run same-name enumeration</t>
        </is>
      </c>
      <c r="D7" s="24" t="inlineStr">
        <is>
          <t>For each, query FDIC NAME + ACTIVE:1 and flag CA-branch certs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30" customWidth="1" min="4" max="4"/>
    <col width="16" customWidth="1" min="5" max="5"/>
    <col width="14" customWidth="1" min="6" max="6"/>
    <col width="12" customWidth="1" min="7" max="7"/>
    <col width="16" customWidth="1" min="8" max="8"/>
    <col width="22" customWidth="1" min="9" max="9"/>
    <col width="7" customWidth="1" min="10" max="10"/>
    <col width="12" customWidth="1" min="11" max="11"/>
    <col width="34" customWidth="1" min="12" max="12"/>
  </cols>
  <sheetData>
    <row r="1">
      <c r="A1" s="22" t="inlineStr">
        <is>
          <t>Rank</t>
        </is>
      </c>
      <c r="B1" s="22" t="inlineStr">
        <is>
          <t>Institution</t>
        </is>
      </c>
      <c r="C1" s="22" t="inlineStr">
        <is>
          <t>Type</t>
        </is>
      </c>
      <c r="D1" s="22" t="inlineStr">
        <is>
          <t>Why GOLD</t>
        </is>
      </c>
      <c r="E1" s="22" t="inlineStr">
        <is>
          <t>Self-UW?</t>
        </is>
      </c>
      <c r="F1" s="22" t="inlineStr">
        <is>
          <t>Apply</t>
        </is>
      </c>
      <c r="G1" s="22" t="inlineStr">
        <is>
          <t>Financials</t>
        </is>
      </c>
      <c r="H1" s="22" t="inlineStr">
        <is>
          <t>Est. limit</t>
        </is>
      </c>
      <c r="I1" s="22" t="inlineStr">
        <is>
          <t>CA access</t>
        </is>
      </c>
      <c r="J1" s="22" t="inlineStr">
        <is>
          <t>Fit /5</t>
        </is>
      </c>
      <c r="K1" s="22" t="inlineStr">
        <is>
          <t>Confidence</t>
        </is>
      </c>
      <c r="L1" s="22" t="inlineStr">
        <is>
          <t>Verify next</t>
        </is>
      </c>
    </row>
    <row r="2">
      <c r="A2" s="25" t="n">
        <v>1</v>
      </c>
      <c r="B2" s="25" t="inlineStr">
        <is>
          <t>WaFd Bank</t>
        </is>
      </c>
      <c r="C2" s="25" t="inlineStr">
        <is>
          <t>Bank</t>
        </is>
      </c>
      <c r="D2" s="25" t="inlineStr">
        <is>
          <t>Self-UW, online app, "underwriting based on personal credit"</t>
        </is>
      </c>
      <c r="E2" s="25" t="inlineStr">
        <is>
          <t>YES (self)</t>
        </is>
      </c>
      <c r="F2" s="25" t="inlineStr">
        <is>
          <t>ONLINE</t>
        </is>
      </c>
      <c r="G2" s="25" t="inlineStr">
        <is>
          <t>None for card (personal credit only)</t>
        </is>
      </c>
      <c r="H2" s="25" t="inlineStr">
        <is>
          <t>Starts modest (&lt;$25K?)</t>
        </is>
      </c>
      <c r="I2" s="25" t="inlineStr">
        <is>
          <t>~10 CA branches (Burbank, BH, Pasadena, SJ)</t>
        </is>
      </c>
      <c r="J2" s="25" t="n">
        <v>4</v>
      </c>
      <c r="K2" s="25" t="inlineStr">
        <is>
          <t>High</t>
        </is>
      </c>
      <c r="L2" s="25" t="inlineStr">
        <is>
          <t>Actual approved limits — may start low</t>
        </is>
      </c>
    </row>
    <row r="3">
      <c r="A3" s="25" t="n">
        <v>2</v>
      </c>
      <c r="B3" s="25" t="inlineStr">
        <is>
          <t>Digital FCU (DCU)</t>
        </is>
      </c>
      <c r="C3" s="25" t="inlineStr">
        <is>
          <t>CU</t>
        </is>
      </c>
      <c r="D3" s="25" t="inlineStr">
        <is>
          <t>Self-issued biz Visa, confirmed $25K, online</t>
        </is>
      </c>
      <c r="E3" s="25" t="inlineStr">
        <is>
          <t>YES (self)</t>
        </is>
      </c>
      <c r="F3" s="25" t="inlineStr">
        <is>
          <t>ONLINE</t>
        </is>
      </c>
      <c r="G3" s="25" t="inlineStr">
        <is>
          <t>N/M</t>
        </is>
      </c>
      <c r="H3" s="25" t="inlineStr">
        <is>
          <t>$25,000 (max)</t>
        </is>
      </c>
      <c r="I3" s="25" t="inlineStr">
        <is>
          <t>Join via partner org from CA</t>
        </is>
      </c>
      <c r="J3" s="25" t="n">
        <v>4</v>
      </c>
      <c r="K3" s="25" t="inlineStr">
        <is>
          <t>High</t>
        </is>
      </c>
      <c r="L3" s="25" t="inlineStr">
        <is>
          <t>Partner-org fee; bureaus</t>
        </is>
      </c>
    </row>
    <row r="4">
      <c r="A4" s="25" t="n">
        <v>3</v>
      </c>
      <c r="B4" s="25" t="inlineStr">
        <is>
          <t>Lafayette FCU (LFCU)</t>
        </is>
      </c>
      <c r="C4" s="25" t="inlineStr">
        <is>
          <t>CU</t>
        </is>
      </c>
      <c r="D4" s="25" t="inlineStr">
        <is>
          <t>$10 nationwide join, business Mastercard</t>
        </is>
      </c>
      <c r="E4" s="25" t="inlineStr">
        <is>
          <t>Likely self</t>
        </is>
      </c>
      <c r="F4" s="25" t="inlineStr">
        <is>
          <t>Phone/officer</t>
        </is>
      </c>
      <c r="G4" s="25" t="inlineStr">
        <is>
          <t>N/M</t>
        </is>
      </c>
      <c r="H4" s="25" t="inlineStr">
        <is>
          <t>"High" (unstated)</t>
        </is>
      </c>
      <c r="I4" s="25" t="inlineStr">
        <is>
          <t>HOFLC $10 from CA</t>
        </is>
      </c>
      <c r="J4" s="25" t="n">
        <v>4</v>
      </c>
      <c r="K4" s="25" t="inlineStr">
        <is>
          <t>Med-High</t>
        </is>
      </c>
      <c r="L4" s="25" t="inlineStr">
        <is>
          <t>Issuer self vs Elan; published max</t>
        </is>
      </c>
    </row>
    <row r="5">
      <c r="A5" s="24" t="n">
        <v>4</v>
      </c>
      <c r="B5" s="24" t="inlineStr">
        <is>
          <t>Sunwest Bank — Visionary</t>
        </is>
      </c>
      <c r="C5" s="24" t="inlineStr">
        <is>
          <t>Bank</t>
        </is>
      </c>
      <c r="D5" s="24" t="inlineStr">
        <is>
          <t>Torpago, cash-flow UW, no-PG marketed</t>
        </is>
      </c>
      <c r="E5" s="24" t="inlineStr">
        <is>
          <t>YES (own b/s)</t>
        </is>
      </c>
      <c r="F5" s="24" t="inlineStr">
        <is>
          <t>Email intake</t>
        </is>
      </c>
      <c r="G5" s="24" t="inlineStr">
        <is>
          <t>Cash-flow (no financials?)</t>
        </is>
      </c>
      <c r="H5" s="24" t="inlineStr">
        <is>
          <t>N/M (high marketed)</t>
        </is>
      </c>
      <c r="I5" s="24" t="inlineStr">
        <is>
          <t>CA branches (Irvine)</t>
        </is>
      </c>
      <c r="J5" s="24" t="n">
        <v>4</v>
      </c>
      <c r="K5" s="24" t="inlineStr">
        <is>
          <t>Med</t>
        </is>
      </c>
      <c r="L5" s="24" t="inlineStr">
        <is>
          <t>CONFIRM no-PG in cardholder agreement</t>
        </is>
      </c>
    </row>
    <row r="6">
      <c r="A6" s="25" t="n">
        <v>5</v>
      </c>
      <c r="B6" s="25" t="inlineStr">
        <is>
          <t>Truliant FCU</t>
        </is>
      </c>
      <c r="C6" s="25" t="inlineStr">
        <is>
          <t>CU</t>
        </is>
      </c>
      <c r="D6" s="25" t="inlineStr">
        <is>
          <t>Self-issued biz Visa + self-replenishing LOC, free ACC join</t>
        </is>
      </c>
      <c r="E6" s="25" t="inlineStr">
        <is>
          <t>YES (self)</t>
        </is>
      </c>
      <c r="F6" s="25" t="inlineStr">
        <is>
          <t>ONLINE</t>
        </is>
      </c>
      <c r="G6" s="25" t="inlineStr">
        <is>
          <t>N/M</t>
        </is>
      </c>
      <c r="H6" s="25" t="inlineStr">
        <is>
          <t>N/M</t>
        </is>
      </c>
      <c r="I6" s="25" t="inlineStr">
        <is>
          <t>ACC join from CA</t>
        </is>
      </c>
      <c r="J6" s="25" t="n">
        <v>3</v>
      </c>
      <c r="K6" s="25" t="inlineStr">
        <is>
          <t>Med</t>
        </is>
      </c>
      <c r="L6" s="25" t="inlineStr">
        <is>
          <t>CA-business membership eligibility</t>
        </is>
      </c>
    </row>
    <row r="7">
      <c r="A7" s="23" t="n">
        <v>6</v>
      </c>
      <c r="B7" s="23" t="inlineStr">
        <is>
          <t>Sunflower Bank</t>
        </is>
      </c>
      <c r="C7" s="23" t="inlineStr">
        <is>
          <t>Bank</t>
        </is>
      </c>
      <c r="D7" s="23" t="inlineStr">
        <is>
          <t>Self-UW Visa biz/corporate, CA branches</t>
        </is>
      </c>
      <c r="E7" s="23" t="inlineStr">
        <is>
          <t>YES (self)</t>
        </is>
      </c>
      <c r="F7" s="23" t="inlineStr">
        <is>
          <t>Banker</t>
        </is>
      </c>
      <c r="G7" s="23" t="inlineStr">
        <is>
          <t>N/M</t>
        </is>
      </c>
      <c r="H7" s="23" t="inlineStr">
        <is>
          <t>N/M</t>
        </is>
      </c>
      <c r="I7" s="23" t="inlineStr">
        <is>
          <t>Woodland Hills, Ontario, SD</t>
        </is>
      </c>
      <c r="J7" s="23" t="n">
        <v>3</v>
      </c>
      <c r="K7" s="23" t="inlineStr">
        <is>
          <t>Med</t>
        </is>
      </c>
      <c r="L7" s="23" t="inlineStr">
        <is>
          <t>Online app? limit? financials?</t>
        </is>
      </c>
    </row>
    <row r="8">
      <c r="A8" s="23" t="n">
        <v>7</v>
      </c>
      <c r="B8" s="23" t="inlineStr">
        <is>
          <t>Western Alliance / Torrey Pines</t>
        </is>
      </c>
      <c r="C8" s="23" t="inlineStr">
        <is>
          <t>Bank</t>
        </is>
      </c>
      <c r="D8" s="23" t="inlineStr">
        <is>
          <t>Self-UW; CA division Torrey Pines (SD/LA/OC)</t>
        </is>
      </c>
      <c r="E8" s="23" t="inlineStr">
        <is>
          <t>YES (self)</t>
        </is>
      </c>
      <c r="F8" s="23" t="inlineStr">
        <is>
          <t>Online-&gt;banker</t>
        </is>
      </c>
      <c r="G8" s="23" t="inlineStr">
        <is>
          <t>N/M (commercial)</t>
        </is>
      </c>
      <c r="H8" s="23" t="inlineStr">
        <is>
          <t>N/M</t>
        </is>
      </c>
      <c r="I8" s="23" t="inlineStr">
        <is>
          <t>Torrey Pines branches SoCal</t>
        </is>
      </c>
      <c r="J8" s="23" t="n">
        <v>3</v>
      </c>
      <c r="K8" s="23" t="inlineStr">
        <is>
          <t>Med-High</t>
        </is>
      </c>
      <c r="L8" s="23" t="inlineStr">
        <is>
          <t>Limit, financials, app friction</t>
        </is>
      </c>
    </row>
    <row r="9">
      <c r="A9" s="23" t="n">
        <v>8</v>
      </c>
      <c r="B9" s="23" t="inlineStr">
        <is>
          <t>Bank OZK — Business Edition</t>
        </is>
      </c>
      <c r="C9" s="23" t="inlineStr">
        <is>
          <t>Bank</t>
        </is>
      </c>
      <c r="D9" s="23" t="inlineStr">
        <is>
          <t>Online app, no financials stated, CA LPOs</t>
        </is>
      </c>
      <c r="E9" s="23" t="inlineStr">
        <is>
          <t>No (FNBO-issued)</t>
        </is>
      </c>
      <c r="F9" s="23" t="inlineStr">
        <is>
          <t>ONLINE</t>
        </is>
      </c>
      <c r="G9" s="23" t="inlineStr">
        <is>
          <t>None stated (rewards card)</t>
        </is>
      </c>
      <c r="H9" s="23" t="inlineStr">
        <is>
          <t>N/M</t>
        </is>
      </c>
      <c r="I9" s="23" t="inlineStr">
        <is>
          <t>LA, SF LPOs</t>
        </is>
      </c>
      <c r="J9" s="23" t="n">
        <v>3</v>
      </c>
      <c r="K9" s="23" t="inlineStr">
        <is>
          <t>Med-High</t>
        </is>
      </c>
      <c r="L9" s="23" t="inlineStr">
        <is>
          <t>FNBO-issued (note issuer); limit</t>
        </is>
      </c>
    </row>
    <row r="10">
      <c r="A10" s="24" t="n">
        <v>9</v>
      </c>
      <c r="B10" s="24" t="inlineStr">
        <is>
          <t>Andrews FCU</t>
        </is>
      </c>
      <c r="C10" s="24" t="inlineStr">
        <is>
          <t>CU</t>
        </is>
      </c>
      <c r="D10" s="24" t="inlineStr">
        <is>
          <t>$50K stated unsecured max, free ACC join</t>
        </is>
      </c>
      <c r="E10" s="24" t="inlineStr">
        <is>
          <t>N/M (maybe Elan)</t>
        </is>
      </c>
      <c r="F10" s="24" t="inlineStr">
        <is>
          <t>ONLINE</t>
        </is>
      </c>
      <c r="G10" s="24" t="inlineStr">
        <is>
          <t>N/M</t>
        </is>
      </c>
      <c r="H10" s="24" t="inlineStr">
        <is>
          <t>$50,000 (stated)</t>
        </is>
      </c>
      <c r="I10" s="24" t="inlineStr">
        <is>
          <t>ACC join from CA</t>
        </is>
      </c>
      <c r="J10" s="24" t="n">
        <v>3</v>
      </c>
      <c r="K10" s="24" t="inlineStr">
        <is>
          <t>Med</t>
        </is>
      </c>
      <c r="L10" s="24" t="inlineStr">
        <is>
          <t>50-mi biz rule + issuer not Elan</t>
        </is>
      </c>
    </row>
    <row r="11">
      <c r="A11" s="26" t="inlineStr">
        <is>
          <t>—</t>
        </is>
      </c>
      <c r="B11" s="26" t="inlineStr">
        <is>
          <t>Enterprise Bank &amp; Trust</t>
        </is>
      </c>
      <c r="C11" s="26" t="inlineStr">
        <is>
          <t>Bank</t>
        </is>
      </c>
      <c r="D11" s="26" t="inlineStr">
        <is>
          <t>THE LEAD — but card likely Elan/white-label, not self-UW</t>
        </is>
      </c>
      <c r="E11" s="26" t="inlineStr">
        <is>
          <t>NO (likely Elan)</t>
        </is>
      </c>
      <c r="F11" s="26" t="inlineStr">
        <is>
          <t>Banker (LOC)</t>
        </is>
      </c>
      <c r="G11" s="26" t="inlineStr">
        <is>
          <t>LOC = banker-driven</t>
        </is>
      </c>
      <c r="H11" s="26" t="inlineStr">
        <is>
          <t>$50K claim UNVERIFIED for this entity</t>
        </is>
      </c>
      <c r="I11" s="26" t="inlineStr">
        <is>
          <t>CA branches</t>
        </is>
      </c>
      <c r="J11" s="26" t="n">
        <v>1</v>
      </c>
      <c r="K11" s="26" t="inlineStr">
        <is>
          <t>Low for GOLD</t>
        </is>
      </c>
      <c r="L11" s="26" t="inlineStr">
        <is>
          <t>Ask jmorrow: issuer? $50K=LOC or card? financials? Could be a different Enterprise Bank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13" customWidth="1" min="4" max="4"/>
    <col width="21.29" customWidth="1" min="5" max="5"/>
    <col width="30" customWidth="1" min="6" max="6"/>
    <col width="22.86" customWidth="1" min="7" max="7"/>
    <col width="89.70999999999999" customWidth="1" min="8" max="8"/>
    <col width="12.14" customWidth="1" min="9" max="9"/>
    <col width="9" customWidth="1" min="10" max="10"/>
    <col width="40" customWidth="1" min="11" max="11"/>
    <col width="21.29" customWidth="1" min="12" max="12"/>
    <col width="10" customWidth="1" min="13" max="13"/>
    <col width="34" customWidth="1" min="14" max="14"/>
    <col width="18" customWidth="1" min="15" max="15"/>
    <col width="11" customWidth="1" min="16" max="16"/>
    <col width="38" customWidth="1" min="17" max="17"/>
    <col width="26" customWidth="1" min="18" max="18"/>
    <col width="30" customWidth="1" min="19" max="19"/>
    <col width="22" customWidth="1" min="20" max="20"/>
    <col width="26" customWidth="1" min="21" max="21"/>
    <col width="50" customWidth="1" min="22" max="22"/>
    <col width="7" customWidth="1" min="23" max="23"/>
    <col width="30" customWidth="1" min="24" max="24"/>
    <col width="34" customWidth="1" min="25" max="25"/>
    <col width="22" customWidth="1" min="26" max="26"/>
    <col width="28" customWidth="1" min="27" max="27"/>
    <col width="40" customWidth="1" min="28" max="28"/>
    <col width="24" customWidth="1" min="29" max="29"/>
    <col width="16" customWidth="1" min="30" max="30"/>
    <col width="7" customWidth="1" min="31" max="31"/>
    <col width="146.43" customWidth="1" min="32" max="32"/>
    <col width="184.86" customWidth="1" min="33" max="33"/>
    <col width="62.14" customWidth="1" min="34" max="34"/>
  </cols>
  <sheetData>
    <row r="1">
      <c r="A1" s="28" t="inlineStr">
        <is>
          <t>Rec Rank</t>
        </is>
      </c>
      <c r="B1" s="28" t="inlineStr">
        <is>
          <t>Rec Pick #</t>
        </is>
      </c>
      <c r="C1" s="28" t="inlineStr">
        <is>
          <t>Bank</t>
        </is>
      </c>
      <c r="D1" s="28" t="inlineStr">
        <is>
          <t>Type</t>
        </is>
      </c>
      <c r="E1" s="28" t="inlineStr">
        <is>
          <t>SoCal Priority</t>
        </is>
      </c>
      <c r="F1" s="28" t="inlineStr">
        <is>
          <t>Meets Gold?</t>
        </is>
      </c>
      <c r="G1" s="28" t="inlineStr">
        <is>
          <t>Card Category</t>
        </is>
      </c>
      <c r="H1" s="28" t="inlineStr">
        <is>
          <t>Est. Credit Limit</t>
        </is>
      </c>
      <c r="I1" s="28" t="inlineStr">
        <is>
          <t>Assets</t>
        </is>
      </c>
      <c r="J1" s="28" t="inlineStr">
        <is>
          <t>Deposits</t>
        </is>
      </c>
      <c r="K1" s="28" t="inlineStr">
        <is>
          <t>CA Footprint</t>
        </is>
      </c>
      <c r="L1" s="28" t="inlineStr">
        <is>
          <t>CA Presence</t>
        </is>
      </c>
      <c r="M1" s="28" t="inlineStr">
        <is>
          <t>Self-UW?</t>
        </is>
      </c>
      <c r="N1" s="28" t="inlineStr">
        <is>
          <t>Business Card?</t>
        </is>
      </c>
      <c r="O1" s="28" t="inlineStr">
        <is>
          <t>Underwriter</t>
        </is>
      </c>
      <c r="P1" s="28" t="inlineStr">
        <is>
          <t>Apply</t>
        </is>
      </c>
      <c r="Q1" s="28" t="inlineStr">
        <is>
          <t>How to Apply</t>
        </is>
      </c>
      <c r="R1" s="28" t="inlineStr">
        <is>
          <t>Website</t>
        </is>
      </c>
      <c r="S1" s="28" t="inlineStr">
        <is>
          <t>Biz Card Link</t>
        </is>
      </c>
      <c r="T1" s="28" t="inlineStr">
        <is>
          <t>HP Bureau</t>
        </is>
      </c>
      <c r="U1" s="28" t="inlineStr">
        <is>
          <t>Reports To (biz bureaus)</t>
        </is>
      </c>
      <c r="V1" s="28" t="inlineStr">
        <is>
          <t>Approval Info &amp; Limits (+link)</t>
        </is>
      </c>
      <c r="W1" s="28" t="inlineStr">
        <is>
          <t>No-Doc Fit (/5)</t>
        </is>
      </c>
      <c r="X1" s="28" t="inlineStr">
        <is>
          <t>PG / Tax Returns</t>
        </is>
      </c>
      <c r="Y1" s="28" t="inlineStr">
        <is>
          <t>Other No-Doc Funding</t>
        </is>
      </c>
      <c r="Z1" s="28" t="inlineStr">
        <is>
          <t>Deposit Acct?</t>
        </is>
      </c>
      <c r="AA1" s="28" t="inlineStr">
        <is>
          <t>Best For</t>
        </is>
      </c>
      <c r="AB1" s="28" t="inlineStr">
        <is>
          <t>Card Products</t>
        </is>
      </c>
      <c r="AC1" s="28" t="inlineStr">
        <is>
          <t>Region / Metro</t>
        </is>
      </c>
      <c r="AD1" s="28" t="inlineStr">
        <is>
          <t>City (HQ)</t>
        </is>
      </c>
      <c r="AE1" s="28" t="inlineStr">
        <is>
          <t>Asset Rank</t>
        </is>
      </c>
      <c r="AF1" s="28" t="inlineStr">
        <is>
          <t>Confidence / Date</t>
        </is>
      </c>
      <c r="AG1" s="28" t="inlineStr">
        <is>
          <t>Sources</t>
        </is>
      </c>
      <c r="AH1" s="29" t="n"/>
    </row>
    <row r="2">
      <c r="A2" s="30" t="inlineStr">
        <is>
          <t>1</t>
        </is>
      </c>
      <c r="B2" s="30" t="inlineStr">
        <is>
          <t>1</t>
        </is>
      </c>
      <c r="C2" s="31" t="inlineStr">
        <is>
          <t>Chase (JPMorgan Chase)</t>
        </is>
      </c>
      <c r="D2" s="32" t="inlineStr">
        <is>
          <t>National</t>
        </is>
      </c>
      <c r="E2" s="30" t="inlineStr">
        <is>
          <t>National (lends in CA)</t>
        </is>
      </c>
      <c r="F2" s="33" t="inlineStr">
        <is>
          <t>3/4  ✓SUW ✓Onl ✗SoCal ✓Card</t>
        </is>
      </c>
      <c r="G2" s="30" t="inlineStr">
        <is>
          <t>A — Self-UW (online)</t>
        </is>
      </c>
      <c r="H2" s="30" t="inlineStr">
        <is>
          <t>$5K–$36K (2mo biz→$5K; $500K rev→$16K)  [myFICO #6803261]</t>
        </is>
      </c>
      <c r="I2" s="30" t="inlineStr">
        <is>
          <t>~$4.9T (largest US bank)</t>
        </is>
      </c>
      <c r="J2" s="30" t="inlineStr">
        <is>
          <t>~$2.7T</t>
        </is>
      </c>
      <c r="K2" s="30" t="inlineStr">
        <is>
          <t>National; extensive CA retail + business presence</t>
        </is>
      </c>
      <c r="L2" s="30" t="inlineStr">
        <is>
          <t>Major CA (branches + lending)</t>
        </is>
      </c>
      <c r="M2" s="30" t="inlineStr">
        <is>
          <t>Yes</t>
        </is>
      </c>
      <c r="N2" s="30" t="inlineStr">
        <is>
          <t>✅ Ink Cash/Unlimited: 0% 12 mo, $0 AF; Ink Preferred $95; Ink Premier $195</t>
        </is>
      </c>
      <c r="O2" s="34" t="inlineStr">
        <is>
          <t>Self (JPMorgan Chase Bank NA)</t>
        </is>
      </c>
      <c r="P2" s="30" t="inlineStr">
        <is>
          <t>Online</t>
        </is>
      </c>
      <c r="Q2" s="30" t="inlineStr">
        <is>
          <t>Online — apply at https://creditcards.chase.com/business-credit-cards/ink/cash</t>
        </is>
      </c>
      <c r="R2" s="30" t="inlineStr">
        <is>
          <t>https://creditcards.chase.com/business-credit-cards</t>
        </is>
      </c>
      <c r="S2" s="30" t="inlineStr">
        <is>
          <t>https://creditcards.chase.com/business-credit-cards/ink/cash</t>
        </is>
      </c>
      <c r="T2" s="30" t="inlineStr">
        <is>
          <t>Experian-lean (CA mixed EX/EQ; verify)</t>
        </is>
      </c>
      <c r="U2" s="30" t="inlineStr">
        <is>
          <t>Personal: only on default (Ink doesn't ADD to 5/24). Business: per-product, conflicting -&gt; N/M</t>
        </is>
      </c>
      <c r="V2" s="30" t="inlineStr">
        <is>
          <t>5/24 GATE: 5+ new personal cards/24mo = denied; but Ink doesn't add to the count. 'Ink train': ~1 Ink per 90 days (wait 4-6mo); 4 open Inks -&gt; ~0% odds. Limits $5K-$36K; 2mo-old biz-&gt;$5K, $500K rev-&gt;$16K. myfico.com #6803261 / #6823313</t>
        </is>
      </c>
      <c r="W2" s="30" t="inlineStr">
        <is>
          <t>3</t>
        </is>
      </c>
      <c r="X2" s="30" t="inlineStr">
        <is>
          <t>PG yes; NO tax returns (cards)</t>
        </is>
      </c>
      <c r="Y2" s="30" t="inlineStr">
        <is>
          <t>Chase Business Line of Credit (existing customers; data-only path ~$100K+ rev, FICO 660+)</t>
        </is>
      </c>
      <c r="Z2" s="30" t="inlineStr">
        <is>
          <t>No (Business LOC path needs Chase deposit acct)</t>
        </is>
      </c>
      <c r="AA2" s="30" t="inlineStr">
        <is>
          <t>★ The 'Ink train' — stack multiple Inks</t>
        </is>
      </c>
      <c r="AB2" s="30" t="inlineStr">
        <is>
          <t>Ink Business Cash, Ink Business Unlimited, Ink Business Preferred ($95), Ink Business Premier ($195)</t>
        </is>
      </c>
      <c r="AC2" s="30" t="inlineStr">
        <is>
          <t>National — branches + biz banking statewide in CA</t>
        </is>
      </c>
      <c r="AD2" s="30" t="inlineStr">
        <is>
          <t>New York, NY</t>
        </is>
      </c>
      <c r="AE2" s="30" t="inlineStr">
        <is>
          <t>Natl</t>
        </is>
      </c>
      <c r="AF2" s="30" t="inlineStr">
        <is>
          <t>HIGH self/lineup/terms/5-24/Ink-train/personal-default-only; N/M per-product business reporting. 2026-05-28</t>
        </is>
      </c>
      <c r="AG2" s="30" t="inlineStr">
        <is>
          <t>creditcards.chase.com/business-credit-cards/ink; doctorofcredit.com (5/24, Chase pull); thepointsguy.com; myfico.com #6803261</t>
        </is>
      </c>
    </row>
    <row r="3">
      <c r="A3" s="30" t="inlineStr">
        <is>
          <t>2</t>
        </is>
      </c>
      <c r="B3" s="30" t="inlineStr">
        <is>
          <t>2</t>
        </is>
      </c>
      <c r="C3" s="31" t="inlineStr">
        <is>
          <t>Bank of America</t>
        </is>
      </c>
      <c r="D3" s="32" t="inlineStr">
        <is>
          <t>National</t>
        </is>
      </c>
      <c r="E3" s="30" t="inlineStr">
        <is>
          <t>National (lends in CA)</t>
        </is>
      </c>
      <c r="F3" s="33" t="inlineStr">
        <is>
          <t>3/4  ✓SUW ✓Onl ✗SoCal ✓Card</t>
        </is>
      </c>
      <c r="G3" s="30" t="inlineStr">
        <is>
          <t>A — Self-UW (online)</t>
        </is>
      </c>
      <c r="H3" s="30" t="inlineStr">
        <is>
          <t>$8K–$16K typ.; up to $39.5K instant  [myFICO #6510094]</t>
        </is>
      </c>
      <c r="I3" s="30" t="inlineStr">
        <is>
          <t>~$3.41T</t>
        </is>
      </c>
      <c r="J3" s="30" t="inlineStr">
        <is>
          <t>—</t>
        </is>
      </c>
      <c r="K3" s="30" t="inlineStr">
        <is>
          <t>~1,065 CA financial centers (most of any state)</t>
        </is>
      </c>
      <c r="L3" s="30" t="inlineStr">
        <is>
          <t>Major CA (branches + lending)</t>
        </is>
      </c>
      <c r="M3" s="30" t="inlineStr">
        <is>
          <t>Yes</t>
        </is>
      </c>
      <c r="N3" s="30" t="inlineStr">
        <is>
          <t>✅ Business Advantage Cash/Travel: 0% 7-9 cyc, $0 AF; + secured</t>
        </is>
      </c>
      <c r="O3" s="34" t="inlineStr">
        <is>
          <t>Self (Bank of America NA)</t>
        </is>
      </c>
      <c r="P3" s="30" t="inlineStr">
        <is>
          <t>Online</t>
        </is>
      </c>
      <c r="Q3" s="30" t="inlineStr">
        <is>
          <t>Online — apply at https://business.bankofamerica.com/en/credit-cards/business-advantage-unlimited-cash-rewards</t>
        </is>
      </c>
      <c r="R3" s="30" t="inlineStr">
        <is>
          <t>https://business.bankofamerica.com/en/credit-cards</t>
        </is>
      </c>
      <c r="S3" s="30" t="inlineStr">
        <is>
          <t>https://business.bankofamerica.com/en/credit-cards/business-advantage-unlimited-cash-rewards</t>
        </is>
      </c>
      <c r="T3" s="30" t="inlineStr">
        <is>
          <t>Experian-dominant in CA (DoC CA: 15 EX / 6 TU / 4 EQ)</t>
        </is>
      </c>
      <c r="U3" s="30" t="inlineStr">
        <is>
          <t>Personal: only on serious delinquency. Business: SBFE (D&amp;B indirect)</t>
        </is>
      </c>
      <c r="V3" s="30" t="inlineStr">
        <is>
          <t>7/12 rule (personal); BUSINESS cards largely EXEMPT + don't add to personal 5/24 -&gt; known workaround. Limits $8-16K typical, up to $39.5K instant. Existing BofA/Merrill relationship is the big lever. Preferred Rewards for Business +25/50/75% rewards. CLI request = hard pull. myfico.com #6510094 / #6816689</t>
        </is>
      </c>
      <c r="W3" s="30" t="inlineStr">
        <is>
          <t>3</t>
        </is>
      </c>
      <c r="X3" s="30" t="inlineStr">
        <is>
          <t>PG yes (SSN); NO tax returns for cards (large/recon requests may ask 2yr returns)</t>
        </is>
      </c>
      <c r="Y3" s="30" t="inlineStr">
        <is>
          <t>Unsecured Business LOC (2yr, $100K rev — full-doc, NOT no-doc); Cash-Secured LOC easier</t>
        </is>
      </c>
      <c r="Z3" s="30" t="inlineStr">
        <is>
          <t>No (unsecured)</t>
        </is>
      </c>
      <c r="AA3" s="30" t="inlineStr">
        <is>
          <t>★ No-doc 0% card — apply online</t>
        </is>
      </c>
      <c r="AB3" s="30" t="inlineStr">
        <is>
          <t>Business Advantage Customized Cash Rewards, Unlimited Cash Rewards, Travel Rewards, + Secured</t>
        </is>
      </c>
      <c r="AC3" s="30" t="inlineStr">
        <is>
          <t>National — LARGEST CA branch network</t>
        </is>
      </c>
      <c r="AD3" s="30" t="inlineStr">
        <is>
          <t>Charlotte, NC</t>
        </is>
      </c>
      <c r="AE3" s="30" t="inlineStr">
        <is>
          <t>Natl</t>
        </is>
      </c>
      <c r="AF3" s="30" t="inlineStr">
        <is>
          <t>HIGH self/lineup/SBFE/personal-default-only/CA-footprint/7-12-exempt; MED exact 0% length (7 vs 9). 2026-05-28</t>
        </is>
      </c>
      <c r="AG3" s="30" t="inlineStr">
        <is>
          <t>business.bankofamerica.com cards; doctorofcredit.com (BofA pull CA, 7/12); wallethub.com; myfico.com #6510094</t>
        </is>
      </c>
    </row>
    <row r="4">
      <c r="A4" s="30" t="inlineStr">
        <is>
          <t>3</t>
        </is>
      </c>
      <c r="B4" s="30" t="inlineStr">
        <is>
          <t>3</t>
        </is>
      </c>
      <c r="C4" s="31" t="inlineStr">
        <is>
          <t>Wells Fargo</t>
        </is>
      </c>
      <c r="D4" s="32" t="inlineStr">
        <is>
          <t>National</t>
        </is>
      </c>
      <c r="E4" s="30" t="inlineStr">
        <is>
          <t>National (lends in CA)</t>
        </is>
      </c>
      <c r="F4" s="33" t="inlineStr">
        <is>
          <t>3/4  ✓SUW ✓Onl ✗SoCal ✓Card</t>
        </is>
      </c>
      <c r="G4" s="30" t="inlineStr">
        <is>
          <t>A — Self-UW (online)</t>
        </is>
      </c>
      <c r="H4" s="30" t="inlineStr">
        <is>
          <t>Signify $15K–$60K ($2.5K min guaranteed)  [myFICO #6773132]</t>
        </is>
      </c>
      <c r="I4" s="30" t="inlineStr">
        <is>
          <t>~$2.21T</t>
        </is>
      </c>
      <c r="J4" s="30" t="inlineStr">
        <is>
          <t>—</t>
        </is>
      </c>
      <c r="K4" s="30" t="inlineStr">
        <is>
          <t>HQ San Francisco; extensive statewide CA branches</t>
        </is>
      </c>
      <c r="L4" s="30" t="inlineStr">
        <is>
          <t>Major CA (branches + lending)</t>
        </is>
      </c>
      <c r="M4" s="30" t="inlineStr">
        <is>
          <t>Yes</t>
        </is>
      </c>
      <c r="N4" s="30" t="inlineStr">
        <is>
          <t>✅ Signify Business Cash: 0% 12 mo, $0 AF, 2% (ONLY card open to new apps)</t>
        </is>
      </c>
      <c r="O4" s="34" t="inlineStr">
        <is>
          <t>Self (Wells Fargo Bank NA)</t>
        </is>
      </c>
      <c r="P4" s="30" t="inlineStr">
        <is>
          <t>Online</t>
        </is>
      </c>
      <c r="Q4" s="30" t="inlineStr">
        <is>
          <t>Online — apply at https://www.wellsfargo.com/biz/business-credit/credit-cards/signify-business-cash-credit-card-terms-conditions/</t>
        </is>
      </c>
      <c r="R4" s="30" t="inlineStr">
        <is>
          <t>https://www.wellsfargo.com/biz/business-credit/credit-cards/</t>
        </is>
      </c>
      <c r="S4" s="30" t="inlineStr">
        <is>
          <t>https://www.wellsfargo.com/biz/business-credit/credit-cards/signify-business-cash-credit-card-terms-conditions/</t>
        </is>
      </c>
      <c r="T4" s="30" t="inlineStr">
        <is>
          <t>CA = Experian-dominant (DoC CA: 9 EX / 2 TU / 1 EQ)</t>
        </is>
      </c>
      <c r="U4" s="30" t="inlineStr">
        <is>
          <t>Personal: NEVER (does not report to consumer bureaus). Business: SBFE</t>
        </is>
      </c>
      <c r="V4" s="30" t="inlineStr">
        <is>
          <t>1/6 rule (loosely enforced w/ relationship); biz cards separate track, don't count to 5/24. Signify limits $15K-$60K ($2,500 min guaranteed). Online path favors existing WF customers (~60-day acct DP). myfico.com #6773132 / #6756650</t>
        </is>
      </c>
      <c r="W4" s="30" t="inlineStr">
        <is>
          <t>4</t>
        </is>
      </c>
      <c r="X4" s="30" t="inlineStr">
        <is>
          <t>PG yes (Account Guarantor); NO tax returns (cards)</t>
        </is>
      </c>
      <c r="Y4" s="30" t="inlineStr">
        <is>
          <t>BusinessLine LOC (Prime+1.75-9.75%; usually 2yr returns — not no-doc by default)</t>
        </is>
      </c>
      <c r="Z4" s="30" t="inlineStr">
        <is>
          <t>No (WF account optional, for overdraft)</t>
        </is>
      </c>
      <c r="AA4" s="30" t="inlineStr">
        <is>
          <t>★ Never reports to personal (CA-HQ)</t>
        </is>
      </c>
      <c r="AB4" s="30" t="inlineStr">
        <is>
          <t>Signify Business Cash (OPEN); Business Elite Signature + Business Platinum (CLOSED to new apps)</t>
        </is>
      </c>
      <c r="AC4" s="30" t="inlineStr">
        <is>
          <t>National — HQ in CA; huge CA branch network</t>
        </is>
      </c>
      <c r="AD4" s="30" t="inlineStr">
        <is>
          <t>San Francisco, CA</t>
        </is>
      </c>
      <c r="AE4" s="30" t="inlineStr">
        <is>
          <t>Natl</t>
        </is>
      </c>
      <c r="AF4" s="30" t="inlineStr">
        <is>
          <t>HIGH self/Signify-terms/SBFE/personal-NEVER/CA-HQ; MED only-Signify-open. 2026-05-28</t>
        </is>
      </c>
      <c r="AG4" s="30" t="inlineStr">
        <is>
          <t>wellsfargo.com Signify T&amp;C + agreement (SBFE, PG); doctorofcredit.com (WF pull CA); myfico.com #6773132</t>
        </is>
      </c>
    </row>
    <row r="5">
      <c r="A5" s="30" t="inlineStr">
        <is>
          <t>4</t>
        </is>
      </c>
      <c r="B5" s="30" t="inlineStr">
        <is>
          <t>4</t>
        </is>
      </c>
      <c r="C5" s="31" t="inlineStr">
        <is>
          <t>U.S. Bank (direct)</t>
        </is>
      </c>
      <c r="D5" s="32" t="inlineStr">
        <is>
          <t>National</t>
        </is>
      </c>
      <c r="E5" s="30" t="inlineStr">
        <is>
          <t>National (lends in CA)</t>
        </is>
      </c>
      <c r="F5" s="33" t="inlineStr">
        <is>
          <t>3/4  ✓SUW ✓Onl ✗SoCal ✓Card</t>
        </is>
      </c>
      <c r="G5" s="30" t="inlineStr">
        <is>
          <t>A — Self-UW (online)</t>
        </is>
      </c>
      <c r="H5" s="30" t="inlineStr">
        <is>
          <t>$3K–$10K typ.; $20K–$35K strong/long-relationship  [myFICO #6845780]</t>
        </is>
      </c>
      <c r="I5" s="30" t="inlineStr">
        <is>
          <t>~$695B (5th-largest US bank)</t>
        </is>
      </c>
      <c r="J5" s="30" t="inlineStr">
        <is>
          <t>—</t>
        </is>
      </c>
      <c r="K5" s="30" t="inlineStr">
        <is>
          <t>National; large West/CA branch network</t>
        </is>
      </c>
      <c r="L5" s="30" t="inlineStr">
        <is>
          <t>Major CA (branches + lending)</t>
        </is>
      </c>
      <c r="M5" s="30" t="inlineStr">
        <is>
          <t>Yes</t>
        </is>
      </c>
      <c r="N5" s="30" t="inlineStr">
        <is>
          <t>✅ Triple Cash: 0% 12 cyc, $0 AF, 3% cats; Business Shield/Platinum: 0% UP TO 18 cyc (in-branch) / 12 (online)</t>
        </is>
      </c>
      <c r="O5" s="34" t="inlineStr">
        <is>
          <t>Self (U.S. Bank NA)</t>
        </is>
      </c>
      <c r="P5" s="30" t="inlineStr">
        <is>
          <t>Online</t>
        </is>
      </c>
      <c r="Q5" s="30" t="inlineStr">
        <is>
          <t>Online — apply at https://www.usbank.com/business-banking/business-credit-cards/business-triple-cash-back-credit-card.html</t>
        </is>
      </c>
      <c r="R5" s="30" t="inlineStr">
        <is>
          <t>https://www.usbank.com/business-banking/business-credit-cards.html</t>
        </is>
      </c>
      <c r="S5" s="30" t="inlineStr">
        <is>
          <t>https://www.usbank.com/business-banking/business-credit-cards/business-triple-cash-back-credit-card.html</t>
        </is>
      </c>
      <c r="T5" s="30" t="inlineStr">
        <is>
          <t>TransUnion-dominant (varies by state)</t>
        </is>
      </c>
      <c r="U5" s="30" t="inlineStr">
        <is>
          <t>Personal: NEVER in good standing. Business: D&amp;B + SBFE only (NOT Experian-Biz/Equifax-Biz)</t>
        </is>
      </c>
      <c r="V5" s="30" t="inlineStr">
        <is>
          <t>DISTINCT from Elan (US Bank's agent arm) — counted as SEPARATE issuers (one applicant: US Bank-direct $20K + Elan SouthState $15K same profile). Limits $3-10K typical, $20-35K strong/long-relationship. Soft-pull CLIs reported. myfico.com #6845780 / #6608888</t>
        </is>
      </c>
      <c r="W5" s="30" t="inlineStr">
        <is>
          <t>4</t>
        </is>
      </c>
      <c r="X5" s="30" t="inlineStr">
        <is>
          <t>PG yes; NO tax returns (cards)</t>
        </is>
      </c>
      <c r="Y5" s="30" t="inlineStr">
        <is>
          <t>Cash Flow Manager LOC &lt;=$250K (may request returns — not truly no-doc)</t>
        </is>
      </c>
      <c r="Z5" s="30" t="inlineStr">
        <is>
          <t>No</t>
        </is>
      </c>
      <c r="AA5" s="30" t="inlineStr">
        <is>
          <t>★ 0% up to 18 cyc + never reports personal</t>
        </is>
      </c>
      <c r="AB5" s="30" t="inlineStr">
        <is>
          <t>Triple Cash Rewards, Business Leverage ($95), Business Altitude Connect/Power, Business Platinum/Shield</t>
        </is>
      </c>
      <c r="AC5" s="30" t="inlineStr">
        <is>
          <t>National — branches + biz banking in CA</t>
        </is>
      </c>
      <c r="AD5" s="30" t="inlineStr">
        <is>
          <t>Minneapolis, MN</t>
        </is>
      </c>
      <c r="AE5" s="30" t="inlineStr">
        <is>
          <t>Natl</t>
        </is>
      </c>
      <c r="AF5" s="30" t="inlineStr">
        <is>
          <t>HIGH self/disclosures/terms/D&amp;B+SBFE/personal-NEVER; MED HP-map. DISTINCT from Elan agent program. 2026-05-28</t>
        </is>
      </c>
      <c r="AG5" s="30" t="inlineStr">
        <is>
          <t>usbank.com business cards (creditor disclosures) + KB0096233 (D&amp;B+SBFE); ir.usbank.com (18-cyc); myfico.com #6845780</t>
        </is>
      </c>
    </row>
    <row r="6">
      <c r="A6" s="30" t="inlineStr">
        <is>
          <t>5</t>
        </is>
      </c>
      <c r="B6" s="30" t="inlineStr">
        <is>
          <t>5</t>
        </is>
      </c>
      <c r="C6" s="31" t="inlineStr">
        <is>
          <t>American Express</t>
        </is>
      </c>
      <c r="D6" s="32" t="inlineStr">
        <is>
          <t>National</t>
        </is>
      </c>
      <c r="E6" s="30" t="inlineStr">
        <is>
          <t>National (lends in CA)</t>
        </is>
      </c>
      <c r="F6" s="33" t="inlineStr">
        <is>
          <t>3/4  ✓SUW ✓Onl ✗SoCal ✓Card</t>
        </is>
      </c>
      <c r="G6" s="30" t="inlineStr">
        <is>
          <t>A — Self-UW (online)</t>
        </is>
      </c>
      <c r="H6" s="30" t="inlineStr">
        <is>
          <t>$6K–$20K (Blue Business); charge NPSL $10K–$250K  [myFICO #6507116]</t>
        </is>
      </c>
      <c r="I6" s="30" t="inlineStr">
        <is>
          <t>~$300B (Amex Co.)</t>
        </is>
      </c>
      <c r="J6" s="30" t="inlineStr">
        <is>
          <t>—</t>
        </is>
      </c>
      <c r="K6" s="30" t="inlineStr">
        <is>
          <t>National online issuer; no branch needed</t>
        </is>
      </c>
      <c r="L6" s="30" t="inlineStr">
        <is>
          <t>Online to CA (pure card issuer, no branch needed)</t>
        </is>
      </c>
      <c r="M6" s="30" t="inlineStr">
        <is>
          <t>Yes</t>
        </is>
      </c>
      <c r="N6" s="30" t="inlineStr">
        <is>
          <t>✅ Blue Business Plus/Cash: 0% 12 mo, $0 AF, 2x/2%; Business Platinum/Gold = charge (No Preset Limit)</t>
        </is>
      </c>
      <c r="O6" s="34" t="inlineStr">
        <is>
          <t>Self (American Express NB)</t>
        </is>
      </c>
      <c r="P6" s="30" t="inlineStr">
        <is>
          <t>Online</t>
        </is>
      </c>
      <c r="Q6" s="30" t="inlineStr">
        <is>
          <t>Online — apply at https://www.americanexpress.com/us/credit-cards/business/business-credit-cards/american-express-blue-business-plus-credit-card-amex/</t>
        </is>
      </c>
      <c r="R6" s="30" t="inlineStr">
        <is>
          <t>https://www.americanexpress.com/us/credit-cards/business/business-credit-cards/</t>
        </is>
      </c>
      <c r="S6" s="30" t="inlineStr">
        <is>
          <t>https://www.americanexpress.com/us/credit-cards/business/business-credit-cards/american-express-blue-business-plus-credit-card-amex/</t>
        </is>
      </c>
      <c r="T6" s="30" t="inlineStr">
        <is>
          <t>Experian (~90% of apps; rare TU/EQ)</t>
        </is>
      </c>
      <c r="U6" s="30" t="inlineStr">
        <is>
          <t>Personal: only on default (60+ days). Business: weak — SBFE/derogatory; positive D&amp;B/EX-Biz NOT reliable</t>
        </is>
      </c>
      <c r="V6" s="30" t="inlineStr">
        <is>
          <t>VELOCITY: 1-in-5-days, 2-in-90 (CHARGE cards EXEMPT), 5-credit-card limit (charge cards don't count) -&gt; stack charge cards. Blue Business limits ~$6-20K (750 FICO-&gt;$3K, ~3x grows in ~3mo). Business Platinum NPSL spend-power $10K-$250K by profile. myfico.com #6507116 / #4995093</t>
        </is>
      </c>
      <c r="W6" s="30" t="inlineStr">
        <is>
          <t>3</t>
        </is>
      </c>
      <c r="X6" s="30" t="inlineStr">
        <is>
          <t>PG yes; NO tax returns (cards). Business LOC verifies via bank-link (no returns)</t>
        </is>
      </c>
      <c r="Y6" s="30" t="inlineStr">
        <is>
          <t>Amex Business Line of Credit $2K-$250K — doc-free via bank-account link (FICO 660+, 12mo, $3K/mo rev)</t>
        </is>
      </c>
      <c r="Z6" s="30" t="inlineStr">
        <is>
          <t>No</t>
        </is>
      </c>
      <c r="AA6" s="30" t="inlineStr">
        <is>
          <t>★ Highest limits + charge-card velocity</t>
        </is>
      </c>
      <c r="AB6" s="30" t="inlineStr">
        <is>
          <t>Business Platinum, Business Gold, Business Green (charge/NPSL); Blue Business Plus, Blue Business Cash (credit)</t>
        </is>
      </c>
      <c r="AC6" s="30" t="inlineStr">
        <is>
          <t>National — issues/lends in CA</t>
        </is>
      </c>
      <c r="AD6" s="30" t="inlineStr">
        <is>
          <t>New York, NY (issuing bank: Salt Lake City, UT)</t>
        </is>
      </c>
      <c r="AE6" s="30" t="inlineStr">
        <is>
          <t>Natl</t>
        </is>
      </c>
      <c r="AF6" s="30" t="inlineStr">
        <is>
          <t>HIGH self/lineup/velocity/HP=Experian/personal-default-only; MED business-bureau (weak positive). 2026-05-28</t>
        </is>
      </c>
      <c r="AG6" s="30" t="inlineStr">
        <is>
          <t>americanexpress.com business cards + Blueprint BLOC; doctorofcredit.com; FDIC cert 27471; myfico.com #6507116</t>
        </is>
      </c>
    </row>
    <row r="7">
      <c r="A7" s="30" t="inlineStr">
        <is>
          <t>6</t>
        </is>
      </c>
      <c r="B7" s="30" t="inlineStr">
        <is>
          <t>6</t>
        </is>
      </c>
      <c r="C7" s="31" t="inlineStr">
        <is>
          <t>Citi (Citibank)</t>
        </is>
      </c>
      <c r="D7" s="32" t="inlineStr">
        <is>
          <t>National</t>
        </is>
      </c>
      <c r="E7" s="30" t="inlineStr">
        <is>
          <t>National (lends in CA)</t>
        </is>
      </c>
      <c r="F7" s="33" t="inlineStr">
        <is>
          <t>3/4  ✓SUW ✓Onl ✗SoCal ✓Card</t>
        </is>
      </c>
      <c r="G7" s="30" t="inlineStr">
        <is>
          <t>A — Self-UW (online)</t>
        </is>
      </c>
      <c r="H7" s="30" t="inlineStr">
        <is>
          <t>$1.5K–$20K (instant $20K seen)  [myFICO #6155387]</t>
        </is>
      </c>
      <c r="I7" s="30" t="inlineStr">
        <is>
          <t>~$1.76T (Citibank NA)</t>
        </is>
      </c>
      <c r="J7" s="30" t="inlineStr">
        <is>
          <t>—</t>
        </is>
      </c>
      <c r="K7" s="30" t="inlineStr">
        <is>
          <t>~270 CA branches / 171 cities (LA, SF, San Diego, Sacramento)</t>
        </is>
      </c>
      <c r="L7" s="30" t="inlineStr">
        <is>
          <t>Major CA (branches + lending)</t>
        </is>
      </c>
      <c r="M7" s="30" t="inlineStr">
        <is>
          <t>Yes</t>
        </is>
      </c>
      <c r="N7" s="30" t="inlineStr">
        <is>
          <t>⚠️ One biz card (AAdvantage Business); NO 0% intro; 19.49-28.49%; $99 AF (waived yr1)</t>
        </is>
      </c>
      <c r="O7" s="34" t="inlineStr">
        <is>
          <t>Self (Citibank NA)</t>
        </is>
      </c>
      <c r="P7" s="30" t="inlineStr">
        <is>
          <t>Online</t>
        </is>
      </c>
      <c r="Q7" s="30" t="inlineStr">
        <is>
          <t>Online — apply at https://www.citi.com/credit-cards/citi-aadvantage-business-credit-card</t>
        </is>
      </c>
      <c r="R7" s="30" t="inlineStr">
        <is>
          <t>https://www.citi.com/credit-cards/citi-aadvantage-business-credit-card</t>
        </is>
      </c>
      <c r="S7" s="30" t="inlineStr">
        <is>
          <t>https://www.citi.com/credit-cards/citi-aadvantage-business-credit-card</t>
        </is>
      </c>
      <c r="T7" s="30" t="inlineStr">
        <is>
          <t>Experian-primary (anecdotal TU/EQ)</t>
        </is>
      </c>
      <c r="U7" s="30" t="inlineStr">
        <is>
          <t>Personal: no (except default). Business: D&amp;B + Experian-Biz + Equifax-Biz + SBFE, monthly</t>
        </is>
      </c>
      <c r="V7" s="30" t="inlineStr">
        <is>
          <t>8/65 rule (1 Citi card/8 days, 2 per 65 days; personal + biz combined). Doesn't count to Chase 5/24; doesn't report to personal. Limits $1.5K-$20K (instant $20K seen). 700+ FICO. myfico.com #6155387 / #6560887</t>
        </is>
      </c>
      <c r="W7" s="30" t="inlineStr">
        <is>
          <t>3</t>
        </is>
      </c>
      <c r="X7" s="30" t="inlineStr">
        <is>
          <t>PG yes for small biz (Joint &amp; Several); no-PG 'Corporate Liability' only for $5M+ rev / 2yr firms; NO tax returns</t>
        </is>
      </c>
      <c r="Y7" s="30" t="inlineStr">
        <is>
          <t>None no-doc (SBA/commercial full-doc). The AAdvantage card is the only no-doc-feeling product</t>
        </is>
      </c>
      <c r="Z7" s="30" t="inlineStr">
        <is>
          <t>No</t>
        </is>
      </c>
      <c r="AA7" s="30" t="inlineStr">
        <is>
          <t>★ Doesn't report to personal; no 0%</t>
        </is>
      </c>
      <c r="AB7" s="30" t="inlineStr">
        <is>
          <t>Citi / AAdvantage Business World Elite Mastercard (CitiBusiness ThankYou DISCONTINUED)</t>
        </is>
      </c>
      <c r="AC7" s="30" t="inlineStr">
        <is>
          <t>National — ~270 CA branches</t>
        </is>
      </c>
      <c r="AD7" s="30" t="inlineStr">
        <is>
          <t>Sioux Falls, SD (Citibank NA) / NY (Citigroup)</t>
        </is>
      </c>
      <c r="AE7" s="30" t="inlineStr">
        <is>
          <t>Natl</t>
        </is>
      </c>
      <c r="AF7" s="30" t="inlineStr">
        <is>
          <t>HIGH self/single-card/no-0%/business-bureaus/8-65; MED no-tax-return inference. 2026-05-28</t>
        </is>
      </c>
      <c r="AG7" s="30" t="inlineStr">
        <is>
          <t>citi.com AAdvantage business; creditcards.aa.com (corporate guarantee); doctorofcredit.com (8/65); myfico.com #6155387</t>
        </is>
      </c>
    </row>
    <row r="8">
      <c r="A8" s="30" t="inlineStr">
        <is>
          <t>7</t>
        </is>
      </c>
      <c r="B8" s="30" t="inlineStr">
        <is>
          <t>7</t>
        </is>
      </c>
      <c r="C8" s="31" t="inlineStr">
        <is>
          <t>Capital One</t>
        </is>
      </c>
      <c r="D8" s="32" t="inlineStr">
        <is>
          <t>National</t>
        </is>
      </c>
      <c r="E8" s="30" t="inlineStr">
        <is>
          <t>National (lends in CA)</t>
        </is>
      </c>
      <c r="F8" s="33" t="inlineStr">
        <is>
          <t>3/4  ✓SUW ✓Onl ✗SoCal ✓Card</t>
        </is>
      </c>
      <c r="G8" s="30" t="inlineStr">
        <is>
          <t>A — Self-UW (online)</t>
        </is>
      </c>
      <c r="H8" s="30" t="inlineStr">
        <is>
          <t>$5K–$15K new; $20K–$50K est.; $75K–$100K+ strong  [myFICO #5427942]</t>
        </is>
      </c>
      <c r="I8" s="30" t="inlineStr">
        <is>
          <t>~$669B (post-Discover)</t>
        </is>
      </c>
      <c r="J8" s="30" t="inlineStr">
        <is>
          <t>—</t>
        </is>
      </c>
      <c r="K8" s="30" t="inlineStr">
        <is>
          <t>National card issuer; ~7-state branches (NOT CA); lends nationwide</t>
        </is>
      </c>
      <c r="L8" s="30" t="inlineStr">
        <is>
          <t>Online to CA (pure card issuer, no branch needed)</t>
        </is>
      </c>
      <c r="M8" s="30" t="inlineStr">
        <is>
          <t>Yes</t>
        </is>
      </c>
      <c r="N8" s="30" t="inlineStr">
        <is>
          <t>⚠️ Spark Cash Plus (charge, 2%); Spark Cash (2%, $95); Spark Cash Select (1.5%, $0). NO 0% on main cards. REPORTS TO PERSONAL CREDIT</t>
        </is>
      </c>
      <c r="O8" s="34" t="inlineStr">
        <is>
          <t>Self (Capital One NA / Bank USA NA)</t>
        </is>
      </c>
      <c r="P8" s="30" t="inlineStr">
        <is>
          <t>Online</t>
        </is>
      </c>
      <c r="Q8" s="30" t="inlineStr">
        <is>
          <t>Online — apply at https://www.capitalone.com/small-business/credit-cards/spark-cash-plus/</t>
        </is>
      </c>
      <c r="R8" s="30" t="inlineStr">
        <is>
          <t>https://www.capitalone.com/small-business/credit-cards/</t>
        </is>
      </c>
      <c r="S8" s="30" t="inlineStr">
        <is>
          <t>https://www.capitalone.com/small-business/credit-cards/spark-cash-plus/</t>
        </is>
      </c>
      <c r="T8" s="30" t="inlineStr">
        <is>
          <t>ALL THREE bureaus (EX + EQ + TU triple pull)</t>
        </is>
      </c>
      <c r="U8" s="30" t="inlineStr">
        <is>
          <t>Personal: YES, ALWAYS (Spark Cash/Select report ongoing balances) — EXCEPT Spark Cash Plus / Venture X (default-only). Business: weak/none</t>
        </is>
      </c>
      <c r="V8" s="30" t="inlineStr">
        <is>
          <t>VELOCITY: 1 Capital One card per 6 MONTHS (all personal + biz combined; else auto-deny, no HP). Soft-pull pre-qual available. Limits $5-15K new, $20-50K established, $75-100K+ strong. CLI usually SOFT pull. myfico.com #5427942 / #6822160</t>
        </is>
      </c>
      <c r="W8" s="30" t="inlineStr">
        <is>
          <t>1</t>
        </is>
      </c>
      <c r="X8" s="30" t="inlineStr">
        <is>
          <t>PG yes; NO tax returns (stated revenue)</t>
        </is>
      </c>
      <c r="Y8" s="30" t="inlineStr">
        <is>
          <t>None separate (Spark cards ARE the no-doc vehicle — but they report to personal credit)</t>
        </is>
      </c>
      <c r="Z8" s="30" t="inlineStr">
        <is>
          <t>No</t>
        </is>
      </c>
      <c r="AA8" s="30" t="inlineStr">
        <is>
          <t>★ AVOID for no-doc — reports to personal</t>
        </is>
      </c>
      <c r="AB8" s="30" t="inlineStr">
        <is>
          <t>Spark Cash Plus (charge), Spark Cash, Spark Cash Select, Spark Classic; Spark Miles -&gt; now Venture Business</t>
        </is>
      </c>
      <c r="AC8" s="30" t="inlineStr">
        <is>
          <t>National — issues in CA (no CA branches)</t>
        </is>
      </c>
      <c r="AD8" s="30" t="inlineStr">
        <is>
          <t>McLean, VA (bank: Glen Allen, VA)</t>
        </is>
      </c>
      <c r="AE8" s="30" t="inlineStr">
        <is>
          <t>Natl</t>
        </is>
      </c>
      <c r="AF8" s="30" t="inlineStr">
        <is>
          <t>HIGH self/triple-pull/REPORTS-TO-PERSONAL/6mo-velocity; MED legal entity, biz-bureau. 2026-05-28</t>
        </is>
      </c>
      <c r="AG8" s="30" t="inlineStr">
        <is>
          <t>capitalone.com/small-business/credit-cards; uscreditcardguide.com (triple pull); ramp.com (personal reporting); doctorofcredit.com (6mo rule)</t>
        </is>
      </c>
    </row>
    <row r="9">
      <c r="A9" s="30" t="inlineStr">
        <is>
          <t>8</t>
        </is>
      </c>
      <c r="B9" s="30" t="inlineStr">
        <is>
          <t>8</t>
        </is>
      </c>
      <c r="C9" s="35" t="inlineStr">
        <is>
          <t>BMO Bank</t>
        </is>
      </c>
      <c r="D9" s="36" t="inlineStr">
        <is>
          <t>Regional</t>
        </is>
      </c>
      <c r="E9" s="30" t="inlineStr">
        <is>
          <t>National (lends in CA)</t>
        </is>
      </c>
      <c r="F9" s="33" t="inlineStr">
        <is>
          <t>3/4  ✓SUW ✓Onl ✗SoCal ✓Card</t>
        </is>
      </c>
      <c r="G9" s="30" t="inlineStr">
        <is>
          <t>A — Self-UW (online)</t>
        </is>
      </c>
      <c r="H9" s="30" t="inlineStr">
        <is>
          <t>Modest: DPs $1,300–$7,500; grows via CLI  [myFICO #6773916]</t>
        </is>
      </c>
      <c r="I9" s="30" t="inlineStr">
        <is>
          <t>~$265B (BMO Bank NA)</t>
        </is>
      </c>
      <c r="J9" s="30" t="inlineStr">
        <is>
          <t>—</t>
        </is>
      </c>
      <c r="K9" s="30" t="inlineStr">
        <is>
          <t>600+ branches/10 states incl. CA; ~130 new CA branches planned; 15th-largest US bank</t>
        </is>
      </c>
      <c r="L9" s="30" t="inlineStr">
        <is>
          <t>Major CA (branches + lending)</t>
        </is>
      </c>
      <c r="M9" s="30" t="inlineStr">
        <is>
          <t>Yes</t>
        </is>
      </c>
      <c r="N9" s="30" t="inlineStr">
        <is>
          <t>✅ Business Platinum: 0% 18 mo, $0 AF; Business Platinum Rewards: 0% 9mo, tiered 5/4/3/2%</t>
        </is>
      </c>
      <c r="O9" s="34" t="inlineStr">
        <is>
          <t>Self (BMO Bank NA; ex-Bank of the West)</t>
        </is>
      </c>
      <c r="P9" s="30" t="inlineStr">
        <is>
          <t>Online</t>
        </is>
      </c>
      <c r="Q9" s="30" t="inlineStr">
        <is>
          <t>Online — apply at https://www.bmo.com/en-us/main/business-banking/credit-cards/platinum/</t>
        </is>
      </c>
      <c r="R9" s="30" t="inlineStr">
        <is>
          <t>https://www.bmo.com/en-us/main/business-banking/credit-cards/</t>
        </is>
      </c>
      <c r="S9" s="30" t="inlineStr">
        <is>
          <t>https://www.bmo.com/en-us/main/business-banking/credit-cards/platinum/</t>
        </is>
      </c>
      <c r="T9" s="30" t="inlineStr">
        <is>
          <t>TransUnion (varies)</t>
        </is>
      </c>
      <c r="U9" s="30" t="inlineStr">
        <is>
          <t>N/M (BMO-specific; likely default-only)</t>
        </is>
      </c>
      <c r="V9" s="30" t="inlineStr">
        <is>
          <t>Limits modest (DPs $1,300-$7,500); TransUnion hard pull, no prequal; CLIs over time. myfico.com #6773916</t>
        </is>
      </c>
      <c r="W9" s="30" t="inlineStr">
        <is>
          <t>3</t>
        </is>
      </c>
      <c r="X9" s="30" t="inlineStr">
        <is>
          <t>PG yes (INFERENCE); no income docs typical</t>
        </is>
      </c>
      <c r="Y9" s="30" t="inlineStr">
        <is>
          <t>Business Line of Credit (relationship-underwritten, not no-doc)</t>
        </is>
      </c>
      <c r="Z9" s="30" t="inlineStr">
        <is>
          <t>N/M</t>
        </is>
      </c>
      <c r="AA9" s="30" t="inlineStr">
        <is>
          <t>★ 0% 18 mo + large CA footprint</t>
        </is>
      </c>
      <c r="AB9" s="30" t="inlineStr">
        <is>
          <t>BMO Business Platinum (0% 18mo); BMO Business Platinum Rewards</t>
        </is>
      </c>
      <c r="AC9" s="30" t="inlineStr">
        <is>
          <t>National — LARGE CA branches (ex-Bank of the West)</t>
        </is>
      </c>
      <c r="AD9" s="30" t="inlineStr">
        <is>
          <t>Chicago, IL</t>
        </is>
      </c>
      <c r="AE9" s="30" t="inlineStr">
        <is>
          <t>Reg</t>
        </is>
      </c>
      <c r="AF9" s="30" t="inlineStr">
        <is>
          <t>HIGH self/lineup/18mo-0%; MED rewards, HP; N/M reporting. 2026-05-28</t>
        </is>
      </c>
      <c r="AG9" s="30" t="inlineStr">
        <is>
          <t>bmo.com/en-us/main/business-banking/credit-cards; supermoney.com; hustlermoneyblog.com; en.wikipedia.org/wiki/BMO_Bank; myfico.com #6773916</t>
        </is>
      </c>
    </row>
    <row r="10">
      <c r="A10" s="30" t="inlineStr">
        <is>
          <t>9</t>
        </is>
      </c>
      <c r="B10" s="30" t="inlineStr">
        <is>
          <t>9</t>
        </is>
      </c>
      <c r="C10" s="37" t="inlineStr">
        <is>
          <t>California Bank &amp; Trust</t>
        </is>
      </c>
      <c r="D10" s="36" t="inlineStr">
        <is>
          <t>Regional</t>
        </is>
      </c>
      <c r="E10" s="30" t="inlineStr">
        <is>
          <t>★ Core SoCal</t>
        </is>
      </c>
      <c r="F10" s="38" t="inlineStr">
        <is>
          <t>🥇 GOLD (4/4)</t>
        </is>
      </c>
      <c r="G10" s="30" t="inlineStr">
        <is>
          <t>A — Self-UW (online)</t>
        </is>
      </c>
      <c r="H10" s="30" t="inlineStr">
        <is>
          <t>Advertised up to $250K (AmaZing Rate min $500)</t>
        </is>
      </c>
      <c r="I10" s="30" t="inlineStr">
        <is>
          <t>~$90B (Zions Bancorporation, N.A. — shared charter)</t>
        </is>
      </c>
      <c r="J10" s="30" t="inlineStr">
        <is>
          <t>—</t>
        </is>
      </c>
      <c r="K10" s="30" t="inlineStr">
        <is>
          <t>80+ CA branches; California-only (Zions division)</t>
        </is>
      </c>
      <c r="L10" s="30" t="inlineStr">
        <is>
          <t>N/M</t>
        </is>
      </c>
      <c r="M10" s="30" t="inlineStr">
        <is>
          <t>Yes</t>
        </is>
      </c>
      <c r="N10" s="30" t="inlineStr">
        <is>
          <t>✅ AmaZing Cash/Rewards/Rate for Business: 0% 6mo; $0 AF (+$25 rewards-program fee); up to $250K limit</t>
        </is>
      </c>
      <c r="O10" s="34" t="inlineStr">
        <is>
          <t>Self (Zions Bancorporation, N.A.)</t>
        </is>
      </c>
      <c r="P10" s="30" t="inlineStr">
        <is>
          <t>Online</t>
        </is>
      </c>
      <c r="Q10" s="30" t="inlineStr">
        <is>
          <t>Online — apply at https://www.calbanktrust.com/business/business-credit-cards/</t>
        </is>
      </c>
      <c r="R10" s="30" t="inlineStr">
        <is>
          <t>https://www.calbanktrust.com</t>
        </is>
      </c>
      <c r="S10" s="30" t="inlineStr">
        <is>
          <t>https://www.calbanktrust.com/business/business-credit-cards/</t>
        </is>
      </c>
      <c r="T10" s="30" t="inlineStr">
        <is>
          <t>Experian (most-cited; varies by state)</t>
        </is>
      </c>
      <c r="U10" s="30" t="inlineStr">
        <is>
          <t>N/M (reporting not confirmed)</t>
        </is>
      </c>
      <c r="V10" s="30" t="inlineStr">
        <is>
          <t>Advertised limits up to $250K; AmaZing Rate min $500. State-gated: CB&amp;T = California only. Member-reported business DPs N/M.</t>
        </is>
      </c>
      <c r="W10" s="30" t="inlineStr">
        <is>
          <t>3</t>
        </is>
      </c>
      <c r="X10" s="30" t="inlineStr">
        <is>
          <t>PG likely (INFERENCE); no tax-return requirement advertised for cards</t>
        </is>
      </c>
      <c r="Y10" s="30" t="inlineStr">
        <is>
          <t>Cards = no-income-doc PG-based; Commercial Card separate. No no-doc loan.</t>
        </is>
      </c>
      <c r="Z10" s="30" t="inlineStr">
        <is>
          <t>N/M</t>
        </is>
      </c>
      <c r="AA10" s="30" t="inlineStr">
        <is>
          <t>★ No-doc 0% card — apply online</t>
        </is>
      </c>
      <c r="AB10" s="30" t="inlineStr">
        <is>
          <t>AmaZing Cash for Business, AmaZing Rewards for Business, AmaZing Rate for Business</t>
        </is>
      </c>
      <c r="AC10" s="30" t="inlineStr">
        <is>
          <t>SoCal / San Diego (CA-only bank)</t>
        </is>
      </c>
      <c r="AD10" s="30" t="inlineStr">
        <is>
          <t>San Diego, CA</t>
        </is>
      </c>
      <c r="AE10" s="30" t="inlineStr">
        <is>
          <t>Reg</t>
        </is>
      </c>
      <c r="AF10" s="30" t="inlineStr">
        <is>
          <t>HIGH self (agreement)/products/terms/online/CA-only; MED HP; N/M reporting, PG. 2026-05-28</t>
        </is>
      </c>
      <c r="AG10" s="30" t="inlineStr">
        <is>
          <t>calbanktrust.com/business/business-credit-cards + agreement PDFs (issuer=Zions); doctorofcredit.com (state gating); en.wikipedia.org/wiki/California_Bank_and_Trust</t>
        </is>
      </c>
    </row>
    <row r="11">
      <c r="A11" s="30" t="inlineStr">
        <is>
          <t>10</t>
        </is>
      </c>
      <c r="B11" s="30" t="inlineStr">
        <is>
          <t>10</t>
        </is>
      </c>
      <c r="C11" s="37" t="inlineStr">
        <is>
          <t>San Diego County Credit Union (SDCCU)</t>
        </is>
      </c>
      <c r="D11" s="39" t="inlineStr">
        <is>
          <t>Credit Union</t>
        </is>
      </c>
      <c r="E11" s="30" t="inlineStr">
        <is>
          <t>★ Core SoCal</t>
        </is>
      </c>
      <c r="F11" s="38" t="inlineStr">
        <is>
          <t>🥇 GOLD (4/4)</t>
        </is>
      </c>
      <c r="G11" s="30" t="inlineStr">
        <is>
          <t>A — Self-UW (online)</t>
        </is>
      </c>
      <c r="H11" s="30" t="inlineStr">
        <is>
          <t>$5K–$20K  [myFICO #6761567]</t>
        </is>
      </c>
      <c r="I11" s="30" t="inlineStr">
        <is>
          <t>~$9.26B</t>
        </is>
      </c>
      <c r="J11" s="30" t="inlineStr">
        <is>
          <t>—</t>
        </is>
      </c>
      <c r="K11" s="30" t="inlineStr">
        <is>
          <t>All SoCal counties + FFA nationwide; ~37 branches</t>
        </is>
      </c>
      <c r="L11" s="30" t="inlineStr">
        <is>
          <t>CA-HQ'd</t>
        </is>
      </c>
      <c r="M11" s="30" t="inlineStr">
        <is>
          <t>Yes</t>
        </is>
      </c>
      <c r="N11" s="30" t="inlineStr">
        <is>
          <t>✅ SDCCU Visa Business: NO 0% intro; 11.74% (low); $25 AF (waived $10K spend); NO rewards; $5K-$20K limits</t>
        </is>
      </c>
      <c r="O11" s="34" t="inlineStr">
        <is>
          <t>Self (San Diego County Credit Union)</t>
        </is>
      </c>
      <c r="P11" s="30" t="inlineStr">
        <is>
          <t>Online</t>
        </is>
      </c>
      <c r="Q11" s="30" t="inlineStr">
        <is>
          <t>Online — apply at https://www.sdccu.com/business/business-credit-card/</t>
        </is>
      </c>
      <c r="R11" s="30" t="inlineStr">
        <is>
          <t>https://www.sdccu.com/business/business-credit-card/</t>
        </is>
      </c>
      <c r="S11" s="30" t="inlineStr">
        <is>
          <t>https://www.sdccu.com/business/business-credit-card/</t>
        </is>
      </c>
      <c r="T11" s="30" t="inlineStr">
        <is>
          <t>Experian (forum DP; membership HP may be reused)</t>
        </is>
      </c>
      <c r="U11" s="30" t="inlineStr">
        <is>
          <t>Negative/default (personal); business bureaus N/M</t>
        </is>
      </c>
      <c r="V11" s="30" t="inlineStr">
        <is>
          <t>2-step (membership first). Conservative: denied a NEW corp despite excellent credit + $55K deposit. Income reviewed. CLI likely hard pull. myfico.com #6761567</t>
        </is>
      </c>
      <c r="W11" s="30" t="inlineStr">
        <is>
          <t>3</t>
        </is>
      </c>
      <c r="X11" s="30" t="inlineStr">
        <is>
          <t>PG (INFERENCE); income reviewed</t>
        </is>
      </c>
      <c r="Y11" s="30" t="inlineStr">
        <is>
          <t>None (conservative underwriting; no no-doc)</t>
        </is>
      </c>
      <c r="Z11" s="30" t="inlineStr">
        <is>
          <t>Membership required (all SoCal counties + nationwide via Financial Fitness Assoc $8)</t>
        </is>
      </c>
      <c r="AA11" s="30" t="inlineStr">
        <is>
          <t>★ No-doc card — apply online</t>
        </is>
      </c>
      <c r="AB11" s="30" t="inlineStr">
        <is>
          <t>SDCCU Visa Business Credit Card (low-rate, no rewards)</t>
        </is>
      </c>
      <c r="AC11" s="30" t="inlineStr">
        <is>
          <t>SoCal / San Diego (all-SoCal FOM)</t>
        </is>
      </c>
      <c r="AD11" s="30" t="inlineStr">
        <is>
          <t>San Diego, CA</t>
        </is>
      </c>
      <c r="AE11" s="30" t="inlineStr">
        <is>
          <t>CU</t>
        </is>
      </c>
      <c r="AF11" s="30" t="inlineStr">
        <is>
          <t>HIGH self/terms/low-APR/membership; conservative underwriting (new-biz denials). 2026-05-28</t>
        </is>
      </c>
      <c r="AG11" s="30" t="inlineStr">
        <is>
          <t>sdccu.com/business/business-credit-card + rates PDF + consumer agreement; myfico.com #6761567; wallethub.com</t>
        </is>
      </c>
    </row>
    <row r="12">
      <c r="A12" s="30" t="inlineStr">
        <is>
          <t>11</t>
        </is>
      </c>
      <c r="B12" s="30" t="inlineStr">
        <is>
          <t>11</t>
        </is>
      </c>
      <c r="C12" s="37" t="inlineStr">
        <is>
          <t>Nuvision Credit Union</t>
        </is>
      </c>
      <c r="D12" s="39" t="inlineStr">
        <is>
          <t>Credit Union</t>
        </is>
      </c>
      <c r="E12" s="30" t="inlineStr">
        <is>
          <t>★ Core SoCal</t>
        </is>
      </c>
      <c r="F12" s="38" t="inlineStr">
        <is>
          <t>🥇 GOLD (4/4)</t>
        </is>
      </c>
      <c r="G12" s="30" t="inlineStr">
        <is>
          <t>A — Self-UW (online)</t>
        </is>
      </c>
      <c r="H12" s="30" t="inlineStr">
        <is>
          <t>N/M (no bank-specific data point found)</t>
        </is>
      </c>
      <c r="I12" s="30" t="inlineStr">
        <is>
          <t>~$3.93B</t>
        </is>
      </c>
      <c r="J12" s="30" t="inlineStr">
        <is>
          <t>—</t>
        </is>
      </c>
      <c r="K12" s="30" t="inlineStr">
        <is>
          <t>HQ Huntington Beach (OC); ~$3.9B; ~27-36 branches CA/AK/AZ/WY/WA; FOM 5 SoCal counties + nationwide via ACC</t>
        </is>
      </c>
      <c r="L12" s="30" t="inlineStr">
        <is>
          <t>CA-HQ'd</t>
        </is>
      </c>
      <c r="M12" s="30" t="inlineStr">
        <is>
          <t>Yes</t>
        </is>
      </c>
      <c r="N12" s="30" t="inlineStr">
        <is>
          <t>✅ Business Visa Rewards: NO 0% intro; APR N/M ('low rates'); $0 AF; 1pt/$1; free employee cards</t>
        </is>
      </c>
      <c r="O12" s="34" t="inlineStr">
        <is>
          <t>Self (Nuvision FCU)</t>
        </is>
      </c>
      <c r="P12" s="30" t="inlineStr">
        <is>
          <t>Online</t>
        </is>
      </c>
      <c r="Q12" s="30" t="inlineStr">
        <is>
          <t>Online — apply at https://nuvisionfederal.com/business-banking/credit-cards</t>
        </is>
      </c>
      <c r="R12" s="30" t="inlineStr">
        <is>
          <t>https://nuvisionfederal.com/business-banking/credit-cards</t>
        </is>
      </c>
      <c r="S12" s="30" t="inlineStr">
        <is>
          <t>https://nuvisionfederal.com/business-banking/credit-cards</t>
        </is>
      </c>
      <c r="T12" s="30" t="inlineStr">
        <is>
          <t>N/M (agreement names EX/EQ/TU generically)</t>
        </is>
      </c>
      <c r="U12" s="30" t="inlineStr">
        <is>
          <t>N/M (personal vs business unspecified)</t>
        </is>
      </c>
      <c r="V12" s="30" t="inlineStr">
        <is>
          <t>Apply via LoansPQ online portal (app.loanspq.com) or paper. PG likely (N/M). No business-card forum DPs.</t>
        </is>
      </c>
      <c r="W12" s="30" t="inlineStr">
        <is>
          <t>3</t>
        </is>
      </c>
      <c r="X12" s="30" t="inlineStr">
        <is>
          <t>PG likely (INFERENCE); no income docs stated</t>
        </is>
      </c>
      <c r="Y12" s="30" t="inlineStr">
        <is>
          <t>None (business loans via Business Member rep; no no-doc product)</t>
        </is>
      </c>
      <c r="Z12" s="30" t="inlineStr">
        <is>
          <t>Membership required (LA/Orange/San Diego/Ventura/Santa Barbara counties + Boeing/SEGs + family; OPEN nationwide via American Consumer Council)</t>
        </is>
      </c>
      <c r="AA12" s="30" t="inlineStr">
        <is>
          <t>★ No-doc card — apply online</t>
        </is>
      </c>
      <c r="AB12" s="30" t="inlineStr">
        <is>
          <t>Nuvision Business Visa Rewards Card (self-issued, $0 AF, 1pt/$1)</t>
        </is>
      </c>
      <c r="AC12" s="30" t="inlineStr">
        <is>
          <t>SoCal / Orange County</t>
        </is>
      </c>
      <c r="AD12" s="30" t="inlineStr">
        <is>
          <t>Huntington Beach</t>
        </is>
      </c>
      <c r="AE12" s="30" t="inlineStr">
        <is>
          <t>CU</t>
        </is>
      </c>
      <c r="AF12" s="30" t="inlineStr">
        <is>
          <t>HIGH self (agreement 'WE=NUVISION FCU', no agent issuer)/apply-online/SoCal/open-membership; N/M APR, HP, PG. 2026-05-29</t>
        </is>
      </c>
      <c r="AG12" s="30" t="inlineStr">
        <is>
          <t>nuvisionfederal.com/business-banking/credit-cards + visa agreement PDF (self-issued); /about-us/am-i-eligible (ACC path)</t>
        </is>
      </c>
    </row>
    <row r="13">
      <c r="A13" s="30" t="inlineStr">
        <is>
          <t>12</t>
        </is>
      </c>
      <c r="B13" s="30" t="inlineStr">
        <is>
          <t>12</t>
        </is>
      </c>
      <c r="C13" s="37" t="inlineStr">
        <is>
          <t>Premier America Credit Union</t>
        </is>
      </c>
      <c r="D13" s="39" t="inlineStr">
        <is>
          <t>Credit Union</t>
        </is>
      </c>
      <c r="E13" s="30" t="inlineStr">
        <is>
          <t>★ Core SoCal</t>
        </is>
      </c>
      <c r="F13" s="38" t="inlineStr">
        <is>
          <t>🥇 GOLD (4/4)</t>
        </is>
      </c>
      <c r="G13" s="30" t="inlineStr">
        <is>
          <t>A — Self-UW (online)</t>
        </is>
      </c>
      <c r="H13" s="30" t="inlineStr">
        <is>
          <t>$5,000–$50,000 ($50K needs 2+yr profitable; new biz lower)  [product page]</t>
        </is>
      </c>
      <c r="I13" s="30" t="inlineStr">
        <is>
          <t>~$3.31B</t>
        </is>
      </c>
      <c r="J13" s="30" t="inlineStr">
        <is>
          <t>—</t>
        </is>
      </c>
      <c r="K13" s="30" t="inlineStr">
        <is>
          <t>HQ Chatsworth (LA County); ~$3.31B (NCUA 9/30/25); ~112K members; LA/Ventura + Houston TX</t>
        </is>
      </c>
      <c r="L13" s="30" t="inlineStr">
        <is>
          <t>CA-HQ'd</t>
        </is>
      </c>
      <c r="M13" s="30" t="inlineStr">
        <is>
          <t>Yes</t>
        </is>
      </c>
      <c r="N13" s="30" t="inlineStr">
        <is>
          <t>✅ Premier Business Mastercard: NO 0% intro; 14.99% var; $0 AF; no late/over-limit/BT fees; merchant rebates; $5K-$50K lines</t>
        </is>
      </c>
      <c r="O13" s="34" t="inlineStr">
        <is>
          <t>Self (Premier America CU — confirmed creditor; Experian BusinessIQ app, no agent bank named)</t>
        </is>
      </c>
      <c r="P13" s="30" t="inlineStr">
        <is>
          <t>Online</t>
        </is>
      </c>
      <c r="Q13" s="30" t="inlineStr">
        <is>
          <t>Online — apply at https://www.premieramerica.com/business/loans/premier-business-mastercard</t>
        </is>
      </c>
      <c r="R13" s="30" t="inlineStr">
        <is>
          <t>https://www.premieramerica.com/business/loans/premier-business-mastercard</t>
        </is>
      </c>
      <c r="S13" s="30" t="inlineStr">
        <is>
          <t>https://www.premieramerica.com/business/loans/premier-business-mastercard</t>
        </is>
      </c>
      <c r="T13" s="30" t="inlineStr">
        <is>
          <t>Personal pull on guarantor (FCRA auth; bureau not named)</t>
        </is>
      </c>
      <c r="U13" s="30" t="inlineStr">
        <is>
          <t>Personal: late payments reported; business bureaus N/M (markets 'build business credit')</t>
        </is>
      </c>
      <c r="V13" s="30" t="inlineStr">
        <is>
          <t>Online app on Experian BusinessIQ (commercialcreditapps.com); CU-creditor language + Personal Guarantee Authorization. Lines $5K-$50K ($50K needs 2+yr profitable; new biz lower). No forum DPs.</t>
        </is>
      </c>
      <c r="W13" s="30" t="inlineStr">
        <is>
          <t>3</t>
        </is>
      </c>
      <c r="X13" s="30" t="inlineStr">
        <is>
          <t>PG yes (Personal Guarantee Authorization on app); SSN/income collected; no tax returns stated</t>
        </is>
      </c>
      <c r="Y13" s="30" t="inlineStr">
        <is>
          <t>None advertised (card is PG + personal-credit pull)</t>
        </is>
      </c>
      <c r="Z13" s="30" t="inlineStr">
        <is>
          <t>Membership required (LA + Ventura County CA + Harris County TX + family; OPEN via Thousand Oaks Alliance for the Arts; business share deposit $250)</t>
        </is>
      </c>
      <c r="AA13" s="30" t="inlineStr">
        <is>
          <t>★ No-doc card — apply online</t>
        </is>
      </c>
      <c r="AB13" s="30" t="inlineStr">
        <is>
          <t>Premier Business Mastercard (SELF-issued; $0 AF, 14.99%, $5K-$50K, merchant rebates)</t>
        </is>
      </c>
      <c r="AC13" s="30" t="inlineStr">
        <is>
          <t>SoCal / LA (+ Ventura)</t>
        </is>
      </c>
      <c r="AD13" s="30" t="inlineStr">
        <is>
          <t>Chatsworth</t>
        </is>
      </c>
      <c r="AE13" s="30" t="inlineStr">
        <is>
          <t>CU</t>
        </is>
      </c>
      <c r="AF13" s="30" t="inlineStr">
        <is>
          <t>HIGH self (CU-creditor language in app, no agent bank named — re-verified 2026-05-29)/online/SoCal/$5K-$50K = GOLD; MED HP bureau, biz reporting. 2026-05-29</t>
        </is>
      </c>
      <c r="AG13" s="30" t="inlineStr">
        <is>
          <t>premieramerica.com/business/loans/premier-business-mastercard + /borrow/credit-cards/compare-all-cards (CU=lender); commercialcreditapps.com BusinessIQ app (PG, FCRA); hustlermoneyblog (arts path)</t>
        </is>
      </c>
    </row>
    <row r="14">
      <c r="A14" s="30" t="inlineStr">
        <is>
          <t>13</t>
        </is>
      </c>
      <c r="B14" s="30" t="inlineStr">
        <is>
          <t>13</t>
        </is>
      </c>
      <c r="C14" s="40" t="inlineStr">
        <is>
          <t>First Citizens Bank</t>
        </is>
      </c>
      <c r="D14" s="36" t="inlineStr">
        <is>
          <t>Regional</t>
        </is>
      </c>
      <c r="E14" s="30" t="inlineStr">
        <is>
          <t>National (lends in CA)</t>
        </is>
      </c>
      <c r="F14" s="41" t="inlineStr">
        <is>
          <t>2/4  ✓SUW ✗Onl ✗SoCal ✓Card</t>
        </is>
      </c>
      <c r="G14" s="30" t="inlineStr">
        <is>
          <t>B — Self-UW (in branch)</t>
        </is>
      </c>
      <c r="H14" s="30" t="inlineStr">
        <is>
          <t>$20K SL (Low-Interest Biz, branch + biz checking)  [myFICO #6704468]</t>
        </is>
      </c>
      <c r="I14" s="30" t="inlineStr">
        <is>
          <t>~$236B</t>
        </is>
      </c>
      <c r="J14" s="30" t="inlineStr">
        <is>
          <t>—</t>
        </is>
      </c>
      <c r="K14" s="30" t="inlineStr">
        <is>
          <t>500+ branches/23 states; major CA (ex-SVB, Santa Clara); SVB-&gt;First Citizens rebrand Q4 2026</t>
        </is>
      </c>
      <c r="L14" s="30" t="inlineStr">
        <is>
          <t>Major CA (branches + lending)</t>
        </is>
      </c>
      <c r="M14" s="30" t="inlineStr">
        <is>
          <t>Yes</t>
        </is>
      </c>
      <c r="N14" s="30" t="inlineStr">
        <is>
          <t>✅ 4 Business Visa (Cash Rewards, Rewards, Premium $95, Low-Interest 0% 12mo). Branch-apply only. + SVB Innovator (NO PG, commercial charge)</t>
        </is>
      </c>
      <c r="O14" s="34" t="inlineStr">
        <is>
          <t>Self (First-Citizens Bank &amp; Trust)</t>
        </is>
      </c>
      <c r="P14" s="30" t="inlineStr">
        <is>
          <t>In-person</t>
        </is>
      </c>
      <c r="Q14" s="30" t="inlineStr">
        <is>
          <t>Visit branch / contact a banker (no online application)</t>
        </is>
      </c>
      <c r="R14" s="30" t="inlineStr">
        <is>
          <t>https://www.firstcitizens.com/small-business/credit-financing/credit-cards</t>
        </is>
      </c>
      <c r="S14" s="30" t="inlineStr">
        <is>
          <t>https://www.firstcitizens.com/small-business/credit-financing/credit-cards</t>
        </is>
      </c>
      <c r="T14" s="30" t="inlineStr">
        <is>
          <t>All 3 bureaus (EX+EQ+TU) blended w/ business data</t>
        </is>
      </c>
      <c r="U14" s="30" t="inlineStr">
        <is>
          <t>Pulls D&amp;B/EX-Biz/EQ-Biz; personal N/M (likely default-only)</t>
        </is>
      </c>
      <c r="V14" s="30" t="inlineStr">
        <is>
          <t>DP: Low-Interest Business $20K SL, auto-approved after opening biz checking in-branch (FICO ~750, D&amp;B 80). Branch + deposit relationship required. myfico.com #6704468</t>
        </is>
      </c>
      <c r="W14" s="30" t="inlineStr">
        <is>
          <t>2</t>
        </is>
      </c>
      <c r="X14" s="30" t="inlineStr">
        <is>
          <t>PG yes; NO tax returns (states income) — but branch + relationship gated</t>
        </is>
      </c>
      <c r="Y14" s="30" t="inlineStr">
        <is>
          <t>SVB Innovator Card = NO personal guarantee (commercial charge, for funded companies) — notable no-PG option</t>
        </is>
      </c>
      <c r="Z14" s="30" t="inlineStr">
        <is>
          <t>Yes (business checking relationship, opened in-branch)</t>
        </is>
      </c>
      <c r="AA14" s="30" t="inlineStr">
        <is>
          <t>SVB Innovator = no personal guarantee</t>
        </is>
      </c>
      <c r="AB14" s="30" t="inlineStr">
        <is>
          <t>First Citizens Business Visa: Cash Rewards, Rewards, Premium Rewards ($95), Low-Interest; SVB Innovator (no-PG charge)</t>
        </is>
      </c>
      <c r="AC14" s="30" t="inlineStr">
        <is>
          <t>National — major CA via SVB acquisition (2023)</t>
        </is>
      </c>
      <c r="AD14" s="30" t="inlineStr">
        <is>
          <t>Raleigh, NC</t>
        </is>
      </c>
      <c r="AE14" s="30" t="inlineStr">
        <is>
          <t>Reg</t>
        </is>
      </c>
      <c r="AF14" s="30" t="inlineStr">
        <is>
          <t>HIGH self (cardholder agreement)/lineup/PG/no-tax; branch-only + deposit-relationship gated. SVB Innovator = no-PG. 2026-05-28</t>
        </is>
      </c>
      <c r="AG14" s="30" t="inlineStr">
        <is>
          <t>firstcitizens.com/small-business/credit-financing/credit-cards + cardholder agreement PDF (no agent issuer); svb.com/.../svb-innovator-card; myfico.com #6704468</t>
        </is>
      </c>
    </row>
    <row r="15">
      <c r="A15" s="30" t="inlineStr">
        <is>
          <t>14</t>
        </is>
      </c>
      <c r="B15" s="30" t="inlineStr">
        <is>
          <t>14</t>
        </is>
      </c>
      <c r="C15" s="42" t="inlineStr">
        <is>
          <t>Western Alliance Bank</t>
        </is>
      </c>
      <c r="D15" s="36" t="inlineStr">
        <is>
          <t>Regional</t>
        </is>
      </c>
      <c r="E15" s="30" t="inlineStr">
        <is>
          <t>★ Core SoCal</t>
        </is>
      </c>
      <c r="F15" s="33" t="inlineStr">
        <is>
          <t>3/4  ✓SUW ✗Onl ✓SoCal ✓Card</t>
        </is>
      </c>
      <c r="G15" s="30" t="inlineStr">
        <is>
          <t>B — Self-UW (in branch)</t>
        </is>
      </c>
      <c r="H15" s="30" t="inlineStr">
        <is>
          <t>N/M (no bank-specific data point found)</t>
        </is>
      </c>
      <c r="I15" s="30" t="inlineStr">
        <is>
          <t>~$98.8B</t>
        </is>
      </c>
      <c r="J15" s="30" t="inlineStr">
        <is>
          <t>—</t>
        </is>
      </c>
      <c r="K15" s="30" t="inlineStr">
        <is>
          <t>HQ Phoenix; CA divisions Torrey Pines Bank (San Diego) + Bridge Bank (Silicon Valley); ~10 CA branches</t>
        </is>
      </c>
      <c r="L15" s="30" t="inlineStr">
        <is>
          <t>Major CA (branches + lending)</t>
        </is>
      </c>
      <c r="M15" s="30" t="inlineStr">
        <is>
          <t>Yes</t>
        </is>
      </c>
      <c r="N15" s="30" t="inlineStr">
        <is>
          <t>✅ Business Plus Visa (revolving, 1pt, $0 AF); NO 0% intro; ~Prime+10% (~17.5%)</t>
        </is>
      </c>
      <c r="O15" s="34" t="inlineStr">
        <is>
          <t>Self (Western Alliance Bank)</t>
        </is>
      </c>
      <c r="P15" s="30" t="inlineStr">
        <is>
          <t>In-person</t>
        </is>
      </c>
      <c r="Q15" s="30" t="inlineStr">
        <is>
          <t>Lead form → banker contacts in 2–3 days (RM-driven)</t>
        </is>
      </c>
      <c r="R15" s="30" t="inlineStr">
        <is>
          <t>https://www.westernalliancebancorporation.com/small-business/business-credit-cards</t>
        </is>
      </c>
      <c r="S15" s="30" t="inlineStr">
        <is>
          <t>https://www.westernalliancebancorporation.com/small-business/credit-cards/business-plus-credit-card</t>
        </is>
      </c>
      <c r="T15" s="30" t="inlineStr">
        <is>
          <t>N/M (personal pull; bureau not disclosed)</t>
        </is>
      </c>
      <c r="U15" s="30" t="inlineStr">
        <is>
          <t>N/M (reporting authorized; bureaus unspecified)</t>
        </is>
      </c>
      <c r="V15" s="30" t="inlineStr">
        <is>
          <t>Relationship/RM-driven; lead form ('banker contacts in 2-3 days'), balance transfers via RM. No forum data.</t>
        </is>
      </c>
      <c r="W15" s="30" t="inlineStr">
        <is>
          <t>2</t>
        </is>
      </c>
      <c r="X15" s="30" t="inlineStr">
        <is>
          <t>PG conditional ('if Bank requires'); financials at banker discretion</t>
        </is>
      </c>
      <c r="Y15" s="30" t="inlineStr">
        <is>
          <t>None (SBA/C&amp;I/CRE relationship-underwritten)</t>
        </is>
      </c>
      <c r="Z15" s="30" t="inlineStr">
        <is>
          <t>N/M (banking relationship expected)</t>
        </is>
      </c>
      <c r="AA15" s="30" t="inlineStr">
        <is>
          <t>No-doc card — apply in branch</t>
        </is>
      </c>
      <c r="AB15" s="30" t="inlineStr">
        <is>
          <t>Visa Business Plus; Visa Commercial / Commercial Plus / ONE Card</t>
        </is>
      </c>
      <c r="AC15" s="30" t="inlineStr">
        <is>
          <t>SoCal / San Diego + Silicon Valley (Torrey Pines / Bridge Bank)</t>
        </is>
      </c>
      <c r="AD15" s="30" t="inlineStr">
        <is>
          <t>Phoenix, AZ</t>
        </is>
      </c>
      <c r="AE15" s="30" t="inlineStr">
        <is>
          <t>Reg</t>
        </is>
      </c>
      <c r="AF15" s="30" t="inlineStr">
        <is>
          <t>HIGH self/products/no-0%/footprint; apply N (RM/lead form); N/M HP, reports. 2026-05-28</t>
        </is>
      </c>
      <c r="AG15" s="30" t="inlineStr">
        <is>
          <t>westernalliancebancorporation.com/small-business/credit-cards + commercial-credit-card-agreement (issuer=self); torrey-pines-bank + bridge-bank pages; FDIC cert 57512</t>
        </is>
      </c>
    </row>
    <row r="16">
      <c r="A16" s="30" t="inlineStr">
        <is>
          <t>15</t>
        </is>
      </c>
      <c r="B16" s="30" t="inlineStr">
        <is>
          <t>15</t>
        </is>
      </c>
      <c r="C16" s="42" t="inlineStr">
        <is>
          <t>Redwood Credit Union</t>
        </is>
      </c>
      <c r="D16" s="39" t="inlineStr">
        <is>
          <t>Credit Union</t>
        </is>
      </c>
      <c r="E16" s="30" t="inlineStr">
        <is>
          <t>Other — NorCal</t>
        </is>
      </c>
      <c r="F16" s="33" t="inlineStr">
        <is>
          <t>3/4  ✓SUW ✓Onl ✗SoCal ✓Card</t>
        </is>
      </c>
      <c r="G16" s="30" t="inlineStr">
        <is>
          <t>A — Self-UW (online)</t>
        </is>
      </c>
      <c r="H16" s="30" t="inlineStr">
        <is>
          <t>N/M (no bank-specific data point found)</t>
        </is>
      </c>
      <c r="I16" s="30" t="inlineStr">
        <is>
          <t>~$9.76B</t>
        </is>
      </c>
      <c r="J16" s="30" t="inlineStr">
        <is>
          <t>—</t>
        </is>
      </c>
      <c r="K16" s="30" t="inlineStr">
        <is>
          <t>8 North Bay counties; ~23 branches</t>
        </is>
      </c>
      <c r="L16" s="30" t="inlineStr">
        <is>
          <t>CA-HQ'd</t>
        </is>
      </c>
      <c r="M16" s="30" t="inlineStr">
        <is>
          <t>Yes</t>
        </is>
      </c>
      <c r="N16" s="30" t="inlineStr">
        <is>
          <t>⚠️ Business Visa Platinum (Preferred/Select): $0 AF, 1pt; NO 0% intro. FULL-DOC: requires tax returns + financials</t>
        </is>
      </c>
      <c r="O16" s="34" t="inlineStr">
        <is>
          <t>Self (Redwood Credit Union)</t>
        </is>
      </c>
      <c r="P16" s="30" t="inlineStr">
        <is>
          <t>Online</t>
        </is>
      </c>
      <c r="Q16" s="30" t="inlineStr">
        <is>
          <t>Online — apply at https://www.redwoodcu.org/business/cards/business-visa-platinum/</t>
        </is>
      </c>
      <c r="R16" s="30" t="inlineStr">
        <is>
          <t>https://www.redwoodcu.org/business/cards/business-visa-platinum/</t>
        </is>
      </c>
      <c r="S16" s="30" t="inlineStr">
        <is>
          <t>https://www.redwoodcu.org/business/cards/business-visa-platinum/</t>
        </is>
      </c>
      <c r="T16" s="30" t="inlineStr">
        <is>
          <t>N/M</t>
        </is>
      </c>
      <c r="U16" s="30" t="inlineStr">
        <is>
          <t>Negative/default (personal); business bureaus N/M</t>
        </is>
      </c>
      <c r="V16" s="30" t="inlineStr">
        <is>
          <t>FULL-DOC: 'need business income statement and business federal tax returns; personal credit reviewed.' Business must be HQ'd in 8-county area. No forum data.</t>
        </is>
      </c>
      <c r="W16" s="30" t="inlineStr">
        <is>
          <t>1</t>
        </is>
      </c>
      <c r="X16" s="30" t="inlineStr">
        <is>
          <t>PG (INFERENCE) + tax returns + financials REQUIRED — NOT no-doc</t>
        </is>
      </c>
      <c r="Y16" s="30" t="inlineStr">
        <is>
          <t>None (the card itself is full-doc)</t>
        </is>
      </c>
      <c r="Z16" s="30" t="inlineStr">
        <is>
          <t>Membership required (8 North Bay counties; business HQ'd there)</t>
        </is>
      </c>
      <c r="AA16" s="30" t="inlineStr">
        <is>
          <t>★ Full-doc — requires tax returns</t>
        </is>
      </c>
      <c r="AB16" s="30" t="inlineStr">
        <is>
          <t>Redwood CU Business Visa Platinum (Preferred / Select)</t>
        </is>
      </c>
      <c r="AC16" s="30" t="inlineStr">
        <is>
          <t>NorCal / SF (North Bay, 8-county FOM)</t>
        </is>
      </c>
      <c r="AD16" s="30" t="inlineStr">
        <is>
          <t>Santa Rosa, CA</t>
        </is>
      </c>
      <c r="AE16" s="30" t="inlineStr">
        <is>
          <t>CU</t>
        </is>
      </c>
      <c r="AF16" s="30" t="inlineStr">
        <is>
          <t>HIGH self/card-exists/FULL-DOC (tax returns required); MED APR. NOT a no-doc target. 2026-05-28</t>
        </is>
      </c>
      <c r="AG16" s="30" t="inlineStr">
        <is>
          <t>redwoodcu.org/business/cards/business-visa-platinum (tax returns required); CFPB agreement PDF (self); /about/press-room/fact-sheet</t>
        </is>
      </c>
    </row>
    <row r="17">
      <c r="A17" s="30" t="inlineStr">
        <is>
          <t>16</t>
        </is>
      </c>
      <c r="B17" s="30" t="inlineStr">
        <is>
          <t>16</t>
        </is>
      </c>
      <c r="C17" s="40" t="inlineStr">
        <is>
          <t>Fremont Bank</t>
        </is>
      </c>
      <c r="D17" s="43" t="inlineStr">
        <is>
          <t>CA Bank</t>
        </is>
      </c>
      <c r="E17" s="30" t="inlineStr">
        <is>
          <t>Other — NorCal</t>
        </is>
      </c>
      <c r="F17" s="41" t="inlineStr">
        <is>
          <t>2/4  ✗SUW ✓Onl ✗SoCal ✓Card</t>
        </is>
      </c>
      <c r="G17" s="30" t="inlineStr">
        <is>
          <t>A — Self-UW (online)</t>
        </is>
      </c>
      <c r="H17" s="30" t="inlineStr">
        <is>
          <t>N/M (no bank-specific data point found)</t>
        </is>
      </c>
      <c r="I17" s="30" t="inlineStr">
        <is>
          <t>$5.92B</t>
        </is>
      </c>
      <c r="J17" s="30" t="inlineStr">
        <is>
          <t>$5.27B</t>
        </is>
      </c>
      <c r="K17" s="30" t="inlineStr">
        <is>
          <t>CA-only; ~22 branches SF Bay Area/East Bay</t>
        </is>
      </c>
      <c r="L17" s="30" t="inlineStr">
        <is>
          <t>CA-HQ'd</t>
        </is>
      </c>
      <c r="M17" s="30" t="inlineStr">
        <is>
          <t>Partial (CorServ self-issue)</t>
        </is>
      </c>
      <c r="N17" s="30" t="inlineStr">
        <is>
          <t>✅ 0% 6 mo → 12.49-20.49% var; $0 AF (Business Platinum)</t>
        </is>
      </c>
      <c r="O17" s="44" t="inlineStr">
        <is>
          <t>Self (CorServ 'Apex' platform)</t>
        </is>
      </c>
      <c r="P17" s="30" t="inlineStr">
        <is>
          <t>Online</t>
        </is>
      </c>
      <c r="Q17" s="30" t="inlineStr">
        <is>
          <t>Online — apply at https://fremontbank.myapexcard.com</t>
        </is>
      </c>
      <c r="R17" s="30" t="inlineStr">
        <is>
          <t>https://www.fremontbank.com</t>
        </is>
      </c>
      <c r="S17" s="30" t="inlineStr">
        <is>
          <t>https://fremontbank.myapexcard.com</t>
        </is>
      </c>
      <c r="T17" s="30" t="inlineStr">
        <is>
          <t>Experian (inferred from sister personal card)</t>
        </is>
      </c>
      <c r="U17" s="30" t="inlineStr">
        <is>
          <t>N/M</t>
        </is>
      </c>
      <c r="V17" s="30" t="inlineStr">
        <is>
          <t>N/M for biz cards. Sibling personal card (DoC 2022): Experian pull; existing-relationship applicants</t>
        </is>
      </c>
      <c r="W17" s="30" t="inlineStr">
        <is>
          <t>3</t>
        </is>
      </c>
      <c r="X17" s="30" t="inlineStr">
        <is>
          <t>PG likely (N/M); no income-doc evidence</t>
        </is>
      </c>
      <c r="Y17" s="30" t="inlineStr">
        <is>
          <t>N/M (business LOC $25K-$500K+, conventional)</t>
        </is>
      </c>
      <c r="Z17" s="30" t="inlineStr">
        <is>
          <t>Yes ('Exclusively for Fremont Bank customers')</t>
        </is>
      </c>
      <c r="AA17" s="30" t="inlineStr">
        <is>
          <t>★ No-doc 0% card — apply online</t>
        </is>
      </c>
      <c r="AB17" s="30" t="inlineStr">
        <is>
          <t>Business Platinum, Platinum Rewards, Platinum Low Rate ($99 AF), World Elite ($95 AF)</t>
        </is>
      </c>
      <c r="AC17" s="30" t="inlineStr">
        <is>
          <t>NorCal / SF-East Bay</t>
        </is>
      </c>
      <c r="AD17" s="30" t="inlineStr">
        <is>
          <t>Fremont</t>
        </is>
      </c>
      <c r="AE17" s="30" t="inlineStr">
        <is>
          <t>19</t>
        </is>
      </c>
      <c r="AF17" s="30" t="inlineStr">
        <is>
          <t>MED-HIGH products/terms/online/CorServ; MED issuer=self; LOW HP/PG. 2026-05-28</t>
        </is>
      </c>
      <c r="AG17" s="30" t="inlineStr">
        <is>
          <t>fremontbank.com/business/credit (4 product pages); fremontbank.myapexcard.com; corservsolutions.com</t>
        </is>
      </c>
    </row>
    <row r="18">
      <c r="A18" s="30" t="inlineStr">
        <is>
          <t>17</t>
        </is>
      </c>
      <c r="B18" s="30" t="inlineStr">
        <is>
          <t>17</t>
        </is>
      </c>
      <c r="C18" s="42" t="inlineStr">
        <is>
          <t>Kinecta Federal Credit Union</t>
        </is>
      </c>
      <c r="D18" s="39" t="inlineStr">
        <is>
          <t>Credit Union</t>
        </is>
      </c>
      <c r="E18" s="30" t="inlineStr">
        <is>
          <t>★ Core SoCal</t>
        </is>
      </c>
      <c r="F18" s="33" t="inlineStr">
        <is>
          <t>3/4  ✓SUW ✗Onl ✓SoCal ✓Card</t>
        </is>
      </c>
      <c r="G18" s="30" t="inlineStr">
        <is>
          <t>B — Self-UW (in branch)</t>
        </is>
      </c>
      <c r="H18" s="30" t="inlineStr">
        <is>
          <t>N/M (no bank-specific data point found)</t>
        </is>
      </c>
      <c r="I18" s="30" t="inlineStr">
        <is>
          <t>~$6.8B</t>
        </is>
      </c>
      <c r="J18" s="30" t="inlineStr">
        <is>
          <t>—</t>
        </is>
      </c>
      <c r="K18" s="30" t="inlineStr">
        <is>
          <t>HQ Manhattan Beach (LA County); ~23-28 branches; Greater LA + open via Innovision</t>
        </is>
      </c>
      <c r="L18" s="30" t="inlineStr">
        <is>
          <t>CA-HQ'd</t>
        </is>
      </c>
      <c r="M18" s="30" t="inlineStr">
        <is>
          <t>Yes</t>
        </is>
      </c>
      <c r="N18" s="30" t="inlineStr">
        <is>
          <t>✅ MyPro Business Mastercard: 0% 18 cyc on BALANCE TRANSFERS only; 12.24-18%; $0 AF; 3/2/1% cash back</t>
        </is>
      </c>
      <c r="O18" s="34" t="inlineStr">
        <is>
          <t>Self (Kinecta FCU; CUNA Mutual/TruStage = forms vendor only)</t>
        </is>
      </c>
      <c r="P18" s="30" t="inlineStr">
        <is>
          <t>In-person</t>
        </is>
      </c>
      <c r="Q18" s="30" t="inlineStr">
        <is>
          <t>By appointment or mail PDF (no instant online)</t>
        </is>
      </c>
      <c r="R18" s="30" t="inlineStr">
        <is>
          <t>https://www.kinecta.org/credit-card/mypro</t>
        </is>
      </c>
      <c r="S18" s="30" t="inlineStr">
        <is>
          <t>https://www.kinecta.org/credit-card/mypro</t>
        </is>
      </c>
      <c r="T18" s="30" t="inlineStr">
        <is>
          <t>N/M</t>
        </is>
      </c>
      <c r="U18" s="30" t="inlineStr">
        <is>
          <t>N/M (reports owner + business; behavior/bureaus unspecified)</t>
        </is>
      </c>
      <c r="V18" s="30" t="inlineStr">
        <is>
          <t>Apply by appointment / mail PDF (no instant online). No forum data points.</t>
        </is>
      </c>
      <c r="W18" s="30" t="inlineStr">
        <is>
          <t>2</t>
        </is>
      </c>
      <c r="X18" s="30" t="inlineStr">
        <is>
          <t>PG yes (guaranty section); financials on request</t>
        </is>
      </c>
      <c r="Y18" s="30" t="inlineStr">
        <is>
          <t>None (SBA/CRE full-doc)</t>
        </is>
      </c>
      <c r="Z18" s="30" t="inlineStr">
        <is>
          <t>Membership required (Greater LA SoCal ZIPs; OPEN nationwide via Innovision Society $10 — Kinecta covers yr1)</t>
        </is>
      </c>
      <c r="AA18" s="30" t="inlineStr">
        <is>
          <t>No-doc card — apply in branch</t>
        </is>
      </c>
      <c r="AB18" s="30" t="inlineStr">
        <is>
          <t>MyPro Business Mastercard</t>
        </is>
      </c>
      <c r="AC18" s="30" t="inlineStr">
        <is>
          <t>SoCal / Los Angeles (Manhattan Beach)</t>
        </is>
      </c>
      <c r="AD18" s="30" t="inlineStr">
        <is>
          <t>Manhattan Beach, CA</t>
        </is>
      </c>
      <c r="AE18" s="30" t="inlineStr">
        <is>
          <t>CU</t>
        </is>
      </c>
      <c r="AF18" s="30" t="inlineStr">
        <is>
          <t>HIGH self/terms/PG/SoCal/open-membership-path; apply N (appointment); N/M HP, reports. 2026-05-28</t>
        </is>
      </c>
      <c r="AG18" s="30" t="inlineStr">
        <is>
          <t>kinecta.org/credit-card/mypro + MyPro agreement/disclosure PDFs; CFPB Kinecta MyPro agreement; join pages</t>
        </is>
      </c>
    </row>
    <row r="19">
      <c r="A19" s="30" t="inlineStr">
        <is>
          <t>18</t>
        </is>
      </c>
      <c r="B19" s="30" t="inlineStr">
        <is>
          <t>18</t>
        </is>
      </c>
      <c r="C19" s="42" t="inlineStr">
        <is>
          <t>Provident Credit Union</t>
        </is>
      </c>
      <c r="D19" s="39" t="inlineStr">
        <is>
          <t>Credit Union</t>
        </is>
      </c>
      <c r="E19" s="30" t="inlineStr">
        <is>
          <t>Other — NorCal</t>
        </is>
      </c>
      <c r="F19" s="33" t="inlineStr">
        <is>
          <t>3/4  ✓SUW ✓Onl ✗SoCal ✓Card</t>
        </is>
      </c>
      <c r="G19" s="30" t="inlineStr">
        <is>
          <t>A — Self-UW (online)</t>
        </is>
      </c>
      <c r="H19" s="30" t="inlineStr">
        <is>
          <t>N/M (no bank-specific data point found)</t>
        </is>
      </c>
      <c r="I19" s="30" t="inlineStr">
        <is>
          <t>~$3.5B</t>
        </is>
      </c>
      <c r="J19" s="30" t="inlineStr">
        <is>
          <t>—</t>
        </is>
      </c>
      <c r="K19" s="30" t="inlineStr">
        <is>
          <t>HQ Redwood City; ~23 Bay Area branches; FOM 10 NorCal counties + LA City</t>
        </is>
      </c>
      <c r="L19" s="30" t="inlineStr">
        <is>
          <t>CA-HQ'd</t>
        </is>
      </c>
      <c r="M19" s="30" t="inlineStr">
        <is>
          <t>Yes</t>
        </is>
      </c>
      <c r="N19" s="30" t="inlineStr">
        <is>
          <t>✅ Business Rewards Visa + Business Share Secured Visa: 6mo intro reduced rate (not 0%); $0 AF; up to $50K; 'qualify with no credit history'</t>
        </is>
      </c>
      <c r="O19" s="34" t="inlineStr">
        <is>
          <t>Self (Provident CU; Velera/PSCU processing platform)</t>
        </is>
      </c>
      <c r="P19" s="30" t="inlineStr">
        <is>
          <t>Online</t>
        </is>
      </c>
      <c r="Q19" s="30" t="inlineStr">
        <is>
          <t>Online — apply at https://providentcu.org/business/business-credit-cards/apply</t>
        </is>
      </c>
      <c r="R19" s="30" t="inlineStr">
        <is>
          <t>https://providentcu.org/business/business-credit-cards</t>
        </is>
      </c>
      <c r="S19" s="30" t="inlineStr">
        <is>
          <t>https://providentcu.org/business/business-credit-cards/apply</t>
        </is>
      </c>
      <c r="T19" s="30" t="inlineStr">
        <is>
          <t>N/M</t>
        </is>
      </c>
      <c r="U19" s="30" t="inlineStr">
        <is>
          <t>⚠️ Reports to all 3 PERSONAL bureaus (consumer secured confirmed; business inferred)</t>
        </is>
      </c>
      <c r="V19" s="30" t="inlineStr">
        <is>
          <t>Online application (member-gated). 'Qualify with no credit history.' Share Secured = savings pledge. No business-card forum data.</t>
        </is>
      </c>
      <c r="W19" s="30" t="inlineStr">
        <is>
          <t>1</t>
        </is>
      </c>
      <c r="X19" s="30" t="inlineStr">
        <is>
          <t>PG N/M (inferred); account-opening docs (ID/EIN) only</t>
        </is>
      </c>
      <c r="Y19" s="30" t="inlineStr">
        <is>
          <t>Business Rewards Visa markets 'no credit history' approval; Share Secured (savings pledge). Low-barrier but not no-income-doc.</t>
        </is>
      </c>
      <c r="Z19" s="30" t="inlineStr">
        <is>
          <t>Membership required (10 NorCal counties + City of Los Angeles FOM; NO nationwide open path)</t>
        </is>
      </c>
      <c r="AA19" s="30" t="inlineStr">
        <is>
          <t>★ Reports to personal credit</t>
        </is>
      </c>
      <c r="AB19" s="30" t="inlineStr">
        <is>
          <t>Provident Business Rewards Visa; Business Share Secured Visa</t>
        </is>
      </c>
      <c r="AC19" s="30" t="inlineStr">
        <is>
          <t>NorCal / SF Bay (Redwood City)</t>
        </is>
      </c>
      <c r="AD19" s="30" t="inlineStr">
        <is>
          <t>Redwood City, CA</t>
        </is>
      </c>
      <c r="AE19" s="30" t="inlineStr">
        <is>
          <t>CU</t>
        </is>
      </c>
      <c r="AF19" s="30" t="inlineStr">
        <is>
          <t>HIGH self/products/apply-online/membership; ⚠️ reports to personal; N/M HP, PG. 2026-05-28</t>
        </is>
      </c>
      <c r="AG19" s="30" t="inlineStr">
        <is>
          <t>providentcu.org/business/business-credit-cards + /rates + /apply; CFPB share-secured; velera.com</t>
        </is>
      </c>
    </row>
    <row r="20">
      <c r="A20" s="30" t="inlineStr">
        <is>
          <t>19</t>
        </is>
      </c>
      <c r="B20" s="30" t="inlineStr">
        <is>
          <t>19</t>
        </is>
      </c>
      <c r="C20" s="42" t="inlineStr">
        <is>
          <t>Logix Federal Credit Union</t>
        </is>
      </c>
      <c r="D20" s="39" t="inlineStr">
        <is>
          <t>Credit Union</t>
        </is>
      </c>
      <c r="E20" s="30" t="inlineStr">
        <is>
          <t>★ Core SoCal</t>
        </is>
      </c>
      <c r="F20" s="33" t="inlineStr">
        <is>
          <t>3/4  ✓SUW ✗Onl ✓SoCal ✓Card</t>
        </is>
      </c>
      <c r="G20" s="30" t="inlineStr">
        <is>
          <t>B — Self-UW (in branch)</t>
        </is>
      </c>
      <c r="H20" s="30" t="inlineStr">
        <is>
          <t>N/M (no bank-specific data point found)</t>
        </is>
      </c>
      <c r="I20" s="30" t="inlineStr">
        <is>
          <t>~$9.73B</t>
        </is>
      </c>
      <c r="J20" s="30" t="inlineStr">
        <is>
          <t>—</t>
        </is>
      </c>
      <c r="K20" s="30" t="inlineStr">
        <is>
          <t>HQ Valencia (LA County); ~18 branches LA + Ventura; CA-only business card</t>
        </is>
      </c>
      <c r="L20" s="30" t="inlineStr">
        <is>
          <t>CA-HQ'd</t>
        </is>
      </c>
      <c r="M20" s="30" t="inlineStr">
        <is>
          <t>Yes</t>
        </is>
      </c>
      <c r="N20" s="30" t="inlineStr">
        <is>
          <t>✅ Smart Business Cashback Mastercard: 5.99% intro 6mo (NOT 0%); 17.99%; $0 AF; 1.5% cash back</t>
        </is>
      </c>
      <c r="O20" s="34" t="inlineStr">
        <is>
          <t>Self (Logix FCU)</t>
        </is>
      </c>
      <c r="P20" s="30" t="inlineStr">
        <is>
          <t>In-person</t>
        </is>
      </c>
      <c r="Q20" s="30" t="inlineStr">
        <is>
          <t>By appointment (agreement allows online for members)</t>
        </is>
      </c>
      <c r="R20" s="30" t="inlineStr">
        <is>
          <t>https://www.logixbanking.com/business/credit-card</t>
        </is>
      </c>
      <c r="S20" s="30" t="inlineStr">
        <is>
          <t>https://www.logixbanking.com/business/credit-card</t>
        </is>
      </c>
      <c r="T20" s="30" t="inlineStr">
        <is>
          <t>N/M (personal pull; a consumer lawsuit alleged EQ + TU)</t>
        </is>
      </c>
      <c r="U20" s="30" t="inlineStr">
        <is>
          <t>⚠️ Reports to PERSONAL consumer bureaus (negative + tradeline)</t>
        </is>
      </c>
      <c r="V20" s="30" t="inlineStr">
        <is>
          <t>Apply by appointment (agreement allows online for members). Conservative lender; CA-only business card. No business-card forum data.</t>
        </is>
      </c>
      <c r="W20" s="30" t="inlineStr">
        <is>
          <t>0</t>
        </is>
      </c>
      <c r="X20" s="30" t="inlineStr">
        <is>
          <t>PG (inferred); creditworthiness-based</t>
        </is>
      </c>
      <c r="Y20" s="30" t="inlineStr">
        <is>
          <t>None</t>
        </is>
      </c>
      <c r="Z20" s="30" t="inlineStr">
        <is>
          <t>Membership required (SoCal Easy-Membership + OPEN via American Consumer Council; business within 30mi of a branch)</t>
        </is>
      </c>
      <c r="AA20" s="30" t="inlineStr">
        <is>
          <t>Reports to personal credit</t>
        </is>
      </c>
      <c r="AB20" s="30" t="inlineStr">
        <is>
          <t>Logix Smart Business Cashback Mastercard</t>
        </is>
      </c>
      <c r="AC20" s="30" t="inlineStr">
        <is>
          <t>SoCal / Los Angeles (Valencia/Burbank) + Ventura</t>
        </is>
      </c>
      <c r="AD20" s="30" t="inlineStr">
        <is>
          <t>Valencia, CA</t>
        </is>
      </c>
      <c r="AE20" s="30" t="inlineStr">
        <is>
          <t>CU</t>
        </is>
      </c>
      <c r="AF20" s="30" t="inlineStr">
        <is>
          <t>HIGH self/terms/SoCal/membership; ⚠️ reports to personal credit; apply N (appointment). 2026-05-28</t>
        </is>
      </c>
      <c r="AG20" s="30" t="inlineStr">
        <is>
          <t>logixbanking.com/business/credit-card + Smart Business Cashback agreement PDF (issuer=self); CFPB; become-a-member</t>
        </is>
      </c>
    </row>
    <row r="21" ht="15.75" customHeight="1">
      <c r="A21" s="30" t="inlineStr">
        <is>
          <t>20</t>
        </is>
      </c>
      <c r="B21" s="30" t="inlineStr">
        <is>
          <t>20</t>
        </is>
      </c>
      <c r="C21" s="42" t="inlineStr">
        <is>
          <t>HCN Bank</t>
        </is>
      </c>
      <c r="D21" s="43" t="inlineStr">
        <is>
          <t>CA Bank</t>
        </is>
      </c>
      <c r="E21" s="30" t="inlineStr">
        <is>
          <t>★ Core SoCal</t>
        </is>
      </c>
      <c r="F21" s="33" t="inlineStr">
        <is>
          <t>3/4  ✗SUW ✓Onl ✓SoCal ✓Card</t>
        </is>
      </c>
      <c r="G21" s="30" t="inlineStr">
        <is>
          <t>C — Other agent card</t>
        </is>
      </c>
      <c r="H21" s="30" t="inlineStr">
        <is>
          <t>N/M (TIB; financials typically required $10K+)</t>
        </is>
      </c>
      <c r="I21" s="30" t="inlineStr">
        <is>
          <t>$0.97B</t>
        </is>
      </c>
      <c r="J21" s="30" t="inlineStr">
        <is>
          <t>N/M</t>
        </is>
      </c>
      <c r="K21" s="30" t="inlineStr">
        <is>
          <t>Inland Empire; Riverside HQ, Hemet, Anza, Beaumont; rebranded from Bank of Hemet (Jan 2023)</t>
        </is>
      </c>
      <c r="L21" s="30" t="inlineStr">
        <is>
          <t>CA-HQ'd</t>
        </is>
      </c>
      <c r="M21" s="30" t="inlineStr">
        <is>
          <t>No</t>
        </is>
      </c>
      <c r="N21" s="30" t="inlineStr">
        <is>
          <t>✅ no 0%; APR N/M (Prime-based); $0/$49 AF; 1pt/$1 (Preferred Points)</t>
        </is>
      </c>
      <c r="O21" s="45" t="inlineStr">
        <is>
          <t>TIB</t>
        </is>
      </c>
      <c r="P21" s="30" t="inlineStr">
        <is>
          <t>Online</t>
        </is>
      </c>
      <c r="Q21" s="30" t="inlineStr">
        <is>
          <t>Online — apply at https://www.hcnbank.com/Business-Credit-Cards/</t>
        </is>
      </c>
      <c r="R21" s="30" t="inlineStr">
        <is>
          <t>https://www.hcnbank.com</t>
        </is>
      </c>
      <c r="S21" s="30" t="inlineStr">
        <is>
          <t>https://www.hcnbank.com/Business-Credit-Cards/</t>
        </is>
      </c>
      <c r="T21" s="30" t="inlineStr">
        <is>
          <t>Experian (TIB; INFERENCE)</t>
        </is>
      </c>
      <c r="U21" s="30" t="inlineStr">
        <is>
          <t>N/M (TIB not on DoC list)</t>
        </is>
      </c>
      <c r="V21" s="30" t="inlineStr">
        <is>
          <t>TIB program (cardaccount.net): underwritten/approved/serviced by TIB; 25-day grace. No HCN-specific forum DPs.</t>
        </is>
      </c>
      <c r="W21" s="30" t="inlineStr">
        <is>
          <t>3</t>
        </is>
      </c>
      <c r="X21" s="30" t="inlineStr">
        <is>
          <t>PG likely (TIB standard); income docs N/M</t>
        </is>
      </c>
      <c r="Y21" s="30" t="inlineStr">
        <is>
          <t>None (commercial equipment/CRE/construction/SBA + LOC full-doc)</t>
        </is>
      </c>
      <c r="Z21" s="30" t="inlineStr">
        <is>
          <t>N/M</t>
        </is>
      </c>
      <c r="AA21" s="30" t="inlineStr">
        <is>
          <t>★ No-doc card — apply online</t>
        </is>
      </c>
      <c r="AB21" s="30" t="inlineStr">
        <is>
          <t>Business Card Standard ($0 AF); Business Card Preferred Points ($49 AF, up to 10K pts/mo)</t>
        </is>
      </c>
      <c r="AC21" s="30" t="inlineStr">
        <is>
          <t>SoCal / Inland Empire</t>
        </is>
      </c>
      <c r="AD21" s="30" t="inlineStr">
        <is>
          <t>Riverside</t>
        </is>
      </c>
      <c r="AE21" s="30" t="inlineStr">
        <is>
          <t>63</t>
        </is>
      </c>
      <c r="AF21" s="30" t="inlineStr">
        <is>
          <t>HIGH issuer=TIB (own page disclosure)/online/Inland Empire/products; N/M APR, HP, reports. 2026-05-29</t>
        </is>
      </c>
      <c r="AG21" s="30" t="inlineStr">
        <is>
          <t>hcnbank.com/Business-Credit-Cards (TIB disclosure); cardaccount.net; FDIC cert 21606</t>
        </is>
      </c>
    </row>
    <row r="22" ht="15.75" customHeight="1">
      <c r="A22" s="30" t="inlineStr">
        <is>
          <t>21</t>
        </is>
      </c>
      <c r="B22" s="30" t="inlineStr">
        <is>
          <t>21</t>
        </is>
      </c>
      <c r="C22" s="42" t="inlineStr">
        <is>
          <t>American Plus Bank, N.A.</t>
        </is>
      </c>
      <c r="D22" s="43" t="inlineStr">
        <is>
          <t>CA Bank</t>
        </is>
      </c>
      <c r="E22" s="30" t="inlineStr">
        <is>
          <t>★ Core SoCal</t>
        </is>
      </c>
      <c r="F22" s="33" t="inlineStr">
        <is>
          <t>3/4  ✗SUW ✓Onl ✓SoCal ✓Card</t>
        </is>
      </c>
      <c r="G22" s="30" t="inlineStr">
        <is>
          <t>C — Other agent card</t>
        </is>
      </c>
      <c r="H22" s="30" t="inlineStr">
        <is>
          <t>N/M (TIB; financials typically required $10K+)</t>
        </is>
      </c>
      <c r="I22" s="30" t="inlineStr">
        <is>
          <t>$0.89B</t>
        </is>
      </c>
      <c r="J22" s="30" t="inlineStr">
        <is>
          <t>N/M</t>
        </is>
      </c>
      <c r="K22" s="30" t="inlineStr">
        <is>
          <t>~4 CA branches (Arcadia HQ + SGV); CDFI; Chinese-American (founded 2007)</t>
        </is>
      </c>
      <c r="L22" s="30" t="inlineStr">
        <is>
          <t>CA-HQ'd</t>
        </is>
      </c>
      <c r="M22" s="30" t="inlineStr">
        <is>
          <t>No</t>
        </is>
      </c>
      <c r="N22" s="30" t="inlineStr">
        <is>
          <t>✅ TIB Visa (Platinum Cash Rewards consumer; Charge Company Rewards business); terms N/M</t>
        </is>
      </c>
      <c r="O22" s="45" t="inlineStr">
        <is>
          <t>TIB</t>
        </is>
      </c>
      <c r="P22" s="30" t="inlineStr">
        <is>
          <t>Online</t>
        </is>
      </c>
      <c r="Q22" s="30" t="inlineStr">
        <is>
          <t>Online — apply at https://bankaplus.com/Credit-Cards</t>
        </is>
      </c>
      <c r="R22" s="30" t="inlineStr">
        <is>
          <t>https://bankaplus.com</t>
        </is>
      </c>
      <c r="S22" s="30" t="inlineStr">
        <is>
          <t>https://bankaplus.com/Credit-Cards</t>
        </is>
      </c>
      <c r="T22" s="30" t="inlineStr">
        <is>
          <t>Experian/TU (TIB; INFERENCE)</t>
        </is>
      </c>
      <c r="U22" s="30" t="inlineStr">
        <is>
          <t>N/M (TIB; biz-only reporting per forum, unconfirmed here)</t>
        </is>
      </c>
      <c r="V22" s="30" t="inlineStr">
        <is>
          <t>TIB Community Card program (mycommunitycc.com portal); no AF typical, ~25-day grace (unverified for this program). No bank-specific DPs.</t>
        </is>
      </c>
      <c r="W22" s="30" t="inlineStr">
        <is>
          <t>3</t>
        </is>
      </c>
      <c r="X22" s="30" t="inlineStr">
        <is>
          <t>PG likely (TIB standard); docs N/M</t>
        </is>
      </c>
      <c r="Y22" s="30" t="inlineStr">
        <is>
          <t>None (commercial LOC/CRE/construction/SBA/trade full-doc)</t>
        </is>
      </c>
      <c r="Z22" s="30" t="inlineStr">
        <is>
          <t>N/M</t>
        </is>
      </c>
      <c r="AA22" s="30" t="inlineStr">
        <is>
          <t>★ No-doc card — apply online</t>
        </is>
      </c>
      <c r="AB22" s="30" t="inlineStr">
        <is>
          <t>Visa Platinum Cash Rewards (consumer); Visa Charge Company Rewards (business) — TIB Community Card suite</t>
        </is>
      </c>
      <c r="AC22" s="30" t="inlineStr">
        <is>
          <t>SoCal / LA (San Gabriel Valley)</t>
        </is>
      </c>
      <c r="AD22" s="30" t="inlineStr">
        <is>
          <t>Arcadia</t>
        </is>
      </c>
      <c r="AE22" s="30" t="inlineStr">
        <is>
          <t>65</t>
        </is>
      </c>
      <c r="AF22" s="30" t="inlineStr">
        <is>
          <t>MED-HIGH issuer=TIB (mycommunitycc.com portal)/online/SGV; N/M terms, HP, reports. 2026-05-29</t>
        </is>
      </c>
      <c r="AG22" s="30" t="inlineStr">
        <is>
          <t>bankaplus.com/Credit-Cards; mycommunitycc.com (TIB portal); FDIC cert 58469</t>
        </is>
      </c>
    </row>
    <row r="23" ht="15.75" customHeight="1">
      <c r="A23" s="30" t="inlineStr">
        <is>
          <t>22</t>
        </is>
      </c>
      <c r="B23" s="30" t="inlineStr">
        <is>
          <t>22</t>
        </is>
      </c>
      <c r="C23" s="35" t="inlineStr">
        <is>
          <t>PNC Bank</t>
        </is>
      </c>
      <c r="D23" s="32" t="inlineStr">
        <is>
          <t>National</t>
        </is>
      </c>
      <c r="E23" s="30" t="inlineStr">
        <is>
          <t>National (lends in CA)</t>
        </is>
      </c>
      <c r="F23" s="33" t="inlineStr">
        <is>
          <t>3/4  ✓SUW ✓Onl ✗SoCal ✓Card</t>
        </is>
      </c>
      <c r="G23" s="30" t="inlineStr">
        <is>
          <t>A — Self-UW (online)</t>
        </is>
      </c>
      <c r="H23" s="30" t="inlineStr">
        <is>
          <t>BusinessOptions/LOC $25K–$100K (soft-pull, no tax returns)  [myFICO #6589727]</t>
        </is>
      </c>
      <c r="I23" s="30" t="inlineStr">
        <is>
          <t>~$574B</t>
        </is>
      </c>
      <c r="J23" s="30" t="inlineStr">
        <is>
          <t>—</t>
        </is>
      </c>
      <c r="K23" s="30" t="inlineStr">
        <is>
          <t>~2,200 branches / 27 states; CA via BBVA USA western branches</t>
        </is>
      </c>
      <c r="L23" s="30" t="inlineStr">
        <is>
          <t>⚠ Needs local branch/account — minimal/no CA retail (likely NOT reachable)</t>
        </is>
      </c>
      <c r="M23" s="30" t="inlineStr">
        <is>
          <t>Yes</t>
        </is>
      </c>
      <c r="N23" s="30" t="inlineStr">
        <is>
          <t>✅ Visa Business 0% 13 cyc (best intro); BusinessOptions = SOFT-PULL, up to $250K</t>
        </is>
      </c>
      <c r="O23" s="34" t="inlineStr">
        <is>
          <t>Self (PNC Bank NA)</t>
        </is>
      </c>
      <c r="P23" s="30" t="inlineStr">
        <is>
          <t>Online</t>
        </is>
      </c>
      <c r="Q23" s="30" t="inlineStr">
        <is>
          <t>Online — apply at https://www.pnc.com/en/small-business/borrowing/business-credit-cards/pnc-businessoptions-visa-signature-credit-card.html</t>
        </is>
      </c>
      <c r="R23" s="30" t="inlineStr">
        <is>
          <t>https://www.pnc.com/en/small-business/borrowing/business-credit-cards.html</t>
        </is>
      </c>
      <c r="S23" s="30" t="inlineStr">
        <is>
          <t>https://www.pnc.com/en/small-business/borrowing/business-credit-cards/pnc-businessoptions-visa-signature-credit-card.html</t>
        </is>
      </c>
      <c r="T23" s="30" t="inlineStr">
        <is>
          <t>Hard-pull cards: Experian. BusinessOptions: SOFT pull, Equifax (NO hard inquiry!)</t>
        </is>
      </c>
      <c r="U23" s="30" t="inlineStr">
        <is>
          <t>Personal: never (normal use). Business: D&amp;B + Experian-Biz + Equifax-Biz + SBFE</t>
        </is>
      </c>
      <c r="V23" s="30" t="inlineStr">
        <is>
          <t>STANDOUT no-doc combo: BusinessOptions card + Small Business LOC = SOFT pull, NO tax returns up to $100K, no personal reporting. Approvals $25K-$100K. SOFT-PULL CLIs every ~6mo (grown to $52.5K). (BusinessOptions card itself is phone-apply.) myfico.com #6589727 / #6509179</t>
        </is>
      </c>
      <c r="W23" s="30" t="inlineStr">
        <is>
          <t>4</t>
        </is>
      </c>
      <c r="X23" s="30" t="inlineStr">
        <is>
          <t>PG yes; NO tax returns on the no-doc path</t>
        </is>
      </c>
      <c r="Y23" s="30" t="inlineStr">
        <is>
          <t>PNC Small Business LOC: SOFT pull, no financials up to $100K, ~10% of gross-revenue sizing — strong no-doc</t>
        </is>
      </c>
      <c r="Z23" s="30" t="inlineStr">
        <is>
          <t>No (cards); functionally helps BusinessOptions/LOC</t>
        </is>
      </c>
      <c r="AA23" s="30" t="inlineStr">
        <is>
          <t>★ ⚠ Needs CA branch/account — soft-pull no-doc LOC if reachable</t>
        </is>
      </c>
      <c r="AB23" s="30" t="inlineStr">
        <is>
          <t>Visa Business (0% 13cyc), Cash Rewards Visa Signature, points Visa, BusinessOptions Visa Signature (&lt;=$250K)</t>
        </is>
      </c>
      <c r="AC23" s="30" t="inlineStr">
        <is>
          <t>National — CA presence via 2021 BBVA acquisition (thinner)</t>
        </is>
      </c>
      <c r="AD23" s="30" t="inlineStr">
        <is>
          <t>Pittsburgh, PA</t>
        </is>
      </c>
      <c r="AE23" s="30" t="inlineStr">
        <is>
          <t>Natl</t>
        </is>
      </c>
      <c r="AF23" s="30" t="inlineStr">
        <is>
          <t>HIGH self/lineup/SOFT-pull-BusinessOptions/no-doc-LOC/soft-CLI/business-bureaus; MED CA branch density. 2026-05-28</t>
        </is>
      </c>
      <c r="AG23" s="30" t="inlineStr">
        <is>
          <t>pnc.com business credit cards + rate PDFs; myfico.com #6589727 / #6509179 (soft-pull no-doc); creditsuite.com</t>
        </is>
      </c>
    </row>
    <row r="24" ht="15.75" customHeight="1">
      <c r="A24" s="30" t="inlineStr">
        <is>
          <t>23</t>
        </is>
      </c>
      <c r="B24" s="30" t="inlineStr">
        <is>
          <t>23</t>
        </is>
      </c>
      <c r="C24" s="42" t="inlineStr">
        <is>
          <t>Truist</t>
        </is>
      </c>
      <c r="D24" s="32" t="inlineStr">
        <is>
          <t>National</t>
        </is>
      </c>
      <c r="E24" s="30" t="inlineStr">
        <is>
          <t>National (lends in CA)</t>
        </is>
      </c>
      <c r="F24" s="33" t="inlineStr">
        <is>
          <t>3/4  ✓SUW ✓Onl ✗SoCal ✓Card</t>
        </is>
      </c>
      <c r="G24" s="30" t="inlineStr">
        <is>
          <t>A — Self-UW (online)</t>
        </is>
      </c>
      <c r="H24" s="30" t="inlineStr">
        <is>
          <t>~$10K (EQ 754); $25K seen; combined stacks ~$18K–$72K  [myFICO #6741527]</t>
        </is>
      </c>
      <c r="I24" s="30" t="inlineStr">
        <is>
          <t>~$548B</t>
        </is>
      </c>
      <c r="J24" s="30" t="inlineStr">
        <is>
          <t>—</t>
        </is>
      </c>
      <c r="K24" s="30" t="inlineStr">
        <is>
          <t>SE/Mid-Atlantic + new TX (Austin/Dallas); NO California branches</t>
        </is>
      </c>
      <c r="L24" s="30" t="inlineStr">
        <is>
          <t>⚠ Needs local branch/account — minimal/no CA retail (likely NOT reachable)</t>
        </is>
      </c>
      <c r="M24" s="30" t="inlineStr">
        <is>
          <t>Yes</t>
        </is>
      </c>
      <c r="N24" s="30" t="inlineStr">
        <is>
          <t>✅ Business Card 0% 12 cyc, $0 AF (best); Cash Rewards 0% 9cyc; Visa Infinite ($299) branch-only</t>
        </is>
      </c>
      <c r="O24" s="34" t="inlineStr">
        <is>
          <t>Self (Truist Bank)</t>
        </is>
      </c>
      <c r="P24" s="30" t="inlineStr">
        <is>
          <t>Online</t>
        </is>
      </c>
      <c r="Q24" s="30" t="inlineStr">
        <is>
          <t>Online — apply at https://businesscreditcard.digitalcommerce.truist.com/product/SBL</t>
        </is>
      </c>
      <c r="R24" s="30" t="inlineStr">
        <is>
          <t>https://www.truist.com/small-business/credit-cards/compare</t>
        </is>
      </c>
      <c r="S24" s="30" t="inlineStr">
        <is>
          <t>https://businesscreditcard.digitalcommerce.truist.com/product/SBL</t>
        </is>
      </c>
      <c r="T24" s="30" t="inlineStr">
        <is>
          <t>Equifax (exclusively)</t>
        </is>
      </c>
      <c r="U24" s="30" t="inlineStr">
        <is>
          <t>Personal: N/M (Truist absent from DoC list). Business: N/M</t>
        </is>
      </c>
      <c r="V24" s="30" t="inlineStr">
        <is>
          <t>Equifax-ONLY HP, per app; SOFT-pull pre-qual path exists. Friendly velocity (approved 6yr LLC then startup LLC ~1wk later). Limits ~$10K (EQ 754), $25K seen; combined ~$18-72K stacks. myfico.com #6741527 / #6650127</t>
        </is>
      </c>
      <c r="W24" s="30" t="inlineStr">
        <is>
          <t>4</t>
        </is>
      </c>
      <c r="X24" s="30" t="inlineStr">
        <is>
          <t>PG yes (Guarantor, for-profit); NO tax returns (Equifax-driven)</t>
        </is>
      </c>
      <c r="Y24" s="30" t="inlineStr">
        <is>
          <t>LOC/term/SBA = doc-based (not no-doc)</t>
        </is>
      </c>
      <c r="Z24" s="30" t="inlineStr">
        <is>
          <t>No (recommended for Loyalty Cash Bonus)</t>
        </is>
      </c>
      <c r="AA24" s="30" t="inlineStr">
        <is>
          <t>★ ⚠ No CA branches — likely not reachable from CA</t>
        </is>
      </c>
      <c r="AB24" s="30" t="inlineStr">
        <is>
          <t>Business Cash Rewards, Business Travel ($49), Business Premium Visa Infinite ($299, branch-only), Business Card (0%)</t>
        </is>
      </c>
      <c r="AC24" s="30" t="inlineStr">
        <is>
          <t>National — NO CA branches (SE/Mid-Atlantic + TX); CA online eligibility UNVERIFIED</t>
        </is>
      </c>
      <c r="AD24" s="30" t="inlineStr">
        <is>
          <t>Charlotte, NC</t>
        </is>
      </c>
      <c r="AE24" s="30" t="inlineStr">
        <is>
          <t>Natl</t>
        </is>
      </c>
      <c r="AF24" s="30" t="inlineStr">
        <is>
          <t>HIGH self/lineup/HP=Equifax/no-CA-branches; LOW CA online eligibility, personal/biz reporting (N/M). 2026-05-28</t>
        </is>
      </c>
      <c r="AG24" s="30" t="inlineStr">
        <is>
          <t>truist.com/small-business/credit-cards; businesscreditworkshop.me; myfico.com #6741527; media.truist.com (Visa Infinite)</t>
        </is>
      </c>
    </row>
    <row r="25" ht="15.75" customHeight="1">
      <c r="A25" s="30" t="inlineStr">
        <is>
          <t>24</t>
        </is>
      </c>
      <c r="B25" s="30" t="inlineStr">
        <is>
          <t>24</t>
        </is>
      </c>
      <c r="C25" s="40" t="inlineStr">
        <is>
          <t>Banner Bank</t>
        </is>
      </c>
      <c r="D25" s="36" t="inlineStr">
        <is>
          <t>Regional</t>
        </is>
      </c>
      <c r="E25" s="30" t="inlineStr">
        <is>
          <t>Other — West Coast — CA</t>
        </is>
      </c>
      <c r="F25" s="41" t="inlineStr">
        <is>
          <t>2/4  ✓SUW ✗Onl ✗SoCal ✓Card</t>
        </is>
      </c>
      <c r="G25" s="30" t="inlineStr">
        <is>
          <t>B — Self-UW (in branch)</t>
        </is>
      </c>
      <c r="H25" s="30" t="inlineStr">
        <is>
          <t>N/M (no bank-specific data point found)</t>
        </is>
      </c>
      <c r="I25" s="30" t="inlineStr">
        <is>
          <t>~$16.56B</t>
        </is>
      </c>
      <c r="J25" s="30" t="inlineStr">
        <is>
          <t>—</t>
        </is>
      </c>
      <c r="K25" s="30" t="inlineStr">
        <is>
          <t>HQ Walla Walla; ~135 branches; ~30 CA branches (ex-AmericanWest/AltaPacific acquisitions)</t>
        </is>
      </c>
      <c r="L25" s="30" t="inlineStr">
        <is>
          <t>Major CA (branches + lending)</t>
        </is>
      </c>
      <c r="M25" s="30" t="inlineStr">
        <is>
          <t>Yes</t>
        </is>
      </c>
      <c r="N25" s="30" t="inlineStr">
        <is>
          <t>✅ Business Platinum Mastercard: 0% 12mo, $0 AF; Business Cash Rewards; + commercial</t>
        </is>
      </c>
      <c r="O25" s="34" t="inlineStr">
        <is>
          <t>Self (Banner Bank)</t>
        </is>
      </c>
      <c r="P25" s="30" t="inlineStr">
        <is>
          <t>In-person</t>
        </is>
      </c>
      <c r="Q25" s="30" t="inlineStr">
        <is>
          <t>Download PDF application → bring to branch (full PG underwriting)</t>
        </is>
      </c>
      <c r="R25" s="30" t="inlineStr">
        <is>
          <t>https://www.bannerbank.com/business-solutions/services/small-business-credit-card</t>
        </is>
      </c>
      <c r="S25" s="30" t="inlineStr">
        <is>
          <t>https://www.bannerbank.com/business-solutions/services/small-business-credit-card/business-platinum-mastercard</t>
        </is>
      </c>
      <c r="T25" s="30" t="inlineStr">
        <is>
          <t>N/M (personal pull on guarantor; bureau not named)</t>
        </is>
      </c>
      <c r="U25" s="30" t="inlineStr">
        <is>
          <t>N/M</t>
        </is>
      </c>
      <c r="V25" s="30" t="inlineStr">
        <is>
          <t>Download PDF application -&gt; bring to branch. No forum data.</t>
        </is>
      </c>
      <c r="W25" s="30" t="inlineStr">
        <is>
          <t>2</t>
        </is>
      </c>
      <c r="X25" s="30" t="inlineStr">
        <is>
          <t>PG YES (joint &amp; several) + full underwriting (Tax ID + gross revenue + guarantor SSN/income/net worth + bureau pull)</t>
        </is>
      </c>
      <c r="Y25" s="30" t="inlineStr">
        <is>
          <t>None (full-doc card; commercial lending full-doc)</t>
        </is>
      </c>
      <c r="Z25" s="30" t="inlineStr">
        <is>
          <t>N/M</t>
        </is>
      </c>
      <c r="AA25" s="30" t="inlineStr">
        <is>
          <t>No-doc card — apply in branch</t>
        </is>
      </c>
      <c r="AB25" s="30" t="inlineStr">
        <is>
          <t>Business Platinum Mastercard, Business Cash Rewards Mastercard; Commercial / Commercial Rewards</t>
        </is>
      </c>
      <c r="AC25" s="30" t="inlineStr">
        <is>
          <t>West Coast — CA/WA/OR/ID (~30 CA branches)</t>
        </is>
      </c>
      <c r="AD25" s="30" t="inlineStr">
        <is>
          <t>Walla Walla, WA</t>
        </is>
      </c>
      <c r="AE25" s="30" t="inlineStr">
        <is>
          <t>Reg</t>
        </is>
      </c>
      <c r="AF25" s="30" t="inlineStr">
        <is>
          <t>HIGH self/products/0%-12mo/PG-full-underwrite/CA-footprint; apply N (paper-&gt;branch). 2026-05-28</t>
        </is>
      </c>
      <c r="AG25" s="30" t="inlineStr">
        <is>
          <t>bannerbank.com/.../business-platinum-mastercard + application PDF (issuer=self, PG); FDIC cert 28489</t>
        </is>
      </c>
    </row>
    <row r="26" ht="15.75" customHeight="1">
      <c r="A26" s="30" t="inlineStr">
        <is>
          <t>25</t>
        </is>
      </c>
      <c r="B26" s="30" t="inlineStr">
        <is>
          <t>25</t>
        </is>
      </c>
      <c r="C26" s="42" t="inlineStr">
        <is>
          <t>Infinity Bank</t>
        </is>
      </c>
      <c r="D26" s="43" t="inlineStr">
        <is>
          <t>CA Bank</t>
        </is>
      </c>
      <c r="E26" s="30" t="inlineStr">
        <is>
          <t>★ Core SoCal</t>
        </is>
      </c>
      <c r="F26" s="33" t="inlineStr">
        <is>
          <t>3/4  ✗SUW ✓Onl ✓SoCal ✓Card</t>
        </is>
      </c>
      <c r="G26" s="30" t="inlineStr">
        <is>
          <t>C — Other agent card</t>
        </is>
      </c>
      <c r="H26" s="30" t="inlineStr">
        <is>
          <t>N/M (ServisFirst; no published limit / forum DP)</t>
        </is>
      </c>
      <c r="I26" s="30" t="inlineStr">
        <is>
          <t>$0.39B</t>
        </is>
      </c>
      <c r="J26" s="30" t="inlineStr">
        <is>
          <t>N/M</t>
        </is>
      </c>
      <c r="K26" s="30" t="inlineStr">
        <is>
          <t>Single branch (Santa Ana, OC); Infinity Bancorp; est 2018</t>
        </is>
      </c>
      <c r="L26" s="30" t="inlineStr">
        <is>
          <t>CA-HQ'd</t>
        </is>
      </c>
      <c r="M26" s="30" t="inlineStr">
        <is>
          <t>No</t>
        </is>
      </c>
      <c r="N26" s="30" t="inlineStr">
        <is>
          <t>✅ no 0%; ~16.75% (Cash Back) / 18.75% (Platinum) var; $79 / $0 AF; 1% cash back to $1K/yr</t>
        </is>
      </c>
      <c r="O26" s="46" t="inlineStr">
        <is>
          <t>ServisFirst Bank (agent program)</t>
        </is>
      </c>
      <c r="P26" s="30" t="inlineStr">
        <is>
          <t>Online</t>
        </is>
      </c>
      <c r="Q26" s="30" t="inlineStr">
        <is>
          <t>Online — apply at https://app.ccdepartment.com/Credit/credit?name=GoInfinityBank193</t>
        </is>
      </c>
      <c r="R26" s="30" t="inlineStr">
        <is>
          <t>https://www.infinity.bank</t>
        </is>
      </c>
      <c r="S26" s="30" t="inlineStr">
        <is>
          <t>https://app.ccdepartment.com/Credit/credit?name=GoInfinityBank193</t>
        </is>
      </c>
      <c r="T26" s="30" t="inlineStr">
        <is>
          <t>N/M (personal pull on guarantor; bureau not named)</t>
        </is>
      </c>
      <c r="U26" s="30" t="inlineStr">
        <is>
          <t>N/M (SBFE/biz reporting not disclosed)</t>
        </is>
      </c>
      <c r="V26" s="30" t="inlineStr">
        <is>
          <t>ServisFirst Agent Bank Card Program (app.ccdepartment.com) — portal states verbatim 'issued by ServisFirst Bank'; bank disclosure PDF titled 'Servis-First-Business-Credit...'. App requires signed guarantee + financials (P&amp;L/income stmt/balance sheet OR tax return — one of). CORRECTION: prior 'Elan' tag was a subagent mis-ID. No forum DPs.</t>
        </is>
      </c>
      <c r="W26" s="30" t="inlineStr">
        <is>
          <t>3</t>
        </is>
      </c>
      <c r="X26" s="30" t="inlineStr">
        <is>
          <t>PG yes (signed guarantee required); NO tax returns mandated (financials OR return accepted)</t>
        </is>
      </c>
      <c r="Y26" s="30" t="inlineStr">
        <is>
          <t>None (business LOC/merchant services full-doc)</t>
        </is>
      </c>
      <c r="Z26" s="30" t="inlineStr">
        <is>
          <t>N/M</t>
        </is>
      </c>
      <c r="AA26" s="30" t="inlineStr">
        <is>
          <t>★ No-doc card — apply online</t>
        </is>
      </c>
      <c r="AB26" s="30" t="inlineStr">
        <is>
          <t>Business Platinum Cash Back Rewards ($79 AF, 1% to $1K/yr); Business Platinum ($0 AF) — Visa via ServisFirst</t>
        </is>
      </c>
      <c r="AC26" s="30" t="inlineStr">
        <is>
          <t>SoCal / Orange County</t>
        </is>
      </c>
      <c r="AD26" s="30" t="inlineStr">
        <is>
          <t>Santa Ana</t>
        </is>
      </c>
      <c r="AE26" s="30" t="inlineStr">
        <is>
          <t>90</t>
        </is>
      </c>
      <c r="AF26" s="30" t="inlineStr">
        <is>
          <t>HIGH issuer=ServisFirst (portal disclosure + Servis-First PDF, triple-confirmed)/online/OC/terms; N/M HP, reports, limit. 2026-05-29</t>
        </is>
      </c>
      <c r="AG26" s="30" t="inlineStr">
        <is>
          <t>infinity.bank/.../business-credit-cards; app.ccdepartment.com (ServisFirst disclosure); cms...Servis-First-Business-Credit-CRD-Application-Disclosures.pdf; aba.com (ServisFirst Agent Bank program); FDIC cert 59098</t>
        </is>
      </c>
    </row>
    <row r="27" ht="15.75" customHeight="1">
      <c r="A27" s="30" t="inlineStr">
        <is>
          <t>26</t>
        </is>
      </c>
      <c r="C27" s="47" t="inlineStr">
        <is>
          <t>City National Bank</t>
        </is>
      </c>
      <c r="D27" s="43" t="inlineStr">
        <is>
          <t>CA Bank</t>
        </is>
      </c>
      <c r="E27" s="30" t="inlineStr">
        <is>
          <t>★ Core SoCal</t>
        </is>
      </c>
      <c r="F27" s="48" t="inlineStr">
        <is>
          <t>2/4  ✓SUW ✗Onl ✓SoCal ✗Card</t>
        </is>
      </c>
      <c r="G27" s="30" t="inlineStr">
        <is>
          <t>Commercial-only</t>
        </is>
      </c>
      <c r="H27" s="30" t="inlineStr">
        <is>
          <t>—</t>
        </is>
      </c>
      <c r="I27" s="30" t="inlineStr">
        <is>
          <t>$99.95B</t>
        </is>
      </c>
      <c r="J27" s="30" t="inlineStr">
        <is>
          <t>$81.07B</t>
        </is>
      </c>
      <c r="K27" s="30" t="inlineStr">
        <is>
          <t>~75 offices SoCal + SF Bay Area; RBC-owned</t>
        </is>
      </c>
      <c r="L27" s="30" t="inlineStr">
        <is>
          <t>CA-HQ'd</t>
        </is>
      </c>
      <c r="M27" s="30" t="inlineStr">
        <is>
          <t>Yes</t>
        </is>
      </c>
      <c r="N27" s="30" t="inlineStr">
        <is>
          <t>⚠️ Commercial only — Visa Commercial/Crystal; no 0%; $50/$400 AF; branch only</t>
        </is>
      </c>
      <c r="O27" s="34" t="inlineStr">
        <is>
          <t>Self</t>
        </is>
      </c>
      <c r="P27" s="30" t="inlineStr">
        <is>
          <t>In-person</t>
        </is>
      </c>
      <c r="Q27" s="30" t="inlineStr">
        <is>
          <t>Branch only (commercial Visa; relationship)</t>
        </is>
      </c>
      <c r="R27" s="30" t="inlineStr">
        <is>
          <t>https://www.cnb.com</t>
        </is>
      </c>
      <c r="S27" s="30" t="inlineStr">
        <is>
          <t>https://www.cnb.com/business-banking/lending/credit-cards/commercial.html</t>
        </is>
      </c>
      <c r="T27" s="30" t="inlineStr">
        <is>
          <t>Experian (personal Crystal card; biz N/M)</t>
        </is>
      </c>
      <c r="U27" s="30" t="inlineStr">
        <is>
          <t>N/M</t>
        </is>
      </c>
      <c r="V27" s="30" t="inlineStr">
        <is>
          <t>N/M for biz card (forum data is for personal Crystal Visa Infinite only)</t>
        </is>
      </c>
      <c r="W27" s="30" t="inlineStr">
        <is>
          <t>0</t>
        </is>
      </c>
      <c r="X27" s="30" t="inlineStr">
        <is>
          <t>PG + Personal Financial Statement + tax returns (full-doc)</t>
        </is>
      </c>
      <c r="Y27" s="30" t="inlineStr">
        <is>
          <t>None (LOC/SBA/ABL full-doc)</t>
        </is>
      </c>
      <c r="Z27" s="30" t="inlineStr">
        <is>
          <t>N/M (relationship expected)</t>
        </is>
      </c>
      <c r="AA27" s="30" t="inlineStr">
        <is>
          <t>Commercial / full underwriting</t>
        </is>
      </c>
      <c r="AB27" s="30" t="inlineStr">
        <is>
          <t>Visa Commercial; Visa Crystal Commercial (corporate)</t>
        </is>
      </c>
      <c r="AC27" s="30" t="inlineStr">
        <is>
          <t>SoCal / LA</t>
        </is>
      </c>
      <c r="AD27" s="30" t="inlineStr">
        <is>
          <t>Los Angeles</t>
        </is>
      </c>
      <c r="AE27" s="30" t="inlineStr">
        <is>
          <t>1</t>
        </is>
      </c>
      <c r="AF27" s="30" t="inlineStr">
        <is>
          <t>HIGH self-issuer/commercial/no-online. 2026-05-28</t>
        </is>
      </c>
      <c r="AG27" s="30" t="inlineStr">
        <is>
          <t>cnb.com commercial + crystal pages; Commercial-Credit-Card Agreement PDF</t>
        </is>
      </c>
    </row>
    <row r="28" ht="15.75" customHeight="1">
      <c r="A28" s="30" t="inlineStr">
        <is>
          <t>27</t>
        </is>
      </c>
      <c r="B28" s="30" t="inlineStr">
        <is>
          <t>26</t>
        </is>
      </c>
      <c r="C28" s="42" t="inlineStr">
        <is>
          <t>KeyBank</t>
        </is>
      </c>
      <c r="D28" s="36" t="inlineStr">
        <is>
          <t>Regional</t>
        </is>
      </c>
      <c r="E28" s="30" t="inlineStr">
        <is>
          <t>National (lends in CA)</t>
        </is>
      </c>
      <c r="F28" s="33" t="inlineStr">
        <is>
          <t>3/4  ✓SUW ✓Onl ✗SoCal ✓Card</t>
        </is>
      </c>
      <c r="G28" s="30" t="inlineStr">
        <is>
          <t>A — Self-UW (online)</t>
        </is>
      </c>
      <c r="H28" s="30" t="inlineStr">
        <is>
          <t>Modest biz $3K–$4K DP; soft-pull EQ; CLIs after 6mo  [myFICO #5345434]</t>
        </is>
      </c>
      <c r="I28" s="30" t="inlineStr">
        <is>
          <t>~$184B</t>
        </is>
      </c>
      <c r="J28" s="30" t="inlineStr">
        <is>
          <t>—</t>
        </is>
      </c>
      <c r="K28" s="30" t="inlineStr">
        <is>
          <t>~940 branches/15 states; CA = commercial banking (LA/Newport/SD), negligible retail</t>
        </is>
      </c>
      <c r="L28" s="30" t="inlineStr">
        <is>
          <t>⚠ Needs local branch/account — minimal/no CA retail (likely NOT reachable)</t>
        </is>
      </c>
      <c r="M28" s="30" t="inlineStr">
        <is>
          <t>Yes</t>
        </is>
      </c>
      <c r="N28" s="30" t="inlineStr">
        <is>
          <t>✅ Business Rewards / Cash Rewards / Business MC: 0% 6 cycles, $0 AF</t>
        </is>
      </c>
      <c r="O28" s="34" t="inlineStr">
        <is>
          <t>Self (KeyBank NA; self-issues since 2012, ex-Elan)</t>
        </is>
      </c>
      <c r="P28" s="30" t="inlineStr">
        <is>
          <t>Online</t>
        </is>
      </c>
      <c r="Q28" s="30" t="inlineStr">
        <is>
          <t>Online — apply at https://www.key.com/small-business/banking/credit-cards/card-comparison.html</t>
        </is>
      </c>
      <c r="R28" s="30" t="inlineStr">
        <is>
          <t>https://www.key.com/small-business/banking/credit-cards/card-comparison.html</t>
        </is>
      </c>
      <c r="S28" s="30" t="inlineStr">
        <is>
          <t>https://www.key.com/small-business/banking/credit-cards/card-comparison.html</t>
        </is>
      </c>
      <c r="T28" s="30" t="inlineStr">
        <is>
          <t>Equifax (SOFT pull reported for some / existing customers)</t>
        </is>
      </c>
      <c r="U28" s="30" t="inlineStr">
        <is>
          <t>Personal: NEVER (FAQ confirmed). Business: SBFE likely (N/M)</t>
        </is>
      </c>
      <c r="V28" s="30" t="inlineStr">
        <is>
          <t>Soft-pull Equifax common (esp. existing customers); relationship-gated. Biz limits modest ($3-4K DP); consumer high ($25K+$32.5K dual). CLIs after 6mo. myfico.com #5345434 / #1073204</t>
        </is>
      </c>
      <c r="W28" s="30" t="inlineStr">
        <is>
          <t>5</t>
        </is>
      </c>
      <c r="X28" s="30" t="inlineStr">
        <is>
          <t>PG likely (INFERENCE); no tax returns for cards</t>
        </is>
      </c>
      <c r="Y28" s="30" t="inlineStr">
        <is>
          <t>Business LOC/term = full-doc. Cards NEVER report to personal = strong keep-off-personal play.</t>
        </is>
      </c>
      <c r="Z28" s="30" t="inlineStr">
        <is>
          <t>No to apply (relationship helps)</t>
        </is>
      </c>
      <c r="AA28" s="30" t="inlineStr">
        <is>
          <t>★ ⚠ Minimal CA retail — great no-doc IF you have a relationship</t>
        </is>
      </c>
      <c r="AB28" s="30" t="inlineStr">
        <is>
          <t>KeyBank Business Rewards MC, Business Cash Rewards MC, Business MC</t>
        </is>
      </c>
      <c r="AC28" s="30" t="inlineStr">
        <is>
          <t>National — CA commercial presence (expanded SoCal 2024), minimal CA retail</t>
        </is>
      </c>
      <c r="AD28" s="30" t="inlineStr">
        <is>
          <t>Cleveland, OH</t>
        </is>
      </c>
      <c r="AE28" s="30" t="inlineStr">
        <is>
          <t>Reg</t>
        </is>
      </c>
      <c r="AF28" s="30" t="inlineStr">
        <is>
          <t>HIGH self/no-personal-reporting (FAQ)/soft-pull-EQ; MED apply-online (relationship-gated). 2026-05-28</t>
        </is>
      </c>
      <c r="AG28" s="30" t="inlineStr">
        <is>
          <t>key.com/small-business/.../credit-cards + business-credit-card-faq (no personal reporting); crainscleveland.com (self-issue since 2012); cardright.com (Equifax); myfico.com #5345434</t>
        </is>
      </c>
    </row>
    <row r="29" ht="15.75" customHeight="1">
      <c r="A29" s="30" t="inlineStr">
        <is>
          <t>28</t>
        </is>
      </c>
      <c r="B29" s="30" t="inlineStr">
        <is>
          <t>27</t>
        </is>
      </c>
      <c r="C29" s="42" t="inlineStr">
        <is>
          <t>Mission Valley Bank</t>
        </is>
      </c>
      <c r="D29" s="43" t="inlineStr">
        <is>
          <t>CA Bank</t>
        </is>
      </c>
      <c r="E29" s="30" t="inlineStr">
        <is>
          <t>★ Core SoCal</t>
        </is>
      </c>
      <c r="F29" s="33" t="inlineStr">
        <is>
          <t>3/4  ✗SUW ✓Onl ✓SoCal ✓Card</t>
        </is>
      </c>
      <c r="G29" s="30" t="inlineStr">
        <is>
          <t>D — TCM agent</t>
        </is>
      </c>
      <c r="H29" s="30" t="inlineStr">
        <is>
          <t>N/M (TCM; conservative, Experian-driven)</t>
        </is>
      </c>
      <c r="I29" s="30" t="inlineStr">
        <is>
          <t>$0.77B</t>
        </is>
      </c>
      <c r="J29" s="30" t="inlineStr">
        <is>
          <t>N/M</t>
        </is>
      </c>
      <c r="K29" s="30" t="inlineStr">
        <is>
          <t>LA County; Sun Valley HQ + Santa Clarita branch</t>
        </is>
      </c>
      <c r="L29" s="30" t="inlineStr">
        <is>
          <t>CA-HQ'd</t>
        </is>
      </c>
      <c r="M29" s="30" t="inlineStr">
        <is>
          <t>No</t>
        </is>
      </c>
      <c r="N29" s="30" t="inlineStr">
        <is>
          <t>✅ TCM business Visa; terms N/M (see Summary of Credit Terms at app); 1pt/$1 typical</t>
        </is>
      </c>
      <c r="O29" s="49" t="inlineStr">
        <is>
          <t>TCM Bank, N.A.</t>
        </is>
      </c>
      <c r="P29" s="30" t="inlineStr">
        <is>
          <t>Online</t>
        </is>
      </c>
      <c r="Q29" s="30" t="inlineStr">
        <is>
          <t>Online — apply at https://www.mycommunitycc.com/A0oVKGkHmrYt</t>
        </is>
      </c>
      <c r="R29" s="30" t="inlineStr">
        <is>
          <t>https://www.missionvalleybank.com</t>
        </is>
      </c>
      <c r="S29" s="30" t="inlineStr">
        <is>
          <t>https://www.mycommunitycc.com/A0oVKGkHmrYt</t>
        </is>
      </c>
      <c r="T29" s="30" t="inlineStr">
        <is>
          <t>Experian (TCM)</t>
        </is>
      </c>
      <c r="U29" s="30" t="inlineStr">
        <is>
          <t>N/M (TCM; biz bureaus/SBFE typical)</t>
        </is>
      </c>
      <c r="V29" s="30" t="inlineStr">
        <is>
          <t>TCM platform: Experian pull (apps + CLIs); SBA-eligible only; conservative. myfico.com #6303273</t>
        </is>
      </c>
      <c r="W29" s="30" t="inlineStr">
        <is>
          <t>3</t>
        </is>
      </c>
      <c r="X29" s="30" t="inlineStr">
        <is>
          <t>PG likely; SBA-eligible only; no tax returns at app</t>
        </is>
      </c>
      <c r="Y29" s="30" t="inlineStr">
        <is>
          <t>None (SBA/AR financing/BusinessManager/LOC/term/equipment/CRE full-doc)</t>
        </is>
      </c>
      <c r="Z29" s="30" t="inlineStr">
        <is>
          <t>N/M</t>
        </is>
      </c>
      <c r="AA29" s="30" t="inlineStr">
        <is>
          <t>★ No-doc card — apply online</t>
        </is>
      </c>
      <c r="AB29" s="30" t="inlineStr">
        <is>
          <t>TCM business Visa (rewards/cash-back variants; names not enumerated)</t>
        </is>
      </c>
      <c r="AC29" s="30" t="inlineStr">
        <is>
          <t>SoCal / LA (San Fernando Valley)</t>
        </is>
      </c>
      <c r="AD29" s="30" t="inlineStr">
        <is>
          <t>Sun Valley</t>
        </is>
      </c>
      <c r="AE29" s="30" t="inlineStr">
        <is>
          <t>71</t>
        </is>
      </c>
      <c r="AF29" s="30" t="inlineStr">
        <is>
          <t>HIGH issuer=TCM (own page quote)/online/SFV; N/M terms, HP forum-only, reports. 2026-05-29</t>
        </is>
      </c>
      <c r="AG29" s="30" t="inlineStr">
        <is>
          <t>missionvalleybank.com/card-services ('issued by TCM Bank, N.A.'); mycommunitycc.com; FDIC cert 57101</t>
        </is>
      </c>
    </row>
    <row r="30" ht="15.75" customHeight="1">
      <c r="A30" s="30" t="inlineStr">
        <is>
          <t>29</t>
        </is>
      </c>
      <c r="B30" s="30" t="inlineStr">
        <is>
          <t>28</t>
        </is>
      </c>
      <c r="C30" s="42" t="inlineStr">
        <is>
          <t>GBC International Bank</t>
        </is>
      </c>
      <c r="D30" s="43" t="inlineStr">
        <is>
          <t>CA Bank</t>
        </is>
      </c>
      <c r="E30" s="30" t="inlineStr">
        <is>
          <t>★ Core SoCal</t>
        </is>
      </c>
      <c r="F30" s="33" t="inlineStr">
        <is>
          <t>3/4  ✗SUW ✓Onl ✓SoCal ✓Card</t>
        </is>
      </c>
      <c r="G30" s="30" t="inlineStr">
        <is>
          <t>D — TCM agent</t>
        </is>
      </c>
      <c r="H30" s="30" t="inlineStr">
        <is>
          <t>N/M (TCM; conservative, Experian-driven)</t>
        </is>
      </c>
      <c r="I30" s="30" t="inlineStr">
        <is>
          <t>$0.68B</t>
        </is>
      </c>
      <c r="J30" s="30" t="inlineStr">
        <is>
          <t>N/M</t>
        </is>
      </c>
      <c r="K30" s="30" t="inlineStr">
        <is>
          <t>8 offices, all SoCal/LA; Chinese-American + trade finance; SBA Preferred Lender</t>
        </is>
      </c>
      <c r="L30" s="30" t="inlineStr">
        <is>
          <t>CA-HQ'd</t>
        </is>
      </c>
      <c r="M30" s="30" t="inlineStr">
        <is>
          <t>No</t>
        </is>
      </c>
      <c r="N30" s="30" t="inlineStr">
        <is>
          <t>✅ TCM business Visa; terms N/M; $0 AF likely</t>
        </is>
      </c>
      <c r="O30" s="49" t="inlineStr">
        <is>
          <t>TCM Bank, N.A.</t>
        </is>
      </c>
      <c r="P30" s="30" t="inlineStr">
        <is>
          <t>Online</t>
        </is>
      </c>
      <c r="Q30" s="30" t="inlineStr">
        <is>
          <t>Online — apply at https://www.mycommunitycc.com/k7OgnYPt1fSE</t>
        </is>
      </c>
      <c r="R30" s="30" t="inlineStr">
        <is>
          <t>https://www.gbcib.com</t>
        </is>
      </c>
      <c r="S30" s="30" t="inlineStr">
        <is>
          <t>https://www.mycommunitycc.com/k7OgnYPt1fSE</t>
        </is>
      </c>
      <c r="T30" s="30" t="inlineStr">
        <is>
          <t>Experian (TCM; BBB DPs)</t>
        </is>
      </c>
      <c r="U30" s="30" t="inlineStr">
        <is>
          <t>N/M (TCM; biz bureaus typical)</t>
        </is>
      </c>
      <c r="V30" s="30" t="inlineStr">
        <is>
          <t>TCM platform: Experian pull (apps + CLIs); SBA-eligible only; conservative. myfico.com #6303273</t>
        </is>
      </c>
      <c r="W30" s="30" t="inlineStr">
        <is>
          <t>3</t>
        </is>
      </c>
      <c r="X30" s="30" t="inlineStr">
        <is>
          <t>PG likely; SBA-eligible only</t>
        </is>
      </c>
      <c r="Y30" s="30" t="inlineStr">
        <is>
          <t>None (BELOC real-estate-secured / SBA / Ex-Im / LC / CRE full-doc)</t>
        </is>
      </c>
      <c r="Z30" s="30" t="inlineStr">
        <is>
          <t>N/M</t>
        </is>
      </c>
      <c r="AA30" s="30" t="inlineStr">
        <is>
          <t>★ No-doc card — apply online</t>
        </is>
      </c>
      <c r="AB30" s="30" t="inlineStr">
        <is>
          <t>GBC-branded TCM business Visa (names not enumerated)</t>
        </is>
      </c>
      <c r="AC30" s="30" t="inlineStr">
        <is>
          <t>SoCal / LA</t>
        </is>
      </c>
      <c r="AD30" s="30" t="inlineStr">
        <is>
          <t>Los Angeles</t>
        </is>
      </c>
      <c r="AE30" s="30" t="inlineStr">
        <is>
          <t>74</t>
        </is>
      </c>
      <c r="AF30" s="30" t="inlineStr">
        <is>
          <t>MED-HIGH issuer=TCM (mycommunitycc.com portal + mycardstatement.com)/online/LA; N/M terms, reports. 2026-05-29</t>
        </is>
      </c>
      <c r="AG30" s="30" t="inlineStr">
        <is>
          <t>gbcib.com/business; mycommunitycc.com/k7OgnYPt1fSE; tcmbank.com; FDIC cert 22366</t>
        </is>
      </c>
    </row>
    <row r="31" ht="15.75" customHeight="1">
      <c r="A31" s="30" t="inlineStr">
        <is>
          <t>30</t>
        </is>
      </c>
      <c r="B31" s="30" t="inlineStr">
        <is>
          <t>29</t>
        </is>
      </c>
      <c r="C31" s="42" t="inlineStr">
        <is>
          <t>Banc of California</t>
        </is>
      </c>
      <c r="D31" s="43" t="inlineStr">
        <is>
          <t>CA Bank</t>
        </is>
      </c>
      <c r="E31" s="30" t="inlineStr">
        <is>
          <t>★ Core SoCal</t>
        </is>
      </c>
      <c r="F31" s="33" t="inlineStr">
        <is>
          <t>3/4  ✗SUW ✓Onl ✓SoCal ✓Card</t>
        </is>
      </c>
      <c r="G31" s="30" t="inlineStr">
        <is>
          <t>E — Elan agent</t>
        </is>
      </c>
      <c r="H31" s="30" t="inlineStr">
        <is>
          <t>Elan platform: ~$3K–$10K start, to ~$20K strong files (~$500 seen at 800+ FICO)  [myFICO #6658960]</t>
        </is>
      </c>
      <c r="I31" s="30" t="inlineStr">
        <is>
          <t>$34.64B</t>
        </is>
      </c>
      <c r="J31" s="30" t="inlineStr">
        <is>
          <t>$27.44B</t>
        </is>
      </c>
      <c r="K31" s="30" t="inlineStr">
        <is>
          <t>~80 CA branches; LA County, Orange County, San Diego (merged PacWest)</t>
        </is>
      </c>
      <c r="L31" s="30" t="inlineStr">
        <is>
          <t>CA-HQ'd</t>
        </is>
      </c>
      <c r="M31" s="30" t="inlineStr">
        <is>
          <t>No</t>
        </is>
      </c>
      <c r="N31" s="30" t="inlineStr">
        <is>
          <t>✅ 0% 20 cycles → ~17-26% var; $0 AF (BEST 0% in set)</t>
        </is>
      </c>
      <c r="O31" s="50" t="inlineStr">
        <is>
          <t>Elan</t>
        </is>
      </c>
      <c r="P31" s="30" t="inlineStr">
        <is>
          <t>Online</t>
        </is>
      </c>
      <c r="Q31" s="30" t="inlineStr">
        <is>
          <t>Online — apply at https://bancofcal.com/payment-solutions/business-credit-card/</t>
        </is>
      </c>
      <c r="R31" s="30" t="inlineStr">
        <is>
          <t>https://bancofcal.com</t>
        </is>
      </c>
      <c r="S31" s="30" t="inlineStr">
        <is>
          <t>https://bancofcal.com/payment-solutions/business-credit-card/</t>
        </is>
      </c>
      <c r="T31" s="30" t="inlineStr">
        <is>
          <t>TransUnion (varies EX/EQ)</t>
        </is>
      </c>
      <c r="U31" s="30" t="inlineStr">
        <is>
          <t>D&amp;B; not personal in good standing</t>
        </is>
      </c>
      <c r="V31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31" s="30" t="inlineStr">
        <is>
          <t>3</t>
        </is>
      </c>
      <c r="X31" s="30" t="inlineStr">
        <is>
          <t>PG yes; no tax returns (&lt;$25K)</t>
        </is>
      </c>
      <c r="Y31" s="30" t="inlineStr">
        <is>
          <t>None (SBA/LOC/term full-doc)</t>
        </is>
      </c>
      <c r="Z31" s="30" t="inlineStr">
        <is>
          <t>No</t>
        </is>
      </c>
      <c r="AA31" s="30" t="inlineStr">
        <is>
          <t>Longest 0% — 20 billing cycles (Elan)</t>
        </is>
      </c>
      <c r="AB31" s="30" t="inlineStr">
        <is>
          <t>Business Card (0% 20 cyc); Business Cash Card (3/2/1%)</t>
        </is>
      </c>
      <c r="AC31" s="30" t="inlineStr">
        <is>
          <t>SoCal / LA</t>
        </is>
      </c>
      <c r="AD31" s="30" t="inlineStr">
        <is>
          <t>Los Angeles</t>
        </is>
      </c>
      <c r="AE31" s="30" t="inlineStr">
        <is>
          <t>3</t>
        </is>
      </c>
      <c r="AF31" s="30" t="inlineStr">
        <is>
          <t>HIGH issuer/PG/0%-20cyc/apply/$0AF; N/M go-to APR. 2026-05-28</t>
        </is>
      </c>
      <c r="AG31" s="30" t="inlineStr">
        <is>
          <t>bancofcal.com business credit card page; online1.elancard.com STD_BIZ.pdf; hustlermoneyblog.com</t>
        </is>
      </c>
    </row>
    <row r="32" ht="15.75" customHeight="1">
      <c r="A32" s="30" t="inlineStr">
        <is>
          <t>31</t>
        </is>
      </c>
      <c r="B32" s="30" t="inlineStr">
        <is>
          <t>30</t>
        </is>
      </c>
      <c r="C32" s="42" t="inlineStr">
        <is>
          <t>Mega Bank</t>
        </is>
      </c>
      <c r="D32" s="43" t="inlineStr">
        <is>
          <t>CA Bank</t>
        </is>
      </c>
      <c r="E32" s="30" t="inlineStr">
        <is>
          <t>★ Core SoCal</t>
        </is>
      </c>
      <c r="F32" s="33" t="inlineStr">
        <is>
          <t>3/4  ✗SUW ✓Onl ✓SoCal ✓Card</t>
        </is>
      </c>
      <c r="G32" s="30" t="inlineStr">
        <is>
          <t>D — TCM agent</t>
        </is>
      </c>
      <c r="H32" s="30" t="inlineStr">
        <is>
          <t>N/M (TCM; conservative, Experian-driven)</t>
        </is>
      </c>
      <c r="I32" s="30" t="inlineStr">
        <is>
          <t>$0.47B</t>
        </is>
      </c>
      <c r="J32" s="30" t="inlineStr">
        <is>
          <t>N/M</t>
        </is>
      </c>
      <c r="K32" s="30" t="inlineStr">
        <is>
          <t>4 CA branches (San Gabriel HQ, Arcadia, Hacienda Heights); est 2008; Chinese-American</t>
        </is>
      </c>
      <c r="L32" s="30" t="inlineStr">
        <is>
          <t>CA-HQ'd</t>
        </is>
      </c>
      <c r="M32" s="30" t="inlineStr">
        <is>
          <t>No</t>
        </is>
      </c>
      <c r="N32" s="30" t="inlineStr">
        <is>
          <t>✅ TCM business + personal Visa; terms N/M; $0/low AF likely</t>
        </is>
      </c>
      <c r="O32" s="49" t="inlineStr">
        <is>
          <t>TCM Bank, N.A.</t>
        </is>
      </c>
      <c r="P32" s="30" t="inlineStr">
        <is>
          <t>Online</t>
        </is>
      </c>
      <c r="Q32" s="30" t="inlineStr">
        <is>
          <t>Online — apply at https://www.mycommunitycc.com/vsqcwJmaxwd7</t>
        </is>
      </c>
      <c r="R32" s="30" t="inlineStr">
        <is>
          <t>https://www.megabankusa.com</t>
        </is>
      </c>
      <c r="S32" s="30" t="inlineStr">
        <is>
          <t>https://www.mycommunitycc.com/vsqcwJmaxwd7</t>
        </is>
      </c>
      <c r="T32" s="30" t="inlineStr">
        <is>
          <t>Experian (TCM)</t>
        </is>
      </c>
      <c r="U32" s="30" t="inlineStr">
        <is>
          <t>N/M (TCM)</t>
        </is>
      </c>
      <c r="V32" s="30" t="inlineStr">
        <is>
          <t>TCM platform (mycommunitycc.com): Experian pull; SBA-eligible only; conservative. myfico.com #6303273</t>
        </is>
      </c>
      <c r="W32" s="30" t="inlineStr">
        <is>
          <t>3</t>
        </is>
      </c>
      <c r="X32" s="30" t="inlineStr">
        <is>
          <t>PG likely; SBA-eligible only</t>
        </is>
      </c>
      <c r="Y32" s="30" t="inlineStr">
        <is>
          <t>None (CRE/construction/commercial/small-business full-doc)</t>
        </is>
      </c>
      <c r="Z32" s="30" t="inlineStr">
        <is>
          <t>N/M</t>
        </is>
      </c>
      <c r="AA32" s="30" t="inlineStr">
        <is>
          <t>★ No-doc card — apply online</t>
        </is>
      </c>
      <c r="AB32" s="30" t="inlineStr">
        <is>
          <t>TCM business Visa ('Administered by TCM Bank, N.A.'; names not enumerated)</t>
        </is>
      </c>
      <c r="AC32" s="30" t="inlineStr">
        <is>
          <t>SoCal / LA (San Gabriel Valley)</t>
        </is>
      </c>
      <c r="AD32" s="30" t="inlineStr">
        <is>
          <t>San Gabriel</t>
        </is>
      </c>
      <c r="AE32" s="30" t="inlineStr">
        <is>
          <t>80</t>
        </is>
      </c>
      <c r="AF32" s="30" t="inlineStr">
        <is>
          <t>HIGH issuer=TCM (own page 'Administered by TCM Bank')/online/SGV; N/M terms, reports. 2026-05-29</t>
        </is>
      </c>
      <c r="AG32" s="30" t="inlineStr">
        <is>
          <t>megabankusa.com/Other-Services; mycommunitycc.com/vsqcwJmaxwd7; FDIC cert 58401</t>
        </is>
      </c>
    </row>
    <row r="33" ht="15.75" customHeight="1">
      <c r="A33" s="30" t="inlineStr">
        <is>
          <t>32</t>
        </is>
      </c>
      <c r="B33" s="30" t="inlineStr">
        <is>
          <t>31</t>
        </is>
      </c>
      <c r="C33" s="42" t="inlineStr">
        <is>
          <t>Home Bank of California</t>
        </is>
      </c>
      <c r="D33" s="43" t="inlineStr">
        <is>
          <t>CA Bank</t>
        </is>
      </c>
      <c r="E33" s="30" t="inlineStr">
        <is>
          <t>★ Core SoCal</t>
        </is>
      </c>
      <c r="F33" s="33" t="inlineStr">
        <is>
          <t>3/4  ✗SUW ✓Onl ✓SoCal ✓Card</t>
        </is>
      </c>
      <c r="G33" s="30" t="inlineStr">
        <is>
          <t>D — TCM agent</t>
        </is>
      </c>
      <c r="H33" s="30" t="inlineStr">
        <is>
          <t>N/M (TCM; conservative, Experian-driven)</t>
        </is>
      </c>
      <c r="I33" s="30" t="inlineStr">
        <is>
          <t>$0.25B</t>
        </is>
      </c>
      <c r="J33" s="30" t="inlineStr">
        <is>
          <t>N/M</t>
        </is>
      </c>
      <c r="K33" s="30" t="inlineStr">
        <is>
          <t>Single branch (San Diego, Ruffin Rd); est 1981</t>
        </is>
      </c>
      <c r="L33" s="30" t="inlineStr">
        <is>
          <t>CA-HQ'd</t>
        </is>
      </c>
      <c r="M33" s="30" t="inlineStr">
        <is>
          <t>No</t>
        </is>
      </c>
      <c r="N33" s="30" t="inlineStr">
        <is>
          <t>✅ TCM business Visa + Company Rewards Charge ($0 AF, 1pt/$1 no cap); terms N/M</t>
        </is>
      </c>
      <c r="O33" s="49" t="inlineStr">
        <is>
          <t>TCM Bank, N.A.</t>
        </is>
      </c>
      <c r="P33" s="30" t="inlineStr">
        <is>
          <t>Online</t>
        </is>
      </c>
      <c r="Q33" s="30" t="inlineStr">
        <is>
          <t>Online — apply at https://www.mycommunitycc.com/uJU63OjSlxHb</t>
        </is>
      </c>
      <c r="R33" s="30" t="inlineStr">
        <is>
          <t>https://www.hbc.bank</t>
        </is>
      </c>
      <c r="S33" s="30" t="inlineStr">
        <is>
          <t>https://www.mycommunitycc.com/uJU63OjSlxHb</t>
        </is>
      </c>
      <c r="T33" s="30" t="inlineStr">
        <is>
          <t>Experian (TCM; BBB DPs)</t>
        </is>
      </c>
      <c r="U33" s="30" t="inlineStr">
        <is>
          <t>N/M (TCM)</t>
        </is>
      </c>
      <c r="V33" s="30" t="inlineStr">
        <is>
          <t>TCM platform (mycommunitycc.com): Experian pull; SBA-eligible only; conservative. myfico.com #6303273</t>
        </is>
      </c>
      <c r="W33" s="30" t="inlineStr">
        <is>
          <t>3</t>
        </is>
      </c>
      <c r="X33" s="30" t="inlineStr">
        <is>
          <t>PG likely; SBA-eligible only</t>
        </is>
      </c>
      <c r="Y33" s="30" t="inlineStr">
        <is>
          <t>None (SBA/CRE/term/LOC full-doc)</t>
        </is>
      </c>
      <c r="Z33" s="30" t="inlineStr">
        <is>
          <t>N/M</t>
        </is>
      </c>
      <c r="AA33" s="30" t="inlineStr">
        <is>
          <t>★ No-doc card — apply online</t>
        </is>
      </c>
      <c r="AB33" s="30" t="inlineStr">
        <is>
          <t>TCM business Visa (multiple) + Company Rewards Charge Card ($0 AF, 1pt/$1 uncapped, free employee cards)</t>
        </is>
      </c>
      <c r="AC33" s="30" t="inlineStr">
        <is>
          <t>SoCal / San Diego</t>
        </is>
      </c>
      <c r="AD33" s="30" t="inlineStr">
        <is>
          <t>San Diego</t>
        </is>
      </c>
      <c r="AE33" s="30" t="inlineStr">
        <is>
          <t>98</t>
        </is>
      </c>
      <c r="AF33" s="30" t="inlineStr">
        <is>
          <t>HIGH issuer=TCM (own page 'issued by TCM Bank, N.A.')/online/San Diego/products; N/M APR, reports. 2026-05-29</t>
        </is>
      </c>
      <c r="AG33" s="30" t="inlineStr">
        <is>
          <t>hbc.bank/business/.../business-credit-cards + /company-rewards-charge-card; mycommunitycc.com; FDIC cert 26271</t>
        </is>
      </c>
    </row>
    <row r="34" ht="15.75" customHeight="1">
      <c r="A34" s="30" t="inlineStr">
        <is>
          <t>33</t>
        </is>
      </c>
      <c r="B34" s="30" t="inlineStr">
        <is>
          <t>32</t>
        </is>
      </c>
      <c r="C34" s="40" t="inlineStr">
        <is>
          <t>Comerica Bank</t>
        </is>
      </c>
      <c r="D34" s="32" t="inlineStr">
        <is>
          <t>National</t>
        </is>
      </c>
      <c r="E34" s="30" t="inlineStr">
        <is>
          <t>National (lends in CA)</t>
        </is>
      </c>
      <c r="F34" s="41" t="inlineStr">
        <is>
          <t>2/4  ✗SUW ✓Onl ✗SoCal ✓Card</t>
        </is>
      </c>
      <c r="G34" s="30" t="inlineStr">
        <is>
          <t>E — Elan agent</t>
        </is>
      </c>
      <c r="H34" s="30" t="inlineStr">
        <is>
          <t>$25K starting (Elan DP); declined 3rd Elan card  [creditboards #632782]</t>
        </is>
      </c>
      <c r="I34" s="30" t="inlineStr">
        <is>
          <t>~$79B</t>
        </is>
      </c>
      <c r="J34" s="30" t="inlineStr">
        <is>
          <t>—</t>
        </is>
      </c>
      <c r="K34" s="30" t="inlineStr">
        <is>
          <t>TX/MI/CA/FL/AZ; CA core market. NOTE: acquired by Fifth Third Bank (closed Feb 1, 2026) — program in transition</t>
        </is>
      </c>
      <c r="L34" s="30" t="inlineStr">
        <is>
          <t>Major CA (branches + lending)</t>
        </is>
      </c>
      <c r="M34" s="30" t="inlineStr">
        <is>
          <t>No</t>
        </is>
      </c>
      <c r="N34" s="30" t="inlineStr">
        <is>
          <t>✅ Elan Mastercards (Business Cash 0% 12cyc; Smart Business Rewards $95 after yr1)</t>
        </is>
      </c>
      <c r="O34" s="50" t="inlineStr">
        <is>
          <t>Elan</t>
        </is>
      </c>
      <c r="P34" s="30" t="inlineStr">
        <is>
          <t>Online</t>
        </is>
      </c>
      <c r="Q34" s="30" t="inlineStr">
        <is>
          <t>Online — apply at https://branchoffer.com/11t1/smart-business-rewards</t>
        </is>
      </c>
      <c r="R34" s="30" t="inlineStr">
        <is>
          <t>https://www.comerica.com/small-business/banking-and-services/business-credit-cards.html</t>
        </is>
      </c>
      <c r="S34" s="30" t="inlineStr">
        <is>
          <t>https://branchoffer.com/11t1/smart-business-rewards</t>
        </is>
      </c>
      <c r="T34" s="30" t="inlineStr">
        <is>
          <t>TransUnion-lean (Elan; varies EX/EQ)</t>
        </is>
      </c>
      <c r="U34" s="30" t="inlineStr">
        <is>
          <t>Personal: only on default. Business: SBFE</t>
        </is>
      </c>
      <c r="V34" s="30" t="inlineStr">
        <is>
          <t>Elan platform. Comerica DP: $25K starting limit. Declined on 3rd Elan card ('sufficient available credit'); Elan rep says no hard cap (cited a customer w/ 13 Elan accounts). creditboards.com #632782 / myfico.com #6478775</t>
        </is>
      </c>
      <c r="W34" s="30" t="inlineStr">
        <is>
          <t>3</t>
        </is>
      </c>
      <c r="X34" s="30" t="inlineStr">
        <is>
          <t>PG yes; NO tax returns</t>
        </is>
      </c>
      <c r="Y34" s="30" t="inlineStr">
        <is>
          <t>None (commercial LOC/SBA doc-based)</t>
        </is>
      </c>
      <c r="Z34" s="30" t="inlineStr">
        <is>
          <t>N/M (relationship path)</t>
        </is>
      </c>
      <c r="AA34" s="30" t="inlineStr">
        <is>
          <t>No-doc 0% card — apply online (Elan)</t>
        </is>
      </c>
      <c r="AB34" s="30" t="inlineStr">
        <is>
          <t>Mastercard Business Platinum, Real Rewards, Rewards PLUS, Smart Business Rewards; + Visa Secured</t>
        </is>
      </c>
      <c r="AC34" s="30" t="inlineStr">
        <is>
          <t>National — major CA market since 1983</t>
        </is>
      </c>
      <c r="AD34" s="30" t="inlineStr">
        <is>
          <t>Dallas, TX</t>
        </is>
      </c>
      <c r="AE34" s="30" t="inlineStr">
        <is>
          <t>Natl</t>
        </is>
      </c>
      <c r="AF34" s="30" t="inlineStr">
        <is>
          <t>HIGH issuer=Elan (NOT self)/PG/personal-default-only; MED Comerica-branded terms; flag Fifth Third acquisition. 2026-05-28</t>
        </is>
      </c>
      <c r="AG34" s="30" t="inlineStr">
        <is>
          <t>comerica.com business credit cards; online1.elancard.com COMERICA_CLIENT_SEC.pdf; creditboards.com #632782; 53.com (acquisition)</t>
        </is>
      </c>
    </row>
    <row r="35" ht="15.75" customHeight="1">
      <c r="A35" s="30" t="inlineStr">
        <is>
          <t>34</t>
        </is>
      </c>
      <c r="B35" s="30" t="inlineStr">
        <is>
          <t>33</t>
        </is>
      </c>
      <c r="C35" s="42" t="inlineStr">
        <is>
          <t>Cathay Bank</t>
        </is>
      </c>
      <c r="D35" s="43" t="inlineStr">
        <is>
          <t>CA Bank</t>
        </is>
      </c>
      <c r="E35" s="30" t="inlineStr">
        <is>
          <t>★ Core SoCal</t>
        </is>
      </c>
      <c r="F35" s="33" t="inlineStr">
        <is>
          <t>3/4  ✗SUW ✓Onl ✓SoCal ✓Card</t>
        </is>
      </c>
      <c r="G35" s="30" t="inlineStr">
        <is>
          <t>E — Elan agent</t>
        </is>
      </c>
      <c r="H35" s="30" t="inlineStr">
        <is>
          <t>Elan platform: ~$3K–$10K start, to ~$20K strong files (~$500 seen at 800+ FICO)  [myFICO #6658960]</t>
        </is>
      </c>
      <c r="I35" s="30" t="inlineStr">
        <is>
          <t>$24.04B</t>
        </is>
      </c>
      <c r="J35" s="30" t="inlineStr">
        <is>
          <t>$20.70B</t>
        </is>
      </c>
      <c r="K35" s="30" t="inlineStr">
        <is>
          <t>~43 branches/37 cities; LA/SGV, SF Bay, Orange County</t>
        </is>
      </c>
      <c r="L35" s="30" t="inlineStr">
        <is>
          <t>CA-HQ'd</t>
        </is>
      </c>
      <c r="M35" s="30" t="inlineStr">
        <is>
          <t>No</t>
        </is>
      </c>
      <c r="N35" s="30" t="inlineStr">
        <is>
          <t>✅ 6-mo intro; 1% cash back; APR N/M</t>
        </is>
      </c>
      <c r="O35" s="50" t="inlineStr">
        <is>
          <t>Elan</t>
        </is>
      </c>
      <c r="P35" s="30" t="inlineStr">
        <is>
          <t>Online</t>
        </is>
      </c>
      <c r="Q35" s="30" t="inlineStr">
        <is>
          <t>Online — apply at https://www.mycardapply.com/synindex/?ecdma-lc=36055&amp;ecid=OTHE_25940#business</t>
        </is>
      </c>
      <c r="R35" s="30" t="inlineStr">
        <is>
          <t>https://www.cathaybank.com</t>
        </is>
      </c>
      <c r="S35" s="30" t="inlineStr">
        <is>
          <t>https://www.mycardapply.com/synindex/?ecdma-lc=36055&amp;ecid=OTHE_25940#business</t>
        </is>
      </c>
      <c r="T35" s="30" t="inlineStr">
        <is>
          <t>TransUnion (varies EX/EQ)</t>
        </is>
      </c>
      <c r="U35" s="30" t="inlineStr">
        <is>
          <t>D&amp;B; not personal in good standing</t>
        </is>
      </c>
      <c r="V35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35" s="30" t="inlineStr">
        <is>
          <t>3</t>
        </is>
      </c>
      <c r="X35" s="30" t="inlineStr">
        <is>
          <t>PG yes; no tax returns (&lt;$25K)</t>
        </is>
      </c>
      <c r="Y35" s="30" t="inlineStr">
        <is>
          <t>Smart Loans (simplified-doc LOC) $5K-$250K by time-in-biz</t>
        </is>
      </c>
      <c r="Z35" s="30" t="inlineStr">
        <is>
          <t>N/M (not required to apply)</t>
        </is>
      </c>
      <c r="AA35" s="30" t="inlineStr">
        <is>
          <t>Smart Loans: simplified-doc LOC (Elan)</t>
        </is>
      </c>
      <c r="AB35" s="30" t="inlineStr">
        <is>
          <t>MC Business Platinum; MC Business Platinum Rewards (1% cash back)</t>
        </is>
      </c>
      <c r="AC35" s="30" t="inlineStr">
        <is>
          <t>SoCal / LA</t>
        </is>
      </c>
      <c r="AD35" s="30" t="inlineStr">
        <is>
          <t>Los Angeles</t>
        </is>
      </c>
      <c r="AE35" s="30" t="inlineStr">
        <is>
          <t>5</t>
        </is>
      </c>
      <c r="AF35" s="30" t="inlineStr">
        <is>
          <t>HIGH relevance/issuer/online/6mo-intro/1%; N/M APR, AF. 2026-05-28</t>
        </is>
      </c>
      <c r="AG35" s="30" t="inlineStr">
        <is>
          <t>cathaybank.com/business/credit-cards; mycardapply.com; cathaybank.com smart-loans</t>
        </is>
      </c>
    </row>
    <row r="36" ht="15.75" customHeight="1">
      <c r="A36" s="30" t="inlineStr">
        <is>
          <t>35</t>
        </is>
      </c>
      <c r="B36" s="30" t="inlineStr">
        <is>
          <t>34</t>
        </is>
      </c>
      <c r="C36" s="40" t="inlineStr">
        <is>
          <t>Patelco Credit Union</t>
        </is>
      </c>
      <c r="D36" s="39" t="inlineStr">
        <is>
          <t>Credit Union</t>
        </is>
      </c>
      <c r="E36" s="30" t="inlineStr">
        <is>
          <t>Other — NorCal</t>
        </is>
      </c>
      <c r="F36" s="41" t="inlineStr">
        <is>
          <t>2/4  ✓SUW ✗Onl ✗SoCal ✓Card</t>
        </is>
      </c>
      <c r="G36" s="30" t="inlineStr">
        <is>
          <t>B — Self-UW (in branch)</t>
        </is>
      </c>
      <c r="H36" s="30" t="inlineStr">
        <is>
          <t>N/M (no bank-specific data point found)</t>
        </is>
      </c>
      <c r="I36" s="30" t="inlineStr">
        <is>
          <t>~$9.52B</t>
        </is>
      </c>
      <c r="J36" s="30" t="inlineStr">
        <is>
          <t>—</t>
        </is>
      </c>
      <c r="K36" s="30" t="inlineStr">
        <is>
          <t>16 NorCal/Central counties + nationwide via FFA; ~35 branches</t>
        </is>
      </c>
      <c r="L36" s="30" t="inlineStr">
        <is>
          <t>CA-HQ'd</t>
        </is>
      </c>
      <c r="M36" s="30" t="inlineStr">
        <is>
          <t>Yes</t>
        </is>
      </c>
      <c r="N36" s="30" t="inlineStr">
        <is>
          <t>✅ Mastercard Business Rewards: NO 0% intro; 10.65-20.15% (LOW); $0 AF; 1.5pts. 2yr-in-business required</t>
        </is>
      </c>
      <c r="O36" s="34" t="inlineStr">
        <is>
          <t>Self (Patelco Credit Union)</t>
        </is>
      </c>
      <c r="P36" s="30" t="inlineStr">
        <is>
          <t>Assisted</t>
        </is>
      </c>
      <c r="Q36" s="30" t="inlineStr">
        <is>
          <t>Virtual Branch (staff-assisted)</t>
        </is>
      </c>
      <c r="R36" s="30" t="inlineStr">
        <is>
          <t>https://www.patelco.org/business-banking/business-rewards-card</t>
        </is>
      </c>
      <c r="S36" s="30" t="inlineStr">
        <is>
          <t>https://www.patelco.org/business-banking/business-rewards-card</t>
        </is>
      </c>
      <c r="T36" s="30" t="inlineStr">
        <is>
          <t>Experian (personal cards; business INFERENCE)</t>
        </is>
      </c>
      <c r="U36" s="30" t="inlineStr">
        <is>
          <t>⚠️ Personal: ALWAYS (reports to BOTH personal + business credit). Business: D&amp;B/EX-Biz/EQ-Biz</t>
        </is>
      </c>
      <c r="V36" s="30" t="inlineStr">
        <is>
          <t>Apply via Virtual Branch (staff-assisted). 2yr-business required. Personal-card DPs: $25K approvals, Experian, generous CLIs. Business-card DPs N/M.</t>
        </is>
      </c>
      <c r="W36" s="30" t="inlineStr">
        <is>
          <t>0</t>
        </is>
      </c>
      <c r="X36" s="30" t="inlineStr">
        <is>
          <t>PG yes (INFERENCE); no tax returns</t>
        </is>
      </c>
      <c r="Y36" s="30" t="inlineStr">
        <is>
          <t>None. Card reports to personal credit (weak for keep-off-personal). Low APR is the draw.</t>
        </is>
      </c>
      <c r="Z36" s="30" t="inlineStr">
        <is>
          <t>Membership required (16 NorCal counties + family; OPEN nationwide via Financial Fitness Assoc, Patelco pays yr1)</t>
        </is>
      </c>
      <c r="AA36" s="30" t="inlineStr">
        <is>
          <t>Low APR but reports to personal</t>
        </is>
      </c>
      <c r="AB36" s="30" t="inlineStr">
        <is>
          <t>Patelco Mastercard Business Rewards (low-rate, 1.5 pts)</t>
        </is>
      </c>
      <c r="AC36" s="30" t="inlineStr">
        <is>
          <t>NorCal / SF Bay (16-county FOM)</t>
        </is>
      </c>
      <c r="AD36" s="30" t="inlineStr">
        <is>
          <t>Dublin, CA</t>
        </is>
      </c>
      <c r="AE36" s="30" t="inlineStr">
        <is>
          <t>CU</t>
        </is>
      </c>
      <c r="AF36" s="30" t="inlineStr">
        <is>
          <t>HIGH self/low-APR/membership; ⚠️ reports to PERSONAL credit always. 2026-05-28</t>
        </is>
      </c>
      <c r="AG36" s="30" t="inlineStr">
        <is>
          <t>patelco.org/business-banking/business-rewards-card + T&amp;C PDF; /how-do-business-credit-cards-work (personal+business reporting); /become-a-member (FFA); myfico.com #6585690</t>
        </is>
      </c>
    </row>
    <row r="37" ht="15.75" customHeight="1">
      <c r="A37" s="30" t="inlineStr">
        <is>
          <t>36</t>
        </is>
      </c>
      <c r="B37" s="30" t="inlineStr">
        <is>
          <t>35</t>
        </is>
      </c>
      <c r="C37" s="40" t="inlineStr">
        <is>
          <t>SAFE Credit Union</t>
        </is>
      </c>
      <c r="D37" s="39" t="inlineStr">
        <is>
          <t>Credit Union</t>
        </is>
      </c>
      <c r="E37" s="30" t="inlineStr">
        <is>
          <t>Other — NorCal</t>
        </is>
      </c>
      <c r="F37" s="41" t="inlineStr">
        <is>
          <t>2/4  ✓SUW ✗Onl ✗SoCal ✓Card</t>
        </is>
      </c>
      <c r="G37" s="30" t="inlineStr">
        <is>
          <t>B — Self-UW (in branch)</t>
        </is>
      </c>
      <c r="H37" s="30" t="inlineStr">
        <is>
          <t>N/M (no bank-specific data point found)</t>
        </is>
      </c>
      <c r="I37" s="30" t="inlineStr">
        <is>
          <t>~$5B</t>
        </is>
      </c>
      <c r="J37" s="30" t="inlineStr">
        <is>
          <t>—</t>
        </is>
      </c>
      <c r="K37" s="30" t="inlineStr">
        <is>
          <t>13 NorCal counties + family / Aerospace Museum path; ~20 branches</t>
        </is>
      </c>
      <c r="L37" s="30" t="inlineStr">
        <is>
          <t>CA-HQ'd</t>
        </is>
      </c>
      <c r="M37" s="30" t="inlineStr">
        <is>
          <t>Yes</t>
        </is>
      </c>
      <c r="N37" s="30" t="inlineStr">
        <is>
          <t>✅ SAFE Visa Business: 0% 12mo BT promo; 13.40-19.40%; $0 AF; ScoreCard points</t>
        </is>
      </c>
      <c r="O37" s="34" t="inlineStr">
        <is>
          <t>Self (SAFE Credit Union)</t>
        </is>
      </c>
      <c r="P37" s="30" t="inlineStr">
        <is>
          <t>In-person</t>
        </is>
      </c>
      <c r="Q37" s="30" t="inlineStr">
        <is>
          <t>Phone appointment (no online form)</t>
        </is>
      </c>
      <c r="R37" s="30" t="inlineStr">
        <is>
          <t>https://www.safecu.org/business/grow-your-business/visa-business</t>
        </is>
      </c>
      <c r="S37" s="30" t="inlineStr">
        <is>
          <t>https://www.safecu.org/business/grow-your-business/visa-business</t>
        </is>
      </c>
      <c r="T37" s="30" t="inlineStr">
        <is>
          <t>N/M business (TransUnion for personal/membership)</t>
        </is>
      </c>
      <c r="U37" s="30" t="inlineStr">
        <is>
          <t>Negative/default reporting (personal); business bureaus N/M</t>
        </is>
      </c>
      <c r="V37" s="30" t="inlineStr">
        <is>
          <t>Apply via phone appointment (no online form). PG explicit; financials on request (Sec 23). Membership-gated.</t>
        </is>
      </c>
      <c r="W37" s="30" t="inlineStr">
        <is>
          <t>2</t>
        </is>
      </c>
      <c r="X37" s="30" t="inlineStr">
        <is>
          <t>PG YES (explicit guaranty) + financials on request — NOT fully no-doc</t>
        </is>
      </c>
      <c r="Y37" s="30" t="inlineStr">
        <is>
          <t>None (PG + financials-on-request clause)</t>
        </is>
      </c>
      <c r="Z37" s="30" t="inlineStr">
        <is>
          <t>Membership required (13 NorCal counties + family; Aerospace Museum 'anyone can join' path)</t>
        </is>
      </c>
      <c r="AA37" s="30" t="inlineStr">
        <is>
          <t>No-doc card — apply in branch</t>
        </is>
      </c>
      <c r="AB37" s="30" t="inlineStr">
        <is>
          <t>SAFE Visa Business Credit Card</t>
        </is>
      </c>
      <c r="AC37" s="30" t="inlineStr">
        <is>
          <t>NorCal / Sacramento (13-county FOM)</t>
        </is>
      </c>
      <c r="AD37" s="30" t="inlineStr">
        <is>
          <t>Folsom, CA (Sacramento metro)</t>
        </is>
      </c>
      <c r="AE37" s="30" t="inlineStr">
        <is>
          <t>CU</t>
        </is>
      </c>
      <c r="AF37" s="30" t="inlineStr">
        <is>
          <t>HIGH self/terms/PG-explicit/membership; MED 0%-BT-promo, HP. Financials-on-request = not pure no-doc. 2026-05-28</t>
        </is>
      </c>
      <c r="AG37" s="30" t="inlineStr">
        <is>
          <t>safecu.org/business/grow-your-business/visa-business + Business Credit Card Agreement PDF (PG, Sec 23 financials); /about/join-safe; dfpi.ca.gov</t>
        </is>
      </c>
    </row>
    <row r="38" ht="15.75" customHeight="1">
      <c r="A38" s="30" t="inlineStr">
        <is>
          <t>37</t>
        </is>
      </c>
      <c r="B38" s="30" t="inlineStr">
        <is>
          <t>36</t>
        </is>
      </c>
      <c r="C38" s="42" t="inlineStr">
        <is>
          <t>Icon Business Bank</t>
        </is>
      </c>
      <c r="D38" s="43" t="inlineStr">
        <is>
          <t>CA Bank</t>
        </is>
      </c>
      <c r="E38" s="30" t="inlineStr">
        <is>
          <t>★ Core SoCal</t>
        </is>
      </c>
      <c r="F38" s="33" t="inlineStr">
        <is>
          <t>3/4  ✗SUW ✓Onl ✓SoCal ✓Card</t>
        </is>
      </c>
      <c r="G38" s="30" t="inlineStr">
        <is>
          <t>D — TCM agent</t>
        </is>
      </c>
      <c r="H38" s="30" t="inlineStr">
        <is>
          <t>N/M (TCM; conservative, Experian-driven)</t>
        </is>
      </c>
      <c r="I38" s="30" t="inlineStr">
        <is>
          <t>$0.16B</t>
        </is>
      </c>
      <c r="J38" s="30" t="inlineStr">
        <is>
          <t>N/M</t>
        </is>
      </c>
      <c r="K38" s="30" t="inlineStr">
        <is>
          <t>Riverside HQ (IE) + Santa Ana (OC); de novo est Aug 2023; Icon Bcorp</t>
        </is>
      </c>
      <c r="L38" s="30" t="inlineStr">
        <is>
          <t>CA-HQ'd</t>
        </is>
      </c>
      <c r="M38" s="30" t="inlineStr">
        <is>
          <t>No</t>
        </is>
      </c>
      <c r="N38" s="30" t="inlineStr">
        <is>
          <t>✅ TCM business + personal Visa; terms N/M; $0/low AF likely</t>
        </is>
      </c>
      <c r="O38" s="49" t="inlineStr">
        <is>
          <t>TCM Bank, N.A.</t>
        </is>
      </c>
      <c r="P38" s="30" t="inlineStr">
        <is>
          <t>Online</t>
        </is>
      </c>
      <c r="Q38" s="30" t="inlineStr">
        <is>
          <t>Online — apply at https://www.mycommunitycc.com/lSp9OsZX4zOr</t>
        </is>
      </c>
      <c r="R38" s="30" t="inlineStr">
        <is>
          <t>https://www.iconbusinessbank.com</t>
        </is>
      </c>
      <c r="S38" s="30" t="inlineStr">
        <is>
          <t>https://www.mycommunitycc.com/lSp9OsZX4zOr</t>
        </is>
      </c>
      <c r="T38" s="30" t="inlineStr">
        <is>
          <t>Experian (TCM)</t>
        </is>
      </c>
      <c r="U38" s="30" t="inlineStr">
        <is>
          <t>N/M (TCM; biz bureaus/SBFE typical)</t>
        </is>
      </c>
      <c r="V38" s="30" t="inlineStr">
        <is>
          <t>TCM Agent Program (mycommunitycc.com): Experian pull; SBA-eligible only; PG-based. myfico.com #6303273</t>
        </is>
      </c>
      <c r="W38" s="30" t="inlineStr">
        <is>
          <t>3</t>
        </is>
      </c>
      <c r="X38" s="30" t="inlineStr">
        <is>
          <t>PG likely; SBA-eligible only</t>
        </is>
      </c>
      <c r="Y38" s="30" t="inlineStr">
        <is>
          <t>None (unsecured LOC/term/ABL/equipment/CRE/CELOC/SBA 504/7(a) full-doc)</t>
        </is>
      </c>
      <c r="Z38" s="30" t="inlineStr">
        <is>
          <t>N/M</t>
        </is>
      </c>
      <c r="AA38" s="30" t="inlineStr">
        <is>
          <t>★ No-doc card — apply online</t>
        </is>
      </c>
      <c r="AB38" s="30" t="inlineStr">
        <is>
          <t>TCM business Visa (via mycommunitycc.com; SKUs N/M)</t>
        </is>
      </c>
      <c r="AC38" s="30" t="inlineStr">
        <is>
          <t>SoCal / Inland Empire</t>
        </is>
      </c>
      <c r="AD38" s="30" t="inlineStr">
        <is>
          <t>Riverside</t>
        </is>
      </c>
      <c r="AE38" s="30" t="inlineStr">
        <is>
          <t>109</t>
        </is>
      </c>
      <c r="AF38" s="30" t="inlineStr">
        <is>
          <t>MED-HIGH issuer=TCM (mycommunitycc.com portal)/online/Inland Empire; N/M terms, HP, reports. 2026-05-29</t>
        </is>
      </c>
      <c r="AG38" s="30" t="inlineStr">
        <is>
          <t>iconbusinessbank.com (homepage credit-cards link); mycommunitycc.com/lSp9OsZX4zOr; icba.org TCM; FDIC cert 59314</t>
        </is>
      </c>
    </row>
    <row r="39" ht="15.75" customHeight="1">
      <c r="A39" s="30" t="inlineStr">
        <is>
          <t>38</t>
        </is>
      </c>
      <c r="B39" s="30" t="inlineStr">
        <is>
          <t>37</t>
        </is>
      </c>
      <c r="C39" s="42" t="inlineStr">
        <is>
          <t>Citizens Business Bank</t>
        </is>
      </c>
      <c r="D39" s="43" t="inlineStr">
        <is>
          <t>CA Bank</t>
        </is>
      </c>
      <c r="E39" s="30" t="inlineStr">
        <is>
          <t>★ Core SoCal</t>
        </is>
      </c>
      <c r="F39" s="33" t="inlineStr">
        <is>
          <t>3/4  ✗SUW ✓Onl ✓SoCal ✓Card</t>
        </is>
      </c>
      <c r="G39" s="30" t="inlineStr">
        <is>
          <t>E — Elan agent</t>
        </is>
      </c>
      <c r="H39" s="30" t="inlineStr">
        <is>
          <t>Elan platform: ~$3K–$10K start, to ~$20K strong files (~$500 seen at 800+ FICO)  [myFICO #6658960]</t>
        </is>
      </c>
      <c r="I39" s="30" t="inlineStr">
        <is>
          <t>$15.51B</t>
        </is>
      </c>
      <c r="J39" s="30" t="inlineStr">
        <is>
          <t>$12.00B</t>
        </is>
      </c>
      <c r="K39" s="30" t="inlineStr">
        <is>
          <t>CA-only; ~64 branches/57 cities statewide</t>
        </is>
      </c>
      <c r="L39" s="30" t="inlineStr">
        <is>
          <t>CA-HQ'd</t>
        </is>
      </c>
      <c r="M39" s="30" t="inlineStr">
        <is>
          <t>No</t>
        </is>
      </c>
      <c r="N39" s="30" t="inlineStr">
        <is>
          <t>✅ 0% 12 cycles → 17.24-26.24%; $0 AF</t>
        </is>
      </c>
      <c r="O39" s="50" t="inlineStr">
        <is>
          <t>Elan</t>
        </is>
      </c>
      <c r="P39" s="30" t="inlineStr">
        <is>
          <t>Online</t>
        </is>
      </c>
      <c r="Q39" s="30" t="inlineStr">
        <is>
          <t>Online — apply at https://creditcardlearnmore.com/11t3/index?ecdma-lc=26893&amp;ecid=OTHE_25940#business</t>
        </is>
      </c>
      <c r="R39" s="30" t="inlineStr">
        <is>
          <t>https://www.cbbank.com</t>
        </is>
      </c>
      <c r="S39" s="30" t="inlineStr">
        <is>
          <t>https://creditcardlearnmore.com/11t3/index?ecdma-lc=26893&amp;ecid=OTHE_25940#business</t>
        </is>
      </c>
      <c r="T39" s="30" t="inlineStr">
        <is>
          <t>TransUnion (varies EX/EQ)</t>
        </is>
      </c>
      <c r="U39" s="30" t="inlineStr">
        <is>
          <t>D&amp;B; not personal in good standing</t>
        </is>
      </c>
      <c r="V39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39" s="30" t="inlineStr">
        <is>
          <t>3</t>
        </is>
      </c>
      <c r="X39" s="30" t="inlineStr">
        <is>
          <t>PG yes; no tax returns (&lt;$25K)</t>
        </is>
      </c>
      <c r="Y39" s="30" t="inlineStr">
        <is>
          <t>None (SBA/LOC need biz tax returns)</t>
        </is>
      </c>
      <c r="Z39" s="30" t="inlineStr">
        <is>
          <t>No</t>
        </is>
      </c>
      <c r="AA39" s="30" t="inlineStr">
        <is>
          <t>No-doc 0% card — apply online (Elan)</t>
        </is>
      </c>
      <c r="AB39" s="30" t="inlineStr">
        <is>
          <t>'Mastercard Business Card' = Elan suite (Cash Preferred/Smart/Real Rewards)</t>
        </is>
      </c>
      <c r="AC39" s="30" t="inlineStr">
        <is>
          <t>SoCal / Inland Empire</t>
        </is>
      </c>
      <c r="AD39" s="30" t="inlineStr">
        <is>
          <t>Ontario</t>
        </is>
      </c>
      <c r="AE39" s="30" t="inlineStr">
        <is>
          <t>8</t>
        </is>
      </c>
      <c r="AF39" s="30" t="inlineStr">
        <is>
          <t>HIGH relevance/issuer/online/PG/footprint. 2026-05-28</t>
        </is>
      </c>
      <c r="AG39" s="30" t="inlineStr">
        <is>
          <t>cbbank.com/business-cards; creditcardlearnmore.com; cbbank.com/sba-lending</t>
        </is>
      </c>
    </row>
    <row r="40" ht="15.75" customHeight="1">
      <c r="A40" s="30" t="inlineStr">
        <is>
          <t>39</t>
        </is>
      </c>
      <c r="B40" s="30" t="inlineStr">
        <is>
          <t>38</t>
        </is>
      </c>
      <c r="C40" s="40" t="inlineStr">
        <is>
          <t>Community West Bank</t>
        </is>
      </c>
      <c r="D40" s="43" t="inlineStr">
        <is>
          <t>CA Bank</t>
        </is>
      </c>
      <c r="E40" s="30" t="inlineStr">
        <is>
          <t>Other — Central Valley</t>
        </is>
      </c>
      <c r="F40" s="41" t="inlineStr">
        <is>
          <t>2/4  ✗SUW ✓Onl ✗SoCal ✓Card</t>
        </is>
      </c>
      <c r="G40" s="30" t="inlineStr">
        <is>
          <t>C — Other agent card</t>
        </is>
      </c>
      <c r="H40" s="30" t="inlineStr">
        <is>
          <t>TIB: $10K+ needs financials (flat-priced, not FICO-risk)  [myFICO #5028638]</t>
        </is>
      </c>
      <c r="I40" s="30" t="inlineStr">
        <is>
          <t>$3.70B</t>
        </is>
      </c>
      <c r="J40" s="30" t="inlineStr">
        <is>
          <t>$3.15B</t>
        </is>
      </c>
      <c r="K40" s="30" t="inlineStr">
        <is>
          <t>Central Valley + Central Coast (Central Valley Community Bancorp merger 2024)</t>
        </is>
      </c>
      <c r="L40" s="30" t="inlineStr">
        <is>
          <t>CA-HQ'd</t>
        </is>
      </c>
      <c r="M40" s="30" t="inlineStr">
        <is>
          <t>No</t>
        </is>
      </c>
      <c r="N40" s="30" t="inlineStr">
        <is>
          <t>✅ no 0%; ~19.5% (Prime+10.99%); $0/$49 AF</t>
        </is>
      </c>
      <c r="O40" s="45" t="inlineStr">
        <is>
          <t>TIB</t>
        </is>
      </c>
      <c r="P40" s="30" t="inlineStr">
        <is>
          <t>Online</t>
        </is>
      </c>
      <c r="Q40" s="30" t="inlineStr">
        <is>
          <t>Online — apply at https://www.cardaccount.net/application/f87a3255c0/business/new</t>
        </is>
      </c>
      <c r="R40" s="30" t="inlineStr">
        <is>
          <t>https://www.communitywestbank.com</t>
        </is>
      </c>
      <c r="S40" s="30" t="inlineStr">
        <is>
          <t>https://www.cardaccount.net/application/f87a3255c0/business/new</t>
        </is>
      </c>
      <c r="T40" s="30" t="inlineStr">
        <is>
          <t>Experian</t>
        </is>
      </c>
      <c r="U40" s="30" t="inlineStr">
        <is>
          <t>N/M (TIB not on DoC list)</t>
        </is>
      </c>
      <c r="V40" s="30" t="inlineStr">
        <is>
          <t>TIB: pulls Experian incl. CLIs (CLI=hard pull); $10K+ needs financials; flat pricing (not FICO-risk-priced). myfico.com #5028638</t>
        </is>
      </c>
      <c r="W40" s="30" t="inlineStr">
        <is>
          <t>3</t>
        </is>
      </c>
      <c r="X40" s="30" t="inlineStr">
        <is>
          <t>PG yes; financials required $10K+ (sub-$10K light-doc)</t>
        </is>
      </c>
      <c r="Y40" s="30" t="inlineStr">
        <is>
          <t>N/M (TIB card &lt;$10K is the light-doc path)</t>
        </is>
      </c>
      <c r="Z40" s="30" t="inlineStr">
        <is>
          <t>N/M</t>
        </is>
      </c>
      <c r="AA40" s="30" t="inlineStr">
        <is>
          <t>★ No-doc card — apply online</t>
        </is>
      </c>
      <c r="AB40" s="30" t="inlineStr">
        <is>
          <t>Standard Business Card ($0 AF); Preferred Points Business Rewards ($49 AF)</t>
        </is>
      </c>
      <c r="AC40" s="30" t="inlineStr">
        <is>
          <t>Central Valley / Central Coast</t>
        </is>
      </c>
      <c r="AD40" s="30" t="inlineStr">
        <is>
          <t>Fresno</t>
        </is>
      </c>
      <c r="AE40" s="30" t="inlineStr">
        <is>
          <t>31</t>
        </is>
      </c>
      <c r="AF40" s="30" t="inlineStr">
        <is>
          <t>HIGH products/issuer (TIB)/APR/fees/HP=Experian; N/M reports, deposit. 2026-05-28</t>
        </is>
      </c>
      <c r="AG40" s="30" t="inlineStr">
        <is>
          <t>communitywestbank.com/business-credit-cards; cardaccount.net/application/f87a3255c0; myfico.com #5028638</t>
        </is>
      </c>
    </row>
    <row r="41" ht="15.75" customHeight="1">
      <c r="A41" s="30" t="inlineStr">
        <is>
          <t>40</t>
        </is>
      </c>
      <c r="B41" s="30" t="inlineStr">
        <is>
          <t>39</t>
        </is>
      </c>
      <c r="C41" s="42" t="inlineStr">
        <is>
          <t>Farmers &amp; Merchants Bank of Long Beach</t>
        </is>
      </c>
      <c r="D41" s="43" t="inlineStr">
        <is>
          <t>CA Bank</t>
        </is>
      </c>
      <c r="E41" s="30" t="inlineStr">
        <is>
          <t>★ Core SoCal</t>
        </is>
      </c>
      <c r="F41" s="33" t="inlineStr">
        <is>
          <t>3/4  ✗SUW ✓Onl ✓SoCal ✓Card</t>
        </is>
      </c>
      <c r="G41" s="30" t="inlineStr">
        <is>
          <t>E — Elan agent</t>
        </is>
      </c>
      <c r="H41" s="30" t="inlineStr">
        <is>
          <t>Elan platform: ~$3K–$10K start, to ~$20K strong files (~$500 seen at 800+ FICO)  [myFICO #6658960]</t>
        </is>
      </c>
      <c r="I41" s="30" t="inlineStr">
        <is>
          <t>$11.86B</t>
        </is>
      </c>
      <c r="J41" s="30" t="inlineStr">
        <is>
          <t>$8.94B</t>
        </is>
      </c>
      <c r="K41" s="30" t="inlineStr">
        <is>
          <t>27 branches; Long Beach, Orange County, South Bay, Santa Barbara</t>
        </is>
      </c>
      <c r="L41" s="30" t="inlineStr">
        <is>
          <t>CA-HQ'd</t>
        </is>
      </c>
      <c r="M41" s="30" t="inlineStr">
        <is>
          <t>No</t>
        </is>
      </c>
      <c r="N41" s="30" t="inlineStr">
        <is>
          <t>✅ 0% 12 cycles → 17.24-26.24%; $0 AF; $350 SUB</t>
        </is>
      </c>
      <c r="O41" s="50" t="inlineStr">
        <is>
          <t>Elan</t>
        </is>
      </c>
      <c r="P41" s="30" t="inlineStr">
        <is>
          <t>Online</t>
        </is>
      </c>
      <c r="Q41" s="30" t="inlineStr">
        <is>
          <t>Online — apply at https://creditcardlearnmore.com/11t3/index?ecdma-lc=31463&amp;ecid=OTHE_25940</t>
        </is>
      </c>
      <c r="R41" s="30" t="inlineStr">
        <is>
          <t>https://www.fmb.com</t>
        </is>
      </c>
      <c r="S41" s="30" t="inlineStr">
        <is>
          <t>https://creditcardlearnmore.com/11t3/index?ecdma-lc=31463&amp;ecid=OTHE_25940</t>
        </is>
      </c>
      <c r="T41" s="30" t="inlineStr">
        <is>
          <t>TransUnion (varies EX/EQ)</t>
        </is>
      </c>
      <c r="U41" s="30" t="inlineStr">
        <is>
          <t>D&amp;B + SBFE (infer); not personal</t>
        </is>
      </c>
      <c r="V41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41" s="30" t="inlineStr">
        <is>
          <t>3</t>
        </is>
      </c>
      <c r="X41" s="30" t="inlineStr">
        <is>
          <t>PG yes; no tax returns (&lt;$25K)</t>
        </is>
      </c>
      <c r="Y41" s="30" t="inlineStr">
        <is>
          <t>None (CRE/C&amp;I/SBA full-doc)</t>
        </is>
      </c>
      <c r="Z41" s="30" t="inlineStr">
        <is>
          <t>No</t>
        </is>
      </c>
      <c r="AA41" s="30" t="inlineStr">
        <is>
          <t>No-doc 0% card — apply online (Elan)</t>
        </is>
      </c>
      <c r="AB41" s="30" t="inlineStr">
        <is>
          <t>6 Elan business Visa: Cash Preferred, Real Rewards, Zero+, Smart Signature, CommUNITY, Company</t>
        </is>
      </c>
      <c r="AC41" s="30" t="inlineStr">
        <is>
          <t>SoCal / LA-Long Beach</t>
        </is>
      </c>
      <c r="AD41" s="30" t="inlineStr">
        <is>
          <t>Long Beach</t>
        </is>
      </c>
      <c r="AE41" s="30" t="inlineStr">
        <is>
          <t>10</t>
        </is>
      </c>
      <c r="AF41" s="30" t="inlineStr">
        <is>
          <t>HIGH products/issuer/online/terms. Not fandm.bank (ServisFirst). 2026-05-28</t>
        </is>
      </c>
      <c r="AG41" s="30" t="inlineStr">
        <is>
          <t>fmb.com/business/business-credit-card; creditcardlearnmore.com; cdwest.fmb.com/Locations</t>
        </is>
      </c>
    </row>
    <row r="42" ht="15.75" customHeight="1">
      <c r="A42" s="30" t="inlineStr">
        <is>
          <t>41</t>
        </is>
      </c>
      <c r="B42" s="30" t="inlineStr">
        <is>
          <t>40</t>
        </is>
      </c>
      <c r="C42" s="40" t="inlineStr">
        <is>
          <t>Tri Counties Bank</t>
        </is>
      </c>
      <c r="D42" s="43" t="inlineStr">
        <is>
          <t>CA Bank</t>
        </is>
      </c>
      <c r="E42" s="30" t="inlineStr">
        <is>
          <t>Other — NorCal</t>
        </is>
      </c>
      <c r="F42" s="41" t="inlineStr">
        <is>
          <t>2/4  ✓SUW ✗Onl ✗SoCal ✓Card</t>
        </is>
      </c>
      <c r="G42" s="30" t="inlineStr">
        <is>
          <t>B — Self-UW (in branch)</t>
        </is>
      </c>
      <c r="H42" s="30" t="inlineStr">
        <is>
          <t>N/M (no bank-specific data point found)</t>
        </is>
      </c>
      <c r="I42" s="30" t="inlineStr">
        <is>
          <t>$9.95B</t>
        </is>
      </c>
      <c r="J42" s="30" t="inlineStr">
        <is>
          <t>$8.41B</t>
        </is>
      </c>
      <c r="K42" s="30" t="inlineStr">
        <is>
          <t>CA-only; NorCal/Central + SoCal</t>
        </is>
      </c>
      <c r="L42" s="30" t="inlineStr">
        <is>
          <t>CA-HQ'd</t>
        </is>
      </c>
      <c r="M42" s="30" t="inlineStr">
        <is>
          <t>Yes</t>
        </is>
      </c>
      <c r="N42" s="30" t="inlineStr">
        <is>
          <t>✅ no 0%; APR N/M; $0 AF; 1.5% cash back (Platinum)</t>
        </is>
      </c>
      <c r="O42" s="34" t="inlineStr">
        <is>
          <t>Self (Tri Counties Bank, N.A.)</t>
        </is>
      </c>
      <c r="P42" s="30" t="inlineStr">
        <is>
          <t>In-person</t>
        </is>
      </c>
      <c r="Q42" s="30" t="inlineStr">
        <is>
          <t>Paper form BCC-301 (in-branch)</t>
        </is>
      </c>
      <c r="R42" s="30" t="inlineStr">
        <is>
          <t>https://www.tcbk.com</t>
        </is>
      </c>
      <c r="S42" s="30" t="inlineStr">
        <is>
          <t>https://www.tcbk.com/business/credit-cards</t>
        </is>
      </c>
      <c r="T42" s="30" t="inlineStr">
        <is>
          <t>N/M (personal pull via PG; bureau not named)</t>
        </is>
      </c>
      <c r="U42" s="30" t="inlineStr">
        <is>
          <t>N/M ('may report'; bureaus unnamed)</t>
        </is>
      </c>
      <c r="V42" s="30" t="inlineStr">
        <is>
          <t>N/M — zero forum data points (small self-issued program)</t>
        </is>
      </c>
      <c r="W42" s="30" t="inlineStr">
        <is>
          <t>2</t>
        </is>
      </c>
      <c r="X42" s="30" t="inlineStr">
        <is>
          <t>PG yes (mandatory guarantor); no tax returns at app (self-reported revenue)</t>
        </is>
      </c>
      <c r="Y42" s="30" t="inlineStr">
        <is>
          <t>None truly no-doc (LOC needs 3yr profitability)</t>
        </is>
      </c>
      <c r="Z42" s="30" t="inlineStr">
        <is>
          <t>N/M</t>
        </is>
      </c>
      <c r="AA42" s="30" t="inlineStr">
        <is>
          <t>No-doc card — apply in branch</t>
        </is>
      </c>
      <c r="AB42" s="30" t="inlineStr">
        <is>
          <t>Visa Business Card; Visa Business Platinum. (Personal cards = TCM — don't conflate)</t>
        </is>
      </c>
      <c r="AC42" s="30" t="inlineStr">
        <is>
          <t>NorCal / Sacramento</t>
        </is>
      </c>
      <c r="AD42" s="30" t="inlineStr">
        <is>
          <t>Chico</t>
        </is>
      </c>
      <c r="AE42" s="30" t="inlineStr">
        <is>
          <t>11</t>
        </is>
      </c>
      <c r="AF42" s="30" t="inlineStr">
        <is>
          <t>MED-HIGH self-issuer/products/PG/no-tax; N/M HP, reports, APR. 2026-05-28</t>
        </is>
      </c>
      <c r="AG42" s="30" t="inlineStr">
        <is>
          <t>tcbk.com/business/credit-cards + Business_Card_Disclosure PDF + application PDF</t>
        </is>
      </c>
    </row>
    <row r="43" ht="15.75" customHeight="1">
      <c r="A43" s="30" t="inlineStr">
        <is>
          <t>42</t>
        </is>
      </c>
      <c r="B43" s="30" t="inlineStr">
        <is>
          <t>41</t>
        </is>
      </c>
      <c r="C43" s="42" t="inlineStr">
        <is>
          <t>Hanmi Bank</t>
        </is>
      </c>
      <c r="D43" s="43" t="inlineStr">
        <is>
          <t>CA Bank</t>
        </is>
      </c>
      <c r="E43" s="30" t="inlineStr">
        <is>
          <t>★ Core SoCal</t>
        </is>
      </c>
      <c r="F43" s="33" t="inlineStr">
        <is>
          <t>3/4  ✗SUW ✓Onl ✓SoCal ✓Card</t>
        </is>
      </c>
      <c r="G43" s="30" t="inlineStr">
        <is>
          <t>E — Elan agent</t>
        </is>
      </c>
      <c r="H43" s="30" t="inlineStr">
        <is>
          <t>Elan platform: ~$3K–$10K start, to ~$20K strong files (~$500 seen at 800+ FICO)  [myFICO #6658960]</t>
        </is>
      </c>
      <c r="I43" s="30" t="inlineStr">
        <is>
          <t>$7.79B</t>
        </is>
      </c>
      <c r="J43" s="30" t="inlineStr">
        <is>
          <t>$6.80B</t>
        </is>
      </c>
      <c r="K43" s="30" t="inlineStr">
        <is>
          <t>~21 CA branches; LA, Orange County, San Diego, Silicon Valley; Korean-American</t>
        </is>
      </c>
      <c r="L43" s="30" t="inlineStr">
        <is>
          <t>CA-HQ'd</t>
        </is>
      </c>
      <c r="M43" s="30" t="inlineStr">
        <is>
          <t>No</t>
        </is>
      </c>
      <c r="N43" s="30" t="inlineStr">
        <is>
          <t>✅ 0% 18 cycles (Business Zero+); APR/AF N/M</t>
        </is>
      </c>
      <c r="O43" s="50" t="inlineStr">
        <is>
          <t>Elan</t>
        </is>
      </c>
      <c r="P43" s="30" t="inlineStr">
        <is>
          <t>Online</t>
        </is>
      </c>
      <c r="Q43" s="30" t="inlineStr">
        <is>
          <t>Online — apply at https://www.mycardapply.com/synindex/product?ecdma-lc=36069&amp;ecid=OTHE_25940&amp;offertype=132</t>
        </is>
      </c>
      <c r="R43" s="30" t="inlineStr">
        <is>
          <t>https://www.hanmi.com</t>
        </is>
      </c>
      <c r="S43" s="30" t="inlineStr">
        <is>
          <t>https://www.mycardapply.com/synindex/product?ecdma-lc=36069&amp;ecid=OTHE_25940&amp;offertype=132</t>
        </is>
      </c>
      <c r="T43" s="30" t="inlineStr">
        <is>
          <t>TransUnion (varies EX/EQ)</t>
        </is>
      </c>
      <c r="U43" s="30" t="inlineStr">
        <is>
          <t>D&amp;B; not personal in good standing</t>
        </is>
      </c>
      <c r="V43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43" s="30" t="inlineStr">
        <is>
          <t>3</t>
        </is>
      </c>
      <c r="X43" s="30" t="inlineStr">
        <is>
          <t>PG yes; no tax returns (&lt;$25K)</t>
        </is>
      </c>
      <c r="Y43" s="30" t="inlineStr">
        <is>
          <t>None (SBA/CRE/term/trade full-doc)</t>
        </is>
      </c>
      <c r="Z43" s="30" t="inlineStr">
        <is>
          <t>No</t>
        </is>
      </c>
      <c r="AA43" s="30" t="inlineStr">
        <is>
          <t>0% for 18 billing cycles (Elan)</t>
        </is>
      </c>
      <c r="AB43" s="30" t="inlineStr">
        <is>
          <t>Business Zero+ (0% 18 cyc), Business Real Rewards, Business Cash Preferred, Smart Business Rewards</t>
        </is>
      </c>
      <c r="AC43" s="30" t="inlineStr">
        <is>
          <t>SoCal / LA</t>
        </is>
      </c>
      <c r="AD43" s="30" t="inlineStr">
        <is>
          <t>Los Angeles</t>
        </is>
      </c>
      <c r="AE43" s="30" t="inlineStr">
        <is>
          <t>14</t>
        </is>
      </c>
      <c r="AF43" s="30" t="inlineStr">
        <is>
          <t>HIGH relevance/issuer/online/PG; MED HP. (Not 'Fifth Third' — snippet error.) 2026-05-28</t>
        </is>
      </c>
      <c r="AG43" s="30" t="inlineStr">
        <is>
          <t>hanmi.com/business/business-credit-cards; mycardapply.com; online1.elancard.com STD_BIZ.pdf</t>
        </is>
      </c>
    </row>
    <row r="44" ht="15.75" customHeight="1">
      <c r="A44" s="30" t="inlineStr">
        <is>
          <t>43</t>
        </is>
      </c>
      <c r="B44" s="30" t="inlineStr">
        <is>
          <t>42</t>
        </is>
      </c>
      <c r="C44" s="42" t="inlineStr">
        <is>
          <t>Preferred Bank</t>
        </is>
      </c>
      <c r="D44" s="43" t="inlineStr">
        <is>
          <t>CA Bank</t>
        </is>
      </c>
      <c r="E44" s="30" t="inlineStr">
        <is>
          <t>★ Core SoCal</t>
        </is>
      </c>
      <c r="F44" s="33" t="inlineStr">
        <is>
          <t>3/4  ✗SUW ✓Onl ✓SoCal ✓Card</t>
        </is>
      </c>
      <c r="G44" s="30" t="inlineStr">
        <is>
          <t>E — Elan agent</t>
        </is>
      </c>
      <c r="H44" s="30" t="inlineStr">
        <is>
          <t>Elan platform: ~$3K–$10K start, to ~$20K strong files (~$500 seen at 800+ FICO)  [myFICO #6658960]</t>
        </is>
      </c>
      <c r="I44" s="30" t="inlineStr">
        <is>
          <t>$7.66B</t>
        </is>
      </c>
      <c r="J44" s="30" t="inlineStr">
        <is>
          <t>$6.43B</t>
        </is>
      </c>
      <c r="K44" s="30" t="inlineStr">
        <is>
          <t>13 CA branches/11 cities; LA + Orange County + SF; Chinese-American</t>
        </is>
      </c>
      <c r="L44" s="30" t="inlineStr">
        <is>
          <t>CA-HQ'd</t>
        </is>
      </c>
      <c r="M44" s="30" t="inlineStr">
        <is>
          <t>No</t>
        </is>
      </c>
      <c r="N44" s="30" t="inlineStr">
        <is>
          <t>✅ 0% 12 cycles → 17.24-26.24%; $0 AF</t>
        </is>
      </c>
      <c r="O44" s="50" t="inlineStr">
        <is>
          <t>Elan</t>
        </is>
      </c>
      <c r="P44" s="30" t="inlineStr">
        <is>
          <t>Online</t>
        </is>
      </c>
      <c r="Q44" s="30" t="inlineStr">
        <is>
          <t>Online — apply at https://creditcardlearnmore.com/11t3/index?ecdma-lc=25483&amp;ecid=OTHE_25940#business</t>
        </is>
      </c>
      <c r="R44" s="30" t="inlineStr">
        <is>
          <t>https://www.preferredbank.com</t>
        </is>
      </c>
      <c r="S44" s="30" t="inlineStr">
        <is>
          <t>https://creditcardlearnmore.com/11t3/index?ecdma-lc=25483&amp;ecid=OTHE_25940#business</t>
        </is>
      </c>
      <c r="T44" s="30" t="inlineStr">
        <is>
          <t>TransUnion (varies EX/EQ)</t>
        </is>
      </c>
      <c r="U44" s="30" t="inlineStr">
        <is>
          <t>Personal delinquency-only; biz bureaus N/M</t>
        </is>
      </c>
      <c r="V44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44" s="30" t="inlineStr">
        <is>
          <t>3</t>
        </is>
      </c>
      <c r="X44" s="30" t="inlineStr">
        <is>
          <t>PG yes; no tax returns (&lt;$25K)</t>
        </is>
      </c>
      <c r="Y44" s="30" t="inlineStr">
        <is>
          <t>None (LOC/term/SBA full-doc)</t>
        </is>
      </c>
      <c r="Z44" s="30" t="inlineStr">
        <is>
          <t>No</t>
        </is>
      </c>
      <c r="AA44" s="30" t="inlineStr">
        <is>
          <t>No-doc 0% card — apply online (Elan)</t>
        </is>
      </c>
      <c r="AB44" s="30" t="inlineStr">
        <is>
          <t>Business Cash Preferred, Smart Business Rewards, Business Real Rewards</t>
        </is>
      </c>
      <c r="AC44" s="30" t="inlineStr">
        <is>
          <t>SoCal / LA</t>
        </is>
      </c>
      <c r="AD44" s="30" t="inlineStr">
        <is>
          <t>Los Angeles</t>
        </is>
      </c>
      <c r="AE44" s="30" t="inlineStr">
        <is>
          <t>16</t>
        </is>
      </c>
      <c r="AF44" s="30" t="inlineStr">
        <is>
          <t>HIGH issuer/products/terms/online; N/M HP, biz reporting. 2026-05-28</t>
        </is>
      </c>
      <c r="AG44" s="30" t="inlineStr">
        <is>
          <t>preferredbank.com/business/loans-and-credit/credit-cards; creditcardlearnmore.com (25483)</t>
        </is>
      </c>
    </row>
    <row r="45" ht="15.75" customHeight="1">
      <c r="A45" s="30" t="inlineStr">
        <is>
          <t>44</t>
        </is>
      </c>
      <c r="B45" s="30" t="inlineStr">
        <is>
          <t>43</t>
        </is>
      </c>
      <c r="C45" s="40" t="inlineStr">
        <is>
          <t>FFB Bank</t>
        </is>
      </c>
      <c r="D45" s="43" t="inlineStr">
        <is>
          <t>CA Bank</t>
        </is>
      </c>
      <c r="E45" s="30" t="inlineStr">
        <is>
          <t>Other — Central Valley</t>
        </is>
      </c>
      <c r="F45" s="41" t="inlineStr">
        <is>
          <t>2/4  ✗SUW ✓Onl ✗SoCal ✓Card</t>
        </is>
      </c>
      <c r="G45" s="30" t="inlineStr">
        <is>
          <t>C — Other agent card</t>
        </is>
      </c>
      <c r="H45" s="30" t="inlineStr">
        <is>
          <t>N/M (TIB; financials typically required $10K+)</t>
        </is>
      </c>
      <c r="I45" s="30" t="inlineStr">
        <is>
          <t>$1.57B</t>
        </is>
      </c>
      <c r="J45" s="30" t="inlineStr">
        <is>
          <t>$1.35B</t>
        </is>
      </c>
      <c r="K45" s="30" t="inlineStr">
        <is>
          <t>Single Fresno branch + Irvine + ~30 states virtual; leading Central Valley SBA lender</t>
        </is>
      </c>
      <c r="L45" s="30" t="inlineStr">
        <is>
          <t>CA-HQ'd</t>
        </is>
      </c>
      <c r="M45" s="30" t="inlineStr">
        <is>
          <t>No</t>
        </is>
      </c>
      <c r="N45" s="30" t="inlineStr">
        <is>
          <t>✅ no 0%; APR N/M; no AF</t>
        </is>
      </c>
      <c r="O45" s="45" t="inlineStr">
        <is>
          <t>TIB</t>
        </is>
      </c>
      <c r="P45" s="30" t="inlineStr">
        <is>
          <t>Online</t>
        </is>
      </c>
      <c r="Q45" s="30" t="inlineStr">
        <is>
          <t>Online — apply at https://www.ffb.bank/home/business/loans-credit/credit-cards/</t>
        </is>
      </c>
      <c r="R45" s="30" t="inlineStr">
        <is>
          <t>https://www.ffb.bank</t>
        </is>
      </c>
      <c r="S45" s="30" t="inlineStr">
        <is>
          <t>https://www.ffb.bank/home/business/loans-credit/credit-cards/</t>
        </is>
      </c>
      <c r="T45" s="30" t="inlineStr">
        <is>
          <t>Experian (infer; single 2021 DP; TIB variable)</t>
        </is>
      </c>
      <c r="U45" s="30" t="inlineStr">
        <is>
          <t>N/M</t>
        </is>
      </c>
      <c r="V45" s="30" t="inlineStr">
        <is>
          <t>N/M FFB-specific; TIB-general only</t>
        </is>
      </c>
      <c r="W45" s="30" t="inlineStr">
        <is>
          <t>3</t>
        </is>
      </c>
      <c r="X45" s="30" t="inlineStr">
        <is>
          <t>PG typical (N/M); income docs N/M</t>
        </is>
      </c>
      <c r="Y45" s="30" t="inlineStr">
        <is>
          <t>N/M (SBA-focused; conventional/SBA full-doc)</t>
        </is>
      </c>
      <c r="Z45" s="30" t="inlineStr">
        <is>
          <t>N/M</t>
        </is>
      </c>
      <c r="AA45" s="30" t="inlineStr">
        <is>
          <t>★ No-doc card — apply online</t>
        </is>
      </c>
      <c r="AB45" s="30" t="inlineStr">
        <is>
          <t>FFB Visa Business Card; FFB Visa Business Preferred Points Card</t>
        </is>
      </c>
      <c r="AC45" s="30" t="inlineStr">
        <is>
          <t>Central Valley</t>
        </is>
      </c>
      <c r="AD45" s="30" t="inlineStr">
        <is>
          <t>Fresno</t>
        </is>
      </c>
      <c r="AE45" s="30" t="inlineStr">
        <is>
          <t>47</t>
        </is>
      </c>
      <c r="AF45" s="30" t="inlineStr">
        <is>
          <t>HIGH products/no-AF/SBA; MED-HIGH issuer=TIB (ecosystem); LOW HP, APR. 2026-05-28</t>
        </is>
      </c>
      <c r="AG45" s="30" t="inlineStr">
        <is>
          <t>ffb.bank/home/business/loans-credit/credit-cards; mypreferredpoints.com; myfico.com #6303273</t>
        </is>
      </c>
    </row>
    <row r="46" ht="15.75" customHeight="1">
      <c r="A46" s="30" t="inlineStr">
        <is>
          <t>45</t>
        </is>
      </c>
      <c r="B46" s="30" t="inlineStr">
        <is>
          <t>44</t>
        </is>
      </c>
      <c r="C46" s="40" t="inlineStr">
        <is>
          <t>Montecito Bank &amp; Trust</t>
        </is>
      </c>
      <c r="D46" s="43" t="inlineStr">
        <is>
          <t>CA Bank</t>
        </is>
      </c>
      <c r="E46" s="30" t="inlineStr">
        <is>
          <t>Other — Central Coast</t>
        </is>
      </c>
      <c r="F46" s="41" t="inlineStr">
        <is>
          <t>2/4  ✓SUW ✗Onl ✗SoCal ✓Card</t>
        </is>
      </c>
      <c r="G46" s="30" t="inlineStr">
        <is>
          <t>B — Self-UW (in branch)</t>
        </is>
      </c>
      <c r="H46" s="30" t="inlineStr">
        <is>
          <t>Visa Business Rewards up to $100K (advertised)</t>
        </is>
      </c>
      <c r="I46" s="30" t="inlineStr">
        <is>
          <t>$2.04B</t>
        </is>
      </c>
      <c r="J46" s="30" t="inlineStr">
        <is>
          <t>$1.79B</t>
        </is>
      </c>
      <c r="K46" s="30" t="inlineStr">
        <is>
          <t>~13 branches Santa Barbara + Ventura counties; largest Central Coast bank</t>
        </is>
      </c>
      <c r="L46" s="30" t="inlineStr">
        <is>
          <t>CA-HQ'd</t>
        </is>
      </c>
      <c r="M46" s="30" t="inlineStr">
        <is>
          <t>Yes</t>
        </is>
      </c>
      <c r="N46" s="30" t="inlineStr">
        <is>
          <t>✅ no 0%; 16.49-24.49%; $0 AF; 1% cash back; $250 SUB</t>
        </is>
      </c>
      <c r="O46" s="34" t="inlineStr">
        <is>
          <t>Self (Montecito B&amp;T is creditor)</t>
        </is>
      </c>
      <c r="P46" s="30" t="inlineStr">
        <is>
          <t>Assisted</t>
        </is>
      </c>
      <c r="Q46" s="30" t="inlineStr">
        <is>
          <t>DocuSign (staff-assisted; not instant)</t>
        </is>
      </c>
      <c r="R46" s="30" t="inlineStr">
        <is>
          <t>https://montecito.bank</t>
        </is>
      </c>
      <c r="S46" s="30" t="inlineStr">
        <is>
          <t>https://montecito.bank/business/credit-card</t>
        </is>
      </c>
      <c r="T46" s="30" t="inlineStr">
        <is>
          <t>N/M (personal pull on guarantor)</t>
        </is>
      </c>
      <c r="U46" s="30" t="inlineStr">
        <is>
          <t>Reports to bureaus; personal on default (specific bureaus N/M)</t>
        </is>
      </c>
      <c r="V46" s="30" t="inlineStr">
        <is>
          <t>N/M (no forum data)</t>
        </is>
      </c>
      <c r="W46" s="30" t="inlineStr">
        <is>
          <t>2</t>
        </is>
      </c>
      <c r="X46" s="30" t="inlineStr">
        <is>
          <t>Co-liability/guarantor; tax returns N/M</t>
        </is>
      </c>
      <c r="Y46" s="30" t="inlineStr">
        <is>
          <t>BizMax LOC + Term $10K-$250K, apply online, decision in minutes</t>
        </is>
      </c>
      <c r="Z46" s="30" t="inlineStr">
        <is>
          <t>YES — deposit customers only (rare hard requirement)</t>
        </is>
      </c>
      <c r="AA46" s="30" t="inlineStr">
        <is>
          <t>No-doc card — apply in branch</t>
        </is>
      </c>
      <c r="AB46" s="30" t="inlineStr">
        <is>
          <t>Visa Business Rewards (limit up to $100K); Fiserv SpendTrack servicing</t>
        </is>
      </c>
      <c r="AC46" s="30" t="inlineStr">
        <is>
          <t>Central Coast</t>
        </is>
      </c>
      <c r="AD46" s="30" t="inlineStr">
        <is>
          <t>Santa Barbara</t>
        </is>
      </c>
      <c r="AE46" s="30" t="inlineStr">
        <is>
          <t>41</t>
        </is>
      </c>
      <c r="AF46" s="30" t="inlineStr">
        <is>
          <t>HIGH self-issuer/terms/deposit-required; MED PG; N/M HP, biz-bureau. 2026-05-28</t>
        </is>
      </c>
      <c r="AG46" s="30" t="inlineStr">
        <is>
          <t>montecito.bank/business/credit-card + business-credit-card-contract PDF + /business/lending/.../bizmax</t>
        </is>
      </c>
    </row>
    <row r="47" ht="15.75" customHeight="1">
      <c r="A47" s="30" t="inlineStr">
        <is>
          <t>46</t>
        </is>
      </c>
      <c r="B47" s="30" t="inlineStr">
        <is>
          <t>45</t>
        </is>
      </c>
      <c r="C47" s="42" t="inlineStr">
        <is>
          <t>Royal Business Bank</t>
        </is>
      </c>
      <c r="D47" s="43" t="inlineStr">
        <is>
          <t>CA Bank</t>
        </is>
      </c>
      <c r="E47" s="30" t="inlineStr">
        <is>
          <t>★ Core SoCal</t>
        </is>
      </c>
      <c r="F47" s="33" t="inlineStr">
        <is>
          <t>3/4  ✗SUW ✓Onl ✓SoCal ✓Card</t>
        </is>
      </c>
      <c r="G47" s="30" t="inlineStr">
        <is>
          <t>E — Elan agent</t>
        </is>
      </c>
      <c r="H47" s="30" t="inlineStr">
        <is>
          <t>Elan platform: ~$3K–$10K start, to ~$20K strong files (~$500 seen at 800+ FICO)  [myFICO #6658960]</t>
        </is>
      </c>
      <c r="I47" s="30" t="inlineStr">
        <is>
          <t>$4.19B</t>
        </is>
      </c>
      <c r="J47" s="30" t="inlineStr">
        <is>
          <t>$3.39B</t>
        </is>
      </c>
      <c r="K47" s="30" t="inlineStr">
        <is>
          <t>12 CA branches/11 cities; LA + Orange County; Asian-American (RBB Bancorp)</t>
        </is>
      </c>
      <c r="L47" s="30" t="inlineStr">
        <is>
          <t>CA-HQ'd</t>
        </is>
      </c>
      <c r="M47" s="30" t="inlineStr">
        <is>
          <t>No</t>
        </is>
      </c>
      <c r="N47" s="30" t="inlineStr">
        <is>
          <t>✅ 0% 12 cycles → 17.24-26.24%; $0 AF</t>
        </is>
      </c>
      <c r="O47" s="50" t="inlineStr">
        <is>
          <t>Elan</t>
        </is>
      </c>
      <c r="P47" s="30" t="inlineStr">
        <is>
          <t>Online</t>
        </is>
      </c>
      <c r="Q47" s="30" t="inlineStr">
        <is>
          <t>Online — apply at https://creditcardlearnmore.com/11t3/index?ecdma-lc=27904&amp;ecid=OTHE_25940</t>
        </is>
      </c>
      <c r="R47" s="30" t="inlineStr">
        <is>
          <t>https://www.royalbusinessbankusa.com</t>
        </is>
      </c>
      <c r="S47" s="30" t="inlineStr">
        <is>
          <t>https://creditcardlearnmore.com/11t3/index?ecdma-lc=27904&amp;ecid=OTHE_25940</t>
        </is>
      </c>
      <c r="T47" s="30" t="inlineStr">
        <is>
          <t>TransUnion (varies EX/EQ)</t>
        </is>
      </c>
      <c r="U47" s="30" t="inlineStr">
        <is>
          <t>Personal delinquency-only; D&amp;B N/M</t>
        </is>
      </c>
      <c r="V47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47" s="30" t="inlineStr">
        <is>
          <t>3</t>
        </is>
      </c>
      <c r="X47" s="30" t="inlineStr">
        <is>
          <t>PG yes; no tax returns (&lt;$25K)</t>
        </is>
      </c>
      <c r="Y47" s="30" t="inlineStr">
        <is>
          <t>None (SBA 7(a)/504, C&amp;I, CRE full-doc)</t>
        </is>
      </c>
      <c r="Z47" s="30" t="inlineStr">
        <is>
          <t>No (Elan 'None' relationship option)</t>
        </is>
      </c>
      <c r="AA47" s="30" t="inlineStr">
        <is>
          <t>No-doc 0% card — apply online (Elan)</t>
        </is>
      </c>
      <c r="AB47" s="30" t="inlineStr">
        <is>
          <t>Business Cash Preferred, Smart Business Rewards, Business Real Rewards</t>
        </is>
      </c>
      <c r="AC47" s="30" t="inlineStr">
        <is>
          <t>SoCal / LA</t>
        </is>
      </c>
      <c r="AD47" s="30" t="inlineStr">
        <is>
          <t>Los Angeles</t>
        </is>
      </c>
      <c r="AE47" s="30" t="inlineStr">
        <is>
          <t>26</t>
        </is>
      </c>
      <c r="AF47" s="30" t="inlineStr">
        <is>
          <t>HIGH issuer/products/online/PG/no-income-docs; MED HP. 2026-05-28</t>
        </is>
      </c>
      <c r="AG47" s="30" t="inlineStr">
        <is>
          <t>royalbusinessbankusa.com/business/services/business-credit-card; creditcardlearnmore.com (27904)</t>
        </is>
      </c>
    </row>
    <row r="48" ht="15.75" customHeight="1">
      <c r="A48" s="30" t="inlineStr">
        <is>
          <t>47</t>
        </is>
      </c>
      <c r="B48" s="30" t="inlineStr">
        <is>
          <t>46</t>
        </is>
      </c>
      <c r="C48" s="42" t="inlineStr">
        <is>
          <t>PCB Bank</t>
        </is>
      </c>
      <c r="D48" s="43" t="inlineStr">
        <is>
          <t>CA Bank</t>
        </is>
      </c>
      <c r="E48" s="30" t="inlineStr">
        <is>
          <t>★ Core SoCal</t>
        </is>
      </c>
      <c r="F48" s="33" t="inlineStr">
        <is>
          <t>3/4  ✗SUW ✓Onl ✓SoCal ✓Card</t>
        </is>
      </c>
      <c r="G48" s="30" t="inlineStr">
        <is>
          <t>E — Elan agent</t>
        </is>
      </c>
      <c r="H48" s="30" t="inlineStr">
        <is>
          <t>Elan platform: ~$3K–$10K start, to ~$20K strong files (~$500 seen at 800+ FICO)  [myFICO #6658960]</t>
        </is>
      </c>
      <c r="I48" s="30" t="inlineStr">
        <is>
          <t>$3.40B</t>
        </is>
      </c>
      <c r="J48" s="30" t="inlineStr">
        <is>
          <t>$2.90B</t>
        </is>
      </c>
      <c r="K48" s="30" t="inlineStr">
        <is>
          <t>~11 branches/6 cities LA metro + Orange County; Korean-American (ex-Pacific City Bank)</t>
        </is>
      </c>
      <c r="L48" s="30" t="inlineStr">
        <is>
          <t>CA-HQ'd</t>
        </is>
      </c>
      <c r="M48" s="30" t="inlineStr">
        <is>
          <t>No</t>
        </is>
      </c>
      <c r="N48" s="30" t="inlineStr">
        <is>
          <t>✅ 0% 12 cycles → 17.24-26.24%; $0 AF</t>
        </is>
      </c>
      <c r="O48" s="50" t="inlineStr">
        <is>
          <t>Elan</t>
        </is>
      </c>
      <c r="P48" s="30" t="inlineStr">
        <is>
          <t>Online</t>
        </is>
      </c>
      <c r="Q48" s="30" t="inlineStr">
        <is>
          <t>Online — apply at https://creditcardlearnmore.com/11t3/index?ecdma-lc=33608&amp;ecid=OTHE_25940</t>
        </is>
      </c>
      <c r="R48" s="30" t="inlineStr">
        <is>
          <t>https://www.mypcbbank.com</t>
        </is>
      </c>
      <c r="S48" s="30" t="inlineStr">
        <is>
          <t>https://creditcardlearnmore.com/11t3/index?ecdma-lc=33608&amp;ecid=OTHE_25940</t>
        </is>
      </c>
      <c r="T48" s="30" t="inlineStr">
        <is>
          <t>TransUnion (varies EX/EQ)</t>
        </is>
      </c>
      <c r="U48" s="30" t="inlineStr">
        <is>
          <t>D&amp;B; not personal in good standing</t>
        </is>
      </c>
      <c r="V48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48" s="30" t="inlineStr">
        <is>
          <t>3</t>
        </is>
      </c>
      <c r="X48" s="30" t="inlineStr">
        <is>
          <t>PG yes; no tax returns (&lt;$25K)</t>
        </is>
      </c>
      <c r="Y48" s="30" t="inlineStr">
        <is>
          <t>None (LOC/term/CRE/SBA PLP conventional)</t>
        </is>
      </c>
      <c r="Z48" s="30" t="inlineStr">
        <is>
          <t>No</t>
        </is>
      </c>
      <c r="AA48" s="30" t="inlineStr">
        <is>
          <t>No-doc 0% card — apply online (Elan)</t>
        </is>
      </c>
      <c r="AB48" s="30" t="inlineStr">
        <is>
          <t>Business Cash Preferred, Smart Business Rewards, Business Real Rewards</t>
        </is>
      </c>
      <c r="AC48" s="30" t="inlineStr">
        <is>
          <t>SoCal / LA</t>
        </is>
      </c>
      <c r="AD48" s="30" t="inlineStr">
        <is>
          <t>Los Angeles</t>
        </is>
      </c>
      <c r="AE48" s="30" t="inlineStr">
        <is>
          <t>32</t>
        </is>
      </c>
      <c r="AF48" s="30" t="inlineStr">
        <is>
          <t>HIGH issuer/products/terms/online/SBA; MED PG/HP. 2026-05-28</t>
        </is>
      </c>
      <c r="AG48" s="30" t="inlineStr">
        <is>
          <t>mypcbbank.com/business/business-credit-cards; creditcardlearnmore.com (33608)</t>
        </is>
      </c>
    </row>
    <row r="49" ht="15.75" customHeight="1">
      <c r="A49" s="30" t="inlineStr">
        <is>
          <t>48</t>
        </is>
      </c>
      <c r="B49" s="30" t="inlineStr">
        <is>
          <t>47</t>
        </is>
      </c>
      <c r="C49" s="40" t="inlineStr">
        <is>
          <t>Travis Credit Union</t>
        </is>
      </c>
      <c r="D49" s="39" t="inlineStr">
        <is>
          <t>Credit Union</t>
        </is>
      </c>
      <c r="E49" s="30" t="inlineStr">
        <is>
          <t>Other — NorCal</t>
        </is>
      </c>
      <c r="F49" s="41" t="inlineStr">
        <is>
          <t>2/4  ✓SUW ✗Onl ✗SoCal ✓Card</t>
        </is>
      </c>
      <c r="G49" s="30" t="inlineStr">
        <is>
          <t>B — Self-UW (in branch)</t>
        </is>
      </c>
      <c r="H49" s="30" t="inlineStr">
        <is>
          <t>N/M (no bank-specific data point found)</t>
        </is>
      </c>
      <c r="I49" s="30" t="inlineStr">
        <is>
          <t>~$2.3B</t>
        </is>
      </c>
      <c r="J49" s="30" t="inlineStr">
        <is>
          <t>—</t>
        </is>
      </c>
      <c r="K49" s="30" t="inlineStr">
        <is>
          <t>HQ Vacaville (Solano); ~22 branches; 12-county NorCal FOM</t>
        </is>
      </c>
      <c r="L49" s="30" t="inlineStr">
        <is>
          <t>CA-HQ'd</t>
        </is>
      </c>
      <c r="M49" s="30" t="inlineStr">
        <is>
          <t>Yes</t>
        </is>
      </c>
      <c r="N49" s="30" t="inlineStr">
        <is>
          <t>✅ TCU Business Visa (sole props, 1.5% cash back, $0 AF) + Standard Business Visa (LLC/corp); NO 0% intro; 12.74-23.74%</t>
        </is>
      </c>
      <c r="O49" s="34" t="inlineStr">
        <is>
          <t>Self (Travis CU)</t>
        </is>
      </c>
      <c r="P49" s="30" t="inlineStr">
        <is>
          <t>In-person</t>
        </is>
      </c>
      <c r="Q49" s="30" t="inlineStr">
        <is>
          <t>Phone (800) 877-8328 / appointment (no online Apply)</t>
        </is>
      </c>
      <c r="R49" s="30" t="inlineStr">
        <is>
          <t>https://www.traviscu.org/business/lending/business-visa/</t>
        </is>
      </c>
      <c r="S49" s="30" t="inlineStr">
        <is>
          <t>https://www.traviscu.org/business/lending/business-visa/</t>
        </is>
      </c>
      <c r="T49" s="30" t="inlineStr">
        <is>
          <t>N/M (personal pull; bureau not named)</t>
        </is>
      </c>
      <c r="U49" s="30" t="inlineStr">
        <is>
          <t>ADVERSE-ONLY (reports to personal ONLY if late/delinquent — off personal in good standing)</t>
        </is>
      </c>
      <c r="V49" s="30" t="inlineStr">
        <is>
          <t>Apply by phone (800) 877-8328 / appointment (no online Apply Now). No business-card forum data.</t>
        </is>
      </c>
      <c r="W49" s="30" t="inlineStr">
        <is>
          <t>2</t>
        </is>
      </c>
      <c r="X49" s="30" t="inlineStr">
        <is>
          <t>PG YES (officer/owner personally obligated)</t>
        </is>
      </c>
      <c r="Y49" s="30" t="inlineStr">
        <is>
          <t>QuickFund LOC $10K-$100K (needs 2yr + profitable). Card itself low-doc (PG, no tax returns stated).</t>
        </is>
      </c>
      <c r="Z49" s="30" t="inlineStr">
        <is>
          <t>Membership required (Solano + 11 NorCal counties; Travis AFB; no open path)</t>
        </is>
      </c>
      <c r="AA49" s="30" t="inlineStr">
        <is>
          <t>No-doc card — apply in branch</t>
        </is>
      </c>
      <c r="AB49" s="30" t="inlineStr">
        <is>
          <t>TCU Business Visa; Standard Business Visa</t>
        </is>
      </c>
      <c r="AC49" s="30" t="inlineStr">
        <is>
          <t>NorCal / Sacramento (Vacaville, Solano)</t>
        </is>
      </c>
      <c r="AD49" s="30" t="inlineStr">
        <is>
          <t>Vacaville, CA</t>
        </is>
      </c>
      <c r="AE49" s="30" t="inlineStr">
        <is>
          <t>CU</t>
        </is>
      </c>
      <c r="AF49" s="30" t="inlineStr">
        <is>
          <t>HIGH self/products/PG/adverse-only-reporting/membership; apply N (phone). 2026-05-28</t>
        </is>
      </c>
      <c r="AG49" s="30" t="inlineStr">
        <is>
          <t>traviscu.org/business/lending/business-visa + /rates + cardholder agreement (issuer=self, adverse-only reporting); CFPB</t>
        </is>
      </c>
    </row>
    <row r="50" ht="15.75" customHeight="1">
      <c r="A50" s="30" t="inlineStr">
        <is>
          <t>49</t>
        </is>
      </c>
      <c r="B50" s="30" t="inlineStr">
        <is>
          <t>48</t>
        </is>
      </c>
      <c r="C50" s="42" t="inlineStr">
        <is>
          <t>Open Bank</t>
        </is>
      </c>
      <c r="D50" s="43" t="inlineStr">
        <is>
          <t>CA Bank</t>
        </is>
      </c>
      <c r="E50" s="30" t="inlineStr">
        <is>
          <t>★ Core SoCal</t>
        </is>
      </c>
      <c r="F50" s="33" t="inlineStr">
        <is>
          <t>3/4  ✗SUW ✓Onl ✓SoCal ✓Card</t>
        </is>
      </c>
      <c r="G50" s="30" t="inlineStr">
        <is>
          <t>E — Elan agent</t>
        </is>
      </c>
      <c r="H50" s="30" t="inlineStr">
        <is>
          <t>Elan platform: ~$3K–$10K start, to ~$20K strong files (~$500 seen at 800+ FICO)  [myFICO #6658960]</t>
        </is>
      </c>
      <c r="I50" s="30" t="inlineStr">
        <is>
          <t>$2.70B</t>
        </is>
      </c>
      <c r="J50" s="30" t="inlineStr">
        <is>
          <t>$2.33B</t>
        </is>
      </c>
      <c r="K50" s="30" t="inlineStr">
        <is>
          <t>~9 CA branches LA + Orange County + Santa Clara; Korean-American (OP Bancorp)</t>
        </is>
      </c>
      <c r="L50" s="30" t="inlineStr">
        <is>
          <t>CA-HQ'd</t>
        </is>
      </c>
      <c r="M50" s="30" t="inlineStr">
        <is>
          <t>No</t>
        </is>
      </c>
      <c r="N50" s="30" t="inlineStr">
        <is>
          <t>✅ Elan biz cards; APR/AF N/M (1.5% Real Rewards)</t>
        </is>
      </c>
      <c r="O50" s="50" t="inlineStr">
        <is>
          <t>Elan</t>
        </is>
      </c>
      <c r="P50" s="30" t="inlineStr">
        <is>
          <t>Online</t>
        </is>
      </c>
      <c r="Q50" s="30" t="inlineStr">
        <is>
          <t>Online — apply at https://www.creditcardlearnmore.com/11t3/index</t>
        </is>
      </c>
      <c r="R50" s="30" t="inlineStr">
        <is>
          <t>https://myopenbank.com</t>
        </is>
      </c>
      <c r="S50" s="30" t="inlineStr">
        <is>
          <t>https://www.creditcardlearnmore.com/11t3/index</t>
        </is>
      </c>
      <c r="T50" s="30" t="inlineStr">
        <is>
          <t>TransUnion (varies EX/EQ)</t>
        </is>
      </c>
      <c r="U50" s="30" t="inlineStr">
        <is>
          <t>D&amp;B; personal delinquency-only</t>
        </is>
      </c>
      <c r="V50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50" s="30" t="inlineStr">
        <is>
          <t>3</t>
        </is>
      </c>
      <c r="X50" s="30" t="inlineStr">
        <is>
          <t>PG yes; no tax returns (&lt;$25K)</t>
        </is>
      </c>
      <c r="Y50" s="30" t="inlineStr">
        <is>
          <t>None (SBA 7(a)/commercial/trade full-doc)</t>
        </is>
      </c>
      <c r="Z50" s="30" t="inlineStr">
        <is>
          <t>No</t>
        </is>
      </c>
      <c r="AA50" s="30" t="inlineStr">
        <is>
          <t>No-doc 0% card — apply online (Elan)</t>
        </is>
      </c>
      <c r="AB50" s="30" t="inlineStr">
        <is>
          <t>Business Platinum, Business Cash Preferred, Business Real Rewards, Smart Business Rewards</t>
        </is>
      </c>
      <c r="AC50" s="30" t="inlineStr">
        <is>
          <t>SoCal / LA</t>
        </is>
      </c>
      <c r="AD50" s="30" t="inlineStr">
        <is>
          <t>Los Angeles</t>
        </is>
      </c>
      <c r="AE50" s="30" t="inlineStr">
        <is>
          <t>35</t>
        </is>
      </c>
      <c r="AF50" s="30" t="inlineStr">
        <is>
          <t>HIGH issuer/relevance/online/PG/D&amp;B; N/M exact terms. 2026-05-28</t>
        </is>
      </c>
      <c r="AG50" s="30" t="inlineStr">
        <is>
          <t>myopenbank.com/additional-services; creditcardlearnmore.com/11t3; elanfinancialservices.com</t>
        </is>
      </c>
    </row>
    <row r="51" ht="15.75" customHeight="1">
      <c r="A51" s="30" t="inlineStr">
        <is>
          <t>50</t>
        </is>
      </c>
      <c r="B51" s="30" t="inlineStr">
        <is>
          <t>49</t>
        </is>
      </c>
      <c r="C51" s="40" t="inlineStr">
        <is>
          <t>CalPrivate Bank</t>
        </is>
      </c>
      <c r="D51" s="43" t="inlineStr">
        <is>
          <t>CA Bank</t>
        </is>
      </c>
      <c r="E51" s="30" t="inlineStr">
        <is>
          <t>★ Core SoCal</t>
        </is>
      </c>
      <c r="F51" s="41" t="inlineStr">
        <is>
          <t>2/4  ✗SUW ✗Onl ✓SoCal ✓Card</t>
        </is>
      </c>
      <c r="G51" s="30" t="inlineStr">
        <is>
          <t>C — Other agent card</t>
        </is>
      </c>
      <c r="H51" s="30" t="inlineStr">
        <is>
          <t>N/M (TIB; financials typically required $10K+)</t>
        </is>
      </c>
      <c r="I51" s="30" t="inlineStr">
        <is>
          <t>$2.69B</t>
        </is>
      </c>
      <c r="J51" s="30" t="inlineStr">
        <is>
          <t>$2.38B</t>
        </is>
      </c>
      <c r="K51" s="30" t="inlineStr">
        <is>
          <t>San Diego, Orange County, LA, Santa Barbara (Montecito)</t>
        </is>
      </c>
      <c r="L51" s="30" t="inlineStr">
        <is>
          <t>CA-HQ'd</t>
        </is>
      </c>
      <c r="M51" s="30" t="inlineStr">
        <is>
          <t>No</t>
        </is>
      </c>
      <c r="N51" s="30" t="inlineStr">
        <is>
          <t>✅ no 0%; $0/$49 AF; apply via banker</t>
        </is>
      </c>
      <c r="O51" s="45" t="inlineStr">
        <is>
          <t>TIB</t>
        </is>
      </c>
      <c r="P51" s="30" t="inlineStr">
        <is>
          <t>In-person</t>
        </is>
      </c>
      <c r="Q51" s="30" t="inlineStr">
        <is>
          <t>Visit branch / contact a banker (no online application)</t>
        </is>
      </c>
      <c r="R51" s="30" t="inlineStr">
        <is>
          <t>https://calprivate.bank</t>
        </is>
      </c>
      <c r="S51" s="30" t="inlineStr">
        <is>
          <t>https://calprivate.bank/business-banking/business-credit-cards/</t>
        </is>
      </c>
      <c r="T51" s="30" t="inlineStr">
        <is>
          <t>Experian (TIB; conflicting 'variable')</t>
        </is>
      </c>
      <c r="U51" s="30" t="inlineStr">
        <is>
          <t>N/M</t>
        </is>
      </c>
      <c r="V51" s="30" t="inlineStr">
        <is>
          <t>N/M CalPrivate-specific. TIB-general only.</t>
        </is>
      </c>
      <c r="W51" s="30" t="inlineStr">
        <is>
          <t>2</t>
        </is>
      </c>
      <c r="X51" s="30" t="inlineStr">
        <is>
          <t>PG (infer, TIB standard); income docs N/M</t>
        </is>
      </c>
      <c r="Y51" s="30" t="inlineStr">
        <is>
          <t>None (SBA PLP/commercial/CRE full-doc)</t>
        </is>
      </c>
      <c r="Z51" s="30" t="inlineStr">
        <is>
          <t>N/M (relationship likely)</t>
        </is>
      </c>
      <c r="AA51" s="30" t="inlineStr">
        <is>
          <t>No-doc card — apply in branch</t>
        </is>
      </c>
      <c r="AB51" s="30" t="inlineStr">
        <is>
          <t>Business Standard Card; Business Preferred Points Card</t>
        </is>
      </c>
      <c r="AC51" s="30" t="inlineStr">
        <is>
          <t>SoCal / San Diego</t>
        </is>
      </c>
      <c r="AD51" s="30" t="inlineStr">
        <is>
          <t>La Jolla</t>
        </is>
      </c>
      <c r="AE51" s="30" t="inlineStr">
        <is>
          <t>36</t>
        </is>
      </c>
      <c r="AF51" s="30" t="inlineStr">
        <is>
          <t>MED-HIGH products/fees/issuer=TIB(convergent); N/M APRs, HP, reports. 2026-05-28</t>
        </is>
      </c>
      <c r="AG51" s="30" t="inlineStr">
        <is>
          <t>calprivate.bank/business-banking/business-credit-cards; cardaccount.net; mypreferredpoints.com</t>
        </is>
      </c>
    </row>
    <row r="52" ht="15.75" customHeight="1">
      <c r="A52" s="30" t="inlineStr">
        <is>
          <t>51</t>
        </is>
      </c>
      <c r="B52" s="30" t="inlineStr">
        <is>
          <t>50</t>
        </is>
      </c>
      <c r="C52" s="40" t="inlineStr">
        <is>
          <t>Beneficial State Bank</t>
        </is>
      </c>
      <c r="D52" s="43" t="inlineStr">
        <is>
          <t>CA Bank</t>
        </is>
      </c>
      <c r="E52" s="30" t="inlineStr">
        <is>
          <t>Other — NorCal</t>
        </is>
      </c>
      <c r="F52" s="41" t="inlineStr">
        <is>
          <t>2/4  ✓SUW ✗Onl ✗SoCal ✓Card</t>
        </is>
      </c>
      <c r="G52" s="30" t="inlineStr">
        <is>
          <t>B — Self-UW (in branch)</t>
        </is>
      </c>
      <c r="H52" s="30" t="inlineStr">
        <is>
          <t>N/M (no bank-specific data point found)</t>
        </is>
      </c>
      <c r="I52" s="30" t="inlineStr">
        <is>
          <t>$1.97B</t>
        </is>
      </c>
      <c r="J52" s="30" t="inlineStr">
        <is>
          <t>$1.66B</t>
        </is>
      </c>
      <c r="K52" s="30" t="inlineStr">
        <is>
          <t>CA/OR/WA; CA = Oakland/East Bay; CDFI / B-Corp</t>
        </is>
      </c>
      <c r="L52" s="30" t="inlineStr">
        <is>
          <t>CA-HQ'd</t>
        </is>
      </c>
      <c r="M52" s="30" t="inlineStr">
        <is>
          <t>Yes</t>
        </is>
      </c>
      <c r="N52" s="30" t="inlineStr">
        <is>
          <t>✅ card exists; terms NOT yet published; CA/OR/WA only</t>
        </is>
      </c>
      <c r="O52" s="34" t="inlineStr">
        <is>
          <t>Self (Fiserv SpendTrack platform)</t>
        </is>
      </c>
      <c r="P52" s="30" t="inlineStr">
        <is>
          <t>In-person</t>
        </is>
      </c>
      <c r="Q52" s="30" t="inlineStr">
        <is>
          <t>Visit branch / contact a banker (no online application)</t>
        </is>
      </c>
      <c r="R52" s="30" t="inlineStr">
        <is>
          <t>https://www.beneficialstatebank.com</t>
        </is>
      </c>
      <c r="S52" s="30" t="inlineStr">
        <is>
          <t>https://www.beneficialstatebank.com/business-banking/credit-cards</t>
        </is>
      </c>
      <c r="T52" s="30" t="inlineStr">
        <is>
          <t>N/M</t>
        </is>
      </c>
      <c r="U52" s="30" t="inlineStr">
        <is>
          <t>N/M (consumer card reports on default)</t>
        </is>
      </c>
      <c r="V52" s="30" t="inlineStr">
        <is>
          <t>N/M (new, regionally-restricted CDFI program)</t>
        </is>
      </c>
      <c r="W52" s="30" t="inlineStr">
        <is>
          <t>2</t>
        </is>
      </c>
      <c r="X52" s="30" t="inlineStr">
        <is>
          <t>N/M (consumer cards underwrite soft/self-reported)</t>
        </is>
      </c>
      <c r="Y52" s="30" t="inlineStr">
        <is>
          <t>None (SBA/USDA/LOC/term/CRE — documentation-based)</t>
        </is>
      </c>
      <c r="Z52" s="30" t="inlineStr">
        <is>
          <t>N/M (relationship likely)</t>
        </is>
      </c>
      <c r="AA52" s="30" t="inlineStr">
        <is>
          <t>No-doc card — apply in branch</t>
        </is>
      </c>
      <c r="AB52" s="30" t="inlineStr">
        <is>
          <t>2 business credit cards (names not published — 'not ready to advertise yet')</t>
        </is>
      </c>
      <c r="AC52" s="30" t="inlineStr">
        <is>
          <t>NorCal / SF</t>
        </is>
      </c>
      <c r="AD52" s="30" t="inlineStr">
        <is>
          <t>Oakland</t>
        </is>
      </c>
      <c r="AE52" s="30" t="inlineStr">
        <is>
          <t>44</t>
        </is>
      </c>
      <c r="AF52" s="30" t="inlineStr">
        <is>
          <t>MED. HIGH self-issue/no-online/CA-OR-WA; LOW/N-M product names, terms, HP. 2026-05-28</t>
        </is>
      </c>
      <c r="AG52" s="30" t="inlineStr">
        <is>
          <t>beneficialstatebank.com/business-banking/credit-cards; CFPB L Card agreement; spendtrack.fiservapp.com/beneficial-sb</t>
        </is>
      </c>
    </row>
    <row r="53" ht="15.75" customHeight="1">
      <c r="A53" s="30" t="inlineStr">
        <is>
          <t>52</t>
        </is>
      </c>
      <c r="B53" s="30" t="inlineStr">
        <is>
          <t>51</t>
        </is>
      </c>
      <c r="C53" s="42" t="inlineStr">
        <is>
          <t>Commonwealth Business Bank (CBB)</t>
        </is>
      </c>
      <c r="D53" s="43" t="inlineStr">
        <is>
          <t>CA Bank</t>
        </is>
      </c>
      <c r="E53" s="30" t="inlineStr">
        <is>
          <t>★ Core SoCal</t>
        </is>
      </c>
      <c r="F53" s="33" t="inlineStr">
        <is>
          <t>3/4  ✗SUW ✓Onl ✓SoCal ✓Card</t>
        </is>
      </c>
      <c r="G53" s="30" t="inlineStr">
        <is>
          <t>E — Elan agent</t>
        </is>
      </c>
      <c r="H53" s="30" t="inlineStr">
        <is>
          <t>Elan platform: ~$3K–$10K start, to ~$20K strong files (~$500 seen at 800+ FICO)  [myFICO #6658960]</t>
        </is>
      </c>
      <c r="I53" s="30" t="inlineStr">
        <is>
          <t>$1.99B</t>
        </is>
      </c>
      <c r="J53" s="30" t="inlineStr">
        <is>
          <t>$1.69B</t>
        </is>
      </c>
      <c r="K53" s="30" t="inlineStr">
        <is>
          <t>6 CA branches LA/Orange County; Korean-American major SBA lender (CBB Bancorp)</t>
        </is>
      </c>
      <c r="L53" s="30" t="inlineStr">
        <is>
          <t>CA-HQ'd</t>
        </is>
      </c>
      <c r="M53" s="30" t="inlineStr">
        <is>
          <t>No</t>
        </is>
      </c>
      <c r="N53" s="30" t="inlineStr">
        <is>
          <t>✅ 0% 6 cycles (Real Rewards); $0 AF; 1.5% + 5.5% travel</t>
        </is>
      </c>
      <c r="O53" s="50" t="inlineStr">
        <is>
          <t>Elan</t>
        </is>
      </c>
      <c r="P53" s="30" t="inlineStr">
        <is>
          <t>Online</t>
        </is>
      </c>
      <c r="Q53" s="30" t="inlineStr">
        <is>
          <t>Online — apply at https://creditcardlearnmore.com/11t3/business-real-rewards</t>
        </is>
      </c>
      <c r="R53" s="30" t="inlineStr">
        <is>
          <t>https://www.cbb-bank.com</t>
        </is>
      </c>
      <c r="S53" s="30" t="inlineStr">
        <is>
          <t>https://creditcardlearnmore.com/11t3/business-real-rewards</t>
        </is>
      </c>
      <c r="T53" s="30" t="inlineStr">
        <is>
          <t>TransUnion (varies EX/EQ)</t>
        </is>
      </c>
      <c r="U53" s="30" t="inlineStr">
        <is>
          <t>D&amp;B (infer); personal delinquency-only</t>
        </is>
      </c>
      <c r="V53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53" s="30" t="inlineStr">
        <is>
          <t>3</t>
        </is>
      </c>
      <c r="X53" s="30" t="inlineStr">
        <is>
          <t>PG yes; no tax returns (&lt;$25K)</t>
        </is>
      </c>
      <c r="Y53" s="30" t="inlineStr">
        <is>
          <t>None (SBA 7(a)/504/LOC/CRE full-doc; 2yr returns)</t>
        </is>
      </c>
      <c r="Z53" s="30" t="inlineStr">
        <is>
          <t>No</t>
        </is>
      </c>
      <c r="AA53" s="30" t="inlineStr">
        <is>
          <t>No-doc 0% card — apply online (Elan)</t>
        </is>
      </c>
      <c r="AB53" s="30" t="inlineStr">
        <is>
          <t>Elan business suite (Visa Business Real Rewards confirmed)</t>
        </is>
      </c>
      <c r="AC53" s="30" t="inlineStr">
        <is>
          <t>SoCal / LA</t>
        </is>
      </c>
      <c r="AD53" s="30" t="inlineStr">
        <is>
          <t>Los Angeles</t>
        </is>
      </c>
      <c r="AE53" s="30" t="inlineStr">
        <is>
          <t>43</t>
        </is>
      </c>
      <c r="AF53" s="30" t="inlineStr">
        <is>
          <t>HIGH issuer/online/Real-Rewards-terms/SBA; MED PG/HP. 2026-05-28</t>
        </is>
      </c>
      <c r="AG53" s="30" t="inlineStr">
        <is>
          <t>cbb-bank.com/en/business/lending/creditcards; creditcardlearnmore.com/11t3; card.myaccountaccess.com</t>
        </is>
      </c>
    </row>
    <row r="54" ht="15.75" customHeight="1">
      <c r="A54" s="30" t="inlineStr">
        <is>
          <t>53</t>
        </is>
      </c>
      <c r="B54" s="30" t="inlineStr">
        <is>
          <t>52</t>
        </is>
      </c>
      <c r="C54" s="40" t="inlineStr">
        <is>
          <t>Mission Bank</t>
        </is>
      </c>
      <c r="D54" s="43" t="inlineStr">
        <is>
          <t>CA Bank</t>
        </is>
      </c>
      <c r="E54" s="30" t="inlineStr">
        <is>
          <t>Other — Central Valley (Kern)</t>
        </is>
      </c>
      <c r="F54" s="41" t="inlineStr">
        <is>
          <t>2/4  ✗SUW ✓Onl ✗SoCal ✓Card</t>
        </is>
      </c>
      <c r="G54" s="30" t="inlineStr">
        <is>
          <t>D — TCM agent</t>
        </is>
      </c>
      <c r="H54" s="30" t="inlineStr">
        <is>
          <t>N/M (TCM; conservative, Experian-driven)</t>
        </is>
      </c>
      <c r="I54" s="30" t="inlineStr">
        <is>
          <t>$1.92B</t>
        </is>
      </c>
      <c r="J54" s="30" t="inlineStr">
        <is>
          <t>$1.68B</t>
        </is>
      </c>
      <c r="K54" s="30" t="inlineStr">
        <is>
          <t>8 offices/6 counties: Bakersfield, Shafter, Lancaster, Ventura, Stockton, SLO, Visalia</t>
        </is>
      </c>
      <c r="L54" s="30" t="inlineStr">
        <is>
          <t>CA-HQ'd</t>
        </is>
      </c>
      <c r="M54" s="30" t="inlineStr">
        <is>
          <t>No</t>
        </is>
      </c>
      <c r="N54" s="30" t="inlineStr">
        <is>
          <t>✅ 0% intro (length N/M); $0 AF; 1% cash back</t>
        </is>
      </c>
      <c r="O54" s="49" t="inlineStr">
        <is>
          <t>TCM Bank, N.A.</t>
        </is>
      </c>
      <c r="P54" s="30" t="inlineStr">
        <is>
          <t>Online</t>
        </is>
      </c>
      <c r="Q54" s="30" t="inlineStr">
        <is>
          <t>Online — apply at https://www.mycommunitycc.com/sgpXj3gLGuZQ</t>
        </is>
      </c>
      <c r="R54" s="30" t="inlineStr">
        <is>
          <t>https://www.missionbank.bank</t>
        </is>
      </c>
      <c r="S54" s="30" t="inlineStr">
        <is>
          <t>https://www.mycommunitycc.com/sgpXj3gLGuZQ</t>
        </is>
      </c>
      <c r="T54" s="30" t="inlineStr">
        <is>
          <t>Experian</t>
        </is>
      </c>
      <c r="U54" s="30" t="inlineStr">
        <is>
          <t>N/M (reports per TCM clause; bureaus unnamed)</t>
        </is>
      </c>
      <c r="V54" s="30" t="inlineStr">
        <is>
          <t>TCM: pulls Experian for apps + CLIs; conservative; partner bank has no underwriting say. myfico.com #6303273</t>
        </is>
      </c>
      <c r="W54" s="30" t="inlineStr">
        <is>
          <t>3</t>
        </is>
      </c>
      <c r="X54" s="30" t="inlineStr">
        <is>
          <t>PG likely; SBA-eligible ONLY (excl. &gt;$7M rev or 50+ emp); no tax returns on app</t>
        </is>
      </c>
      <c r="Y54" s="30" t="inlineStr">
        <is>
          <t>None (commercial LOC/equipment/CRE/SBA full-doc)</t>
        </is>
      </c>
      <c r="Z54" s="30" t="inlineStr">
        <is>
          <t>N/M</t>
        </is>
      </c>
      <c r="AA54" s="30" t="inlineStr">
        <is>
          <t>★ No-doc 0% card — apply online</t>
        </is>
      </c>
      <c r="AB54" s="30" t="inlineStr">
        <is>
          <t>Business Rewards, Business Cash Rewards, Business Edition, Company Rewards, Purchasing (TCM Visa)</t>
        </is>
      </c>
      <c r="AC54" s="30" t="inlineStr">
        <is>
          <t>Central Valley (Kern)</t>
        </is>
      </c>
      <c r="AD54" s="30" t="inlineStr">
        <is>
          <t>Bakersfield</t>
        </is>
      </c>
      <c r="AE54" s="30" t="inlineStr">
        <is>
          <t>46</t>
        </is>
      </c>
      <c r="AF54" s="30" t="inlineStr">
        <is>
          <t>MED-HIGH relevance/issuer (TCM)/$0AF/online/HP=Experian/SBA-gate; N/M APR length. 2026-05-28</t>
        </is>
      </c>
      <c r="AG54" s="30" t="inlineStr">
        <is>
          <t>missionbank.bank/business/business-credit-cards; mycommunitycc.com/sgpXj3gLGuZQ; bbb.org TCM (Experian)</t>
        </is>
      </c>
    </row>
    <row r="55" ht="15.75" customHeight="1">
      <c r="A55" s="30" t="inlineStr">
        <is>
          <t>54</t>
        </is>
      </c>
      <c r="B55" s="30" t="inlineStr">
        <is>
          <t>53</t>
        </is>
      </c>
      <c r="C55" s="40" t="inlineStr">
        <is>
          <t>West Coast Community Bank</t>
        </is>
      </c>
      <c r="D55" s="43" t="inlineStr">
        <is>
          <t>CA Bank</t>
        </is>
      </c>
      <c r="E55" s="30" t="inlineStr">
        <is>
          <t>Other — Central Coast</t>
        </is>
      </c>
      <c r="F55" s="41" t="inlineStr">
        <is>
          <t>1/4  ✗SUW ✗Onl ✗SoCal ✓Card</t>
        </is>
      </c>
      <c r="G55" s="30" t="inlineStr">
        <is>
          <t>B — Self-UW (in branch)</t>
        </is>
      </c>
      <c r="H55" s="30" t="inlineStr">
        <is>
          <t>N/M (no bank-specific data point found)</t>
        </is>
      </c>
      <c r="I55" s="30" t="inlineStr">
        <is>
          <t>$2.90B</t>
        </is>
      </c>
      <c r="J55" s="30" t="inlineStr">
        <is>
          <t>$2.48B</t>
        </is>
      </c>
      <c r="K55" s="30" t="inlineStr">
        <is>
          <t>Santa Cruz/Monterey/SLO/Santa Clara; ex-Santa Cruz County Bank + 1st Capital</t>
        </is>
      </c>
      <c r="L55" s="30" t="inlineStr">
        <is>
          <t>CA-HQ'd</t>
        </is>
      </c>
      <c r="M55" s="30" t="inlineStr">
        <is>
          <t>Partial (CorServ self-issue)</t>
        </is>
      </c>
      <c r="N55" s="30" t="inlineStr">
        <is>
          <t>⚠️ Commercial — CorServ Mastercard; $0 AF; phone only</t>
        </is>
      </c>
      <c r="O55" s="44" t="inlineStr">
        <is>
          <t>Self (CorServ 'Apex')</t>
        </is>
      </c>
      <c r="P55" s="30" t="inlineStr">
        <is>
          <t>In-person</t>
        </is>
      </c>
      <c r="Q55" s="30" t="inlineStr">
        <is>
          <t>Visit branch / contact a banker (no online application)</t>
        </is>
      </c>
      <c r="R55" s="30" t="inlineStr">
        <is>
          <t>https://wccb.com</t>
        </is>
      </c>
      <c r="S55" s="30" t="inlineStr">
        <is>
          <t>https://wccb.com/corporate_cards</t>
        </is>
      </c>
      <c r="T55" s="30" t="inlineStr">
        <is>
          <t>N/M</t>
        </is>
      </c>
      <c r="U55" s="30" t="inlineStr">
        <is>
          <t>N/M</t>
        </is>
      </c>
      <c r="V55" s="30" t="inlineStr">
        <is>
          <t>N/M (no forum data)</t>
        </is>
      </c>
      <c r="W55" s="30" t="inlineStr">
        <is>
          <t>2</t>
        </is>
      </c>
      <c r="X55" s="30" t="inlineStr">
        <is>
          <t>N/M (PG typical)</t>
        </is>
      </c>
      <c r="Y55" s="30" t="inlineStr">
        <is>
          <t>N/M (LOC/CRE/ABL/SBA full-doc)</t>
        </is>
      </c>
      <c r="Z55" s="30" t="inlineStr">
        <is>
          <t>N/M (relationship expected)</t>
        </is>
      </c>
      <c r="AA55" s="30" t="inlineStr">
        <is>
          <t>No-doc card — apply in branch</t>
        </is>
      </c>
      <c r="AB55" s="30" t="inlineStr">
        <is>
          <t>Corporate Credit Card; Corporate Purchasing Card</t>
        </is>
      </c>
      <c r="AC55" s="30" t="inlineStr">
        <is>
          <t>Central Coast / Silicon Valley</t>
        </is>
      </c>
      <c r="AD55" s="30" t="inlineStr">
        <is>
          <t>Santa Cruz</t>
        </is>
      </c>
      <c r="AE55" s="30" t="inlineStr">
        <is>
          <t>34</t>
        </is>
      </c>
      <c r="AF55" s="30" t="inlineStr">
        <is>
          <t>MED-LOW. Relationship/phone-only → low no-doc utility; issuer-of-record N/M. 2026-05-28</t>
        </is>
      </c>
      <c r="AG55" s="30" t="inlineStr">
        <is>
          <t>wccb.com/corporate_cards + business_banking; wccb.myapexcard.com; corservsolutions.com</t>
        </is>
      </c>
    </row>
    <row r="56" ht="15.75" customHeight="1">
      <c r="A56" s="30" t="inlineStr">
        <is>
          <t>55</t>
        </is>
      </c>
      <c r="B56" s="30" t="inlineStr">
        <is>
          <t>54</t>
        </is>
      </c>
      <c r="C56" s="42" t="inlineStr">
        <is>
          <t>Beach Cities Commercial Bank</t>
        </is>
      </c>
      <c r="D56" s="43" t="inlineStr">
        <is>
          <t>CA Bank</t>
        </is>
      </c>
      <c r="E56" s="30" t="inlineStr">
        <is>
          <t>★ Core SoCal</t>
        </is>
      </c>
      <c r="F56" s="33" t="inlineStr">
        <is>
          <t>3/4  ✗SUW ✓Onl ✓SoCal ✓Card</t>
        </is>
      </c>
      <c r="G56" s="30" t="inlineStr">
        <is>
          <t>E — Elan agent</t>
        </is>
      </c>
      <c r="H56" s="30" t="inlineStr">
        <is>
          <t>Elan platform: ~$3K–$10K start, to ~$20K strong files (~$500 seen at 800+ FICO)  [myFICO #6658960]</t>
        </is>
      </c>
      <c r="I56" s="30" t="inlineStr">
        <is>
          <t>$0.18B</t>
        </is>
      </c>
      <c r="J56" s="30" t="inlineStr">
        <is>
          <t>N/M</t>
        </is>
      </c>
      <c r="K56" s="30" t="inlineStr">
        <is>
          <t>Irvine HQ (OC) + Encinitas + South OC; de novo est 2023; ticker BCCB</t>
        </is>
      </c>
      <c r="L56" s="30" t="inlineStr">
        <is>
          <t>CA-HQ'd</t>
        </is>
      </c>
      <c r="M56" s="30" t="inlineStr">
        <is>
          <t>No</t>
        </is>
      </c>
      <c r="N56" s="30" t="inlineStr">
        <is>
          <t>✅ Elan biz cards incl. Business ZERO+ (extended 0% intro); $0 AF; cash back; tied to select deposit accts</t>
        </is>
      </c>
      <c r="O56" s="50" t="inlineStr">
        <is>
          <t>Elan</t>
        </is>
      </c>
      <c r="P56" s="30" t="inlineStr">
        <is>
          <t>Online</t>
        </is>
      </c>
      <c r="Q56" s="30" t="inlineStr">
        <is>
          <t>Online — apply at https://www.beachcitiescb.com/Card-Solutions/</t>
        </is>
      </c>
      <c r="R56" s="30" t="inlineStr">
        <is>
          <t>https://www.beachcitiescb.com</t>
        </is>
      </c>
      <c r="S56" s="30" t="inlineStr">
        <is>
          <t>https://www.beachcitiescb.com/Card-Solutions/</t>
        </is>
      </c>
      <c r="T56" s="30" t="inlineStr">
        <is>
          <t>TransUnion (varies EX/EQ)</t>
        </is>
      </c>
      <c r="U56" s="30" t="inlineStr">
        <is>
          <t>D&amp;B; not personal in good standing</t>
        </is>
      </c>
      <c r="V56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56" s="30" t="inlineStr">
        <is>
          <t>3</t>
        </is>
      </c>
      <c r="X56" s="30" t="inlineStr">
        <is>
          <t>PG yes; no tax returns (&lt;$25K)</t>
        </is>
      </c>
      <c r="Y56" s="30" t="inlineStr">
        <is>
          <t>None (LOC/term/equipment/CRE/bridge/SBA/CA loan guarantee/construction full-doc)</t>
        </is>
      </c>
      <c r="Z56" s="30" t="inlineStr">
        <is>
          <t>Tied to select deposit accounts (per Commercial Banking page)</t>
        </is>
      </c>
      <c r="AA56" s="30" t="inlineStr">
        <is>
          <t>No-doc 0% card — apply online (Elan)</t>
        </is>
      </c>
      <c r="AB56" s="30" t="inlineStr">
        <is>
          <t>Business Cash Preferred, Business ZERO+ (0% intro), Smart Business Rewards, Business Real Rewards (Elan)</t>
        </is>
      </c>
      <c r="AC56" s="30" t="inlineStr">
        <is>
          <t>SoCal / Orange County</t>
        </is>
      </c>
      <c r="AD56" s="30" t="inlineStr">
        <is>
          <t>Irvine</t>
        </is>
      </c>
      <c r="AE56" s="30" t="inlineStr">
        <is>
          <t>106</t>
        </is>
      </c>
      <c r="AF56" s="30" t="inlineStr">
        <is>
          <t>HIGH issuer=Elan (own footer disclosure)/products incl ZERO+/online/OC; deposit-tied; N/M HP, exact APR. 2026-05-29</t>
        </is>
      </c>
      <c r="AG56" s="30" t="inlineStr">
        <is>
          <t>beachcitiescb.com/Card-Solutions ('issuer is Elan Financial Services') + /Commercial-Banking; FDIC cert 59290</t>
        </is>
      </c>
    </row>
    <row r="57" ht="15.75" customHeight="1">
      <c r="A57" s="30" t="inlineStr">
        <is>
          <t>56</t>
        </is>
      </c>
      <c r="B57" s="30" t="inlineStr">
        <is>
          <t>55</t>
        </is>
      </c>
      <c r="C57" s="40" t="inlineStr">
        <is>
          <t>First Tech Federal Credit Union</t>
        </is>
      </c>
      <c r="D57" s="39" t="inlineStr">
        <is>
          <t>Credit Union</t>
        </is>
      </c>
      <c r="E57" s="30" t="inlineStr">
        <is>
          <t>National (lends in CA)</t>
        </is>
      </c>
      <c r="F57" s="41" t="inlineStr">
        <is>
          <t>1/4  ✗SUW ✗Onl ✗SoCal ✓Card</t>
        </is>
      </c>
      <c r="G57" s="30" t="inlineStr">
        <is>
          <t>C — Other agent card</t>
        </is>
      </c>
      <c r="H57" s="30" t="inlineStr">
        <is>
          <t>N/M (no bank-specific data point found)</t>
        </is>
      </c>
      <c r="I57" s="30" t="inlineStr">
        <is>
          <t>~$28.7B (post-DCU merger)</t>
        </is>
      </c>
      <c r="J57" s="30" t="inlineStr">
        <is>
          <t>—</t>
        </is>
      </c>
      <c r="K57" s="30" t="inlineStr">
        <is>
          <t>Branches CA/OR/WA/TX/GA/CO/ID; merged w/ DCU Jan 1 2026 (~$28.7B)</t>
        </is>
      </c>
      <c r="L57" s="30" t="inlineStr">
        <is>
          <t>CA-HQ'd</t>
        </is>
      </c>
      <c r="M57" s="30" t="inlineStr">
        <is>
          <t>Unknown</t>
        </is>
      </c>
      <c r="N57" s="30" t="inlineStr">
        <is>
          <t>⚠️ Business Credit Mastercard exists but 'existing cardholders only' — no online app, no published terms</t>
        </is>
      </c>
      <c r="O57" s="51" t="inlineStr">
        <is>
          <t>N/M (self-issues personal cards; business-card issuer undisclosed)</t>
        </is>
      </c>
      <c r="P57" s="30" t="inlineStr">
        <is>
          <t>In-person</t>
        </is>
      </c>
      <c r="Q57" s="30" t="inlineStr">
        <is>
          <t>Visit branch / contact a banker (no online application)</t>
        </is>
      </c>
      <c r="R57" s="30" t="inlineStr">
        <is>
          <t>https://www.firsttechfed.com/bank/business</t>
        </is>
      </c>
      <c r="S57" s="30" t="inlineStr">
        <is>
          <t>—</t>
        </is>
      </c>
      <c r="T57" s="30" t="inlineStr">
        <is>
          <t>Experian (personal cards; business N/M)</t>
        </is>
      </c>
      <c r="U57" s="30" t="inlineStr">
        <is>
          <t>N/M</t>
        </is>
      </c>
      <c r="V57" s="30" t="inlineStr">
        <is>
          <t>Business card closed/legacy. Proof-of-income (POI) required generally — income-focused, NOT no-doc. Merged w/ DCU Jan 2026.</t>
        </is>
      </c>
      <c r="W57" s="30" t="inlineStr">
        <is>
          <t>2</t>
        </is>
      </c>
      <c r="X57" s="30" t="inlineStr">
        <is>
          <t>N/M (POI required generally)</t>
        </is>
      </c>
      <c r="Y57" s="30" t="inlineStr">
        <is>
          <t>None (income-doc focused)</t>
        </is>
      </c>
      <c r="Z57" s="30" t="inlineStr">
        <is>
          <t>Membership required (1,700+ tech employers; OPEN via Financial Fitness Assoc $8/yr nationwide)</t>
        </is>
      </c>
      <c r="AA57" s="30" t="inlineStr">
        <is>
          <t>No-doc card — apply in branch</t>
        </is>
      </c>
      <c r="AB57" s="30" t="inlineStr">
        <is>
          <t>Business Credit Mastercard (existing cardholders only); Business Debit</t>
        </is>
      </c>
      <c r="AC57" s="30" t="inlineStr">
        <is>
          <t>National FOM — CA tech employers + open via FFA</t>
        </is>
      </c>
      <c r="AD57" s="30" t="inlineStr">
        <is>
          <t>San Jose, CA (corp Beaverton, OR)</t>
        </is>
      </c>
      <c r="AE57" s="30" t="inlineStr">
        <is>
          <t>CU</t>
        </is>
      </c>
      <c r="AF57" s="30" t="inlineStr">
        <is>
          <t>MED-HIGH card exists but closed/no-terms/income-doc-focused = low utility; issuer N/M. 2026-05-28</t>
        </is>
      </c>
      <c r="AG57" s="30" t="inlineStr">
        <is>
          <t>firsttechfed.com/help/cardholder-benefits + /bank/business; CFPB consumer disclosure; financialfitnessassociation.org</t>
        </is>
      </c>
    </row>
    <row r="58" ht="15.75" customHeight="1">
      <c r="A58" s="30" t="inlineStr">
        <is>
          <t>57</t>
        </is>
      </c>
      <c r="B58" s="30" t="inlineStr">
        <is>
          <t>56</t>
        </is>
      </c>
      <c r="C58" s="40" t="inlineStr">
        <is>
          <t>Metropolitan Bank (Oakland)</t>
        </is>
      </c>
      <c r="D58" s="43" t="inlineStr">
        <is>
          <t>CA Bank</t>
        </is>
      </c>
      <c r="E58" s="30" t="inlineStr">
        <is>
          <t>Other — NorCal</t>
        </is>
      </c>
      <c r="F58" s="41" t="inlineStr">
        <is>
          <t>2/4  ✗SUW ✓Onl ✗SoCal ✓Card</t>
        </is>
      </c>
      <c r="G58" s="30" t="inlineStr">
        <is>
          <t>C — Other agent card</t>
        </is>
      </c>
      <c r="H58" s="30" t="inlineStr">
        <is>
          <t>N/M (no bank-specific data point found)</t>
        </is>
      </c>
      <c r="I58" s="30" t="inlineStr">
        <is>
          <t>$0.23B</t>
        </is>
      </c>
      <c r="J58" s="30" t="inlineStr">
        <is>
          <t>N/M</t>
        </is>
      </c>
      <c r="K58" s="30" t="inlineStr">
        <is>
          <t>4 CA branches (Oakland Chinatown HQ + Bay Area); Met Financial Corp; est 1983</t>
        </is>
      </c>
      <c r="L58" s="30" t="inlineStr">
        <is>
          <t>CA-HQ'd</t>
        </is>
      </c>
      <c r="M58" s="30" t="inlineStr">
        <is>
          <t>Unknown</t>
        </is>
      </c>
      <c r="N58" s="30" t="inlineStr">
        <is>
          <t>✅ Business + personal Visa (mycommunitycc.com platform); terms N/M</t>
        </is>
      </c>
      <c r="O58" s="51" t="inlineStr">
        <is>
          <t>Unknown (mycommunitycc.com platform → likely TCM Bank; NOT Elan — that's a different same-name bank)</t>
        </is>
      </c>
      <c r="P58" s="30" t="inlineStr">
        <is>
          <t>Online</t>
        </is>
      </c>
      <c r="Q58" s="30" t="inlineStr">
        <is>
          <t>Online — apply at https://www.mycommunitycc.com/FROlvrV1uR72</t>
        </is>
      </c>
      <c r="R58" s="30" t="inlineStr">
        <is>
          <t>https://www.met.bank</t>
        </is>
      </c>
      <c r="S58" s="30" t="inlineStr">
        <is>
          <t>https://www.mycommunitycc.com/FROlvrV1uR72</t>
        </is>
      </c>
      <c r="T58" s="30" t="inlineStr">
        <is>
          <t>N/M (if TCM: Experian)</t>
        </is>
      </c>
      <c r="U58" s="30" t="inlineStr">
        <is>
          <t>N/M</t>
        </is>
      </c>
      <c r="V58" s="30" t="inlineStr">
        <is>
          <t>N/M (app portal is JS shell; no terms exposed). Do NOT import Elan/mbonlineportal data (different Metropolitan Bank).</t>
        </is>
      </c>
      <c r="W58" s="30" t="inlineStr">
        <is>
          <t>3</t>
        </is>
      </c>
      <c r="X58" s="30" t="inlineStr">
        <is>
          <t>N/M</t>
        </is>
      </c>
      <c r="Y58" s="30" t="inlineStr">
        <is>
          <t>None (LOC/working-capital/LC/construction/farm/CRE/multifamily full-doc)</t>
        </is>
      </c>
      <c r="Z58" s="30" t="inlineStr">
        <is>
          <t>N/M</t>
        </is>
      </c>
      <c r="AA58" s="30" t="inlineStr">
        <is>
          <t>★ No-doc card — apply online</t>
        </is>
      </c>
      <c r="AB58" s="30" t="inlineStr">
        <is>
          <t>Metropolitan Bank-branded Visa business + personal (via mycommunitycc.com; SKUs N/M)</t>
        </is>
      </c>
      <c r="AC58" s="30" t="inlineStr">
        <is>
          <t>NorCal / SF-East Bay</t>
        </is>
      </c>
      <c r="AD58" s="30" t="inlineStr">
        <is>
          <t>Oakland</t>
        </is>
      </c>
      <c r="AE58" s="30" t="inlineStr">
        <is>
          <t>100</t>
        </is>
      </c>
      <c r="AF58" s="30" t="inlineStr">
        <is>
          <t>MED card-exists/online; issuer likely TCM (mycommunitycc.com) but UNVERIFIED; terms N/M. NOT the Elan Metropolitan Bank. 2026-05-29</t>
        </is>
      </c>
      <c r="AG58" s="30" t="inlineStr">
        <is>
          <t>met.bank/business-banking; mycommunitycc.com/FROlvrV1uR72; FDIC cert 25869</t>
        </is>
      </c>
    </row>
    <row r="59" ht="15.75" customHeight="1">
      <c r="A59" s="30" t="inlineStr">
        <is>
          <t>58</t>
        </is>
      </c>
      <c r="B59" s="30" t="inlineStr">
        <is>
          <t>57</t>
        </is>
      </c>
      <c r="C59" s="42" t="inlineStr">
        <is>
          <t>State Bank of India (California)</t>
        </is>
      </c>
      <c r="D59" s="43" t="inlineStr">
        <is>
          <t>CA Bank</t>
        </is>
      </c>
      <c r="E59" s="30" t="inlineStr">
        <is>
          <t>★ Core SoCal</t>
        </is>
      </c>
      <c r="F59" s="33" t="inlineStr">
        <is>
          <t>3/4  ✗SUW ✓Onl ✓SoCal ✓Card</t>
        </is>
      </c>
      <c r="G59" s="30" t="inlineStr">
        <is>
          <t>E — Elan agent</t>
        </is>
      </c>
      <c r="H59" s="30" t="inlineStr">
        <is>
          <t>Elan platform: ~$3K–$10K start, to ~$20K strong files (~$500 seen at 800+ FICO)  [myFICO #6658960]</t>
        </is>
      </c>
      <c r="I59" s="30" t="inlineStr">
        <is>
          <t>$1.39B</t>
        </is>
      </c>
      <c r="J59" s="30" t="inlineStr">
        <is>
          <t>N/M</t>
        </is>
      </c>
      <c r="K59" s="30" t="inlineStr">
        <is>
          <t>~7 CA branches (LA, San Diego, Fremont, etc.); subsidiary of State Bank of India</t>
        </is>
      </c>
      <c r="L59" s="30" t="inlineStr">
        <is>
          <t>CA-HQ'd</t>
        </is>
      </c>
      <c r="M59" s="30" t="inlineStr">
        <is>
          <t>No</t>
        </is>
      </c>
      <c r="N59" s="30" t="inlineStr">
        <is>
          <t>✅ Elan biz cards; terms N/M (not published on site); $0 AF likely</t>
        </is>
      </c>
      <c r="O59" s="50" t="inlineStr">
        <is>
          <t>Elan</t>
        </is>
      </c>
      <c r="P59" s="30" t="inlineStr">
        <is>
          <t>Online</t>
        </is>
      </c>
      <c r="Q59" s="30" t="inlineStr">
        <is>
          <t>Online — apply at https://www.sbical.bank/business-banking/business-credit-cards</t>
        </is>
      </c>
      <c r="R59" s="30" t="inlineStr">
        <is>
          <t>https://www.sbical.bank</t>
        </is>
      </c>
      <c r="S59" s="30" t="inlineStr">
        <is>
          <t>https://www.sbical.bank/business-banking/business-credit-cards</t>
        </is>
      </c>
      <c r="T59" s="30" t="inlineStr">
        <is>
          <t>TransUnion (varies EX/EQ)</t>
        </is>
      </c>
      <c r="U59" s="30" t="inlineStr">
        <is>
          <t>D&amp;B; not personal in good standing</t>
        </is>
      </c>
      <c r="V59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59" s="30" t="inlineStr">
        <is>
          <t>3</t>
        </is>
      </c>
      <c r="X59" s="30" t="inlineStr">
        <is>
          <t>PG yes; no tax returns (&lt;$25K)</t>
        </is>
      </c>
      <c r="Y59" s="30" t="inlineStr">
        <is>
          <t>None (commercial/SBA full-doc)</t>
        </is>
      </c>
      <c r="Z59" s="30" t="inlineStr">
        <is>
          <t>N/M</t>
        </is>
      </c>
      <c r="AA59" s="30" t="inlineStr">
        <is>
          <t>No-doc card — apply online (Elan)</t>
        </is>
      </c>
      <c r="AB59" s="30" t="inlineStr">
        <is>
          <t>Elan business suite (low-rate / cash back / rewards; names not enumerated on site)</t>
        </is>
      </c>
      <c r="AC59" s="30" t="inlineStr">
        <is>
          <t>SoCal / LA</t>
        </is>
      </c>
      <c r="AD59" s="30" t="inlineStr">
        <is>
          <t>Los Angeles</t>
        </is>
      </c>
      <c r="AE59" s="30" t="inlineStr">
        <is>
          <t>51</t>
        </is>
      </c>
      <c r="AF59" s="30" t="inlineStr">
        <is>
          <t>HIGH issuer=Elan (own footer disclosure)/online/LA; N/M terms, HP. 2026-05-29</t>
        </is>
      </c>
      <c r="AG59" s="30" t="inlineStr">
        <is>
          <t>sbical.bank/business-banking/business-credit-cards (Elan creditor disclosure); elanfinancialservices.com</t>
        </is>
      </c>
    </row>
    <row r="60" ht="15.75" customHeight="1">
      <c r="A60" s="30" t="inlineStr">
        <is>
          <t>59</t>
        </is>
      </c>
      <c r="B60" s="30" t="inlineStr">
        <is>
          <t>58</t>
        </is>
      </c>
      <c r="C60" s="40" t="inlineStr">
        <is>
          <t>Umpqua Bank (Columbia)</t>
        </is>
      </c>
      <c r="D60" s="36" t="inlineStr">
        <is>
          <t>Regional</t>
        </is>
      </c>
      <c r="E60" s="30" t="inlineStr">
        <is>
          <t>Other — West Coast — substantial CA branches</t>
        </is>
      </c>
      <c r="F60" s="41" t="inlineStr">
        <is>
          <t>2/4  ✗SUW ✓Onl ✗SoCal ✓Card</t>
        </is>
      </c>
      <c r="G60" s="30" t="inlineStr">
        <is>
          <t>E — Elan agent</t>
        </is>
      </c>
      <c r="H60" s="30" t="inlineStr">
        <is>
          <t>Elan platform: ~$3K–$10K start, to ~$20K strong files (~$500 seen at 800+ FICO)  [myFICO #6658960]</t>
        </is>
      </c>
      <c r="I60" s="30" t="inlineStr">
        <is>
          <t>~$50B (Columbia Banking System)</t>
        </is>
      </c>
      <c r="J60" s="30" t="inlineStr">
        <is>
          <t>—</t>
        </is>
      </c>
      <c r="K60" s="30" t="inlineStr">
        <is>
          <t>~60-92 CA branches; CA/WA/OR/ID/NV; pending Pacific Premier acquisition</t>
        </is>
      </c>
      <c r="L60" s="30" t="inlineStr">
        <is>
          <t>Major CA (branches + lending)</t>
        </is>
      </c>
      <c r="M60" s="30" t="inlineStr">
        <is>
          <t>No</t>
        </is>
      </c>
      <c r="N60" s="30" t="inlineStr">
        <is>
          <t>✅ Elan: Business Platinum/Zero+ 0% 18cyc; Business Real Rewards 0% 6cyc; Rewards Plus ($99); $0 AF</t>
        </is>
      </c>
      <c r="O60" s="50" t="inlineStr">
        <is>
          <t>Elan</t>
        </is>
      </c>
      <c r="P60" s="30" t="inlineStr">
        <is>
          <t>Online</t>
        </is>
      </c>
      <c r="Q60" s="30" t="inlineStr">
        <is>
          <t>Online — apply at https://branchoffer.com/11t2/business-platinum2103</t>
        </is>
      </c>
      <c r="R60" s="30" t="inlineStr">
        <is>
          <t>https://www.columbiabank.com/business-banking/credit-cards/</t>
        </is>
      </c>
      <c r="S60" s="30" t="inlineStr">
        <is>
          <t>https://branchoffer.com/11t2/business-platinum2103</t>
        </is>
      </c>
      <c r="T60" s="30" t="inlineStr">
        <is>
          <t>Personal, varies (Elan; EX historically / TU recently)</t>
        </is>
      </c>
      <c r="U60" s="30" t="inlineStr">
        <is>
          <t>D&amp;B; personal delinquency-only (Elan model)</t>
        </is>
      </c>
      <c r="V60" s="30" t="inlineStr">
        <is>
          <t>Elan platform; CA/WA/OR/ID/NV eligibility. Umpqua-specific limits/CLI N/M (myFICO 403). Elan general DPs apply.</t>
        </is>
      </c>
      <c r="W60" s="30" t="inlineStr">
        <is>
          <t>3</t>
        </is>
      </c>
      <c r="X60" s="30" t="inlineStr">
        <is>
          <t>PG yes (Elan, INFERENCE); no tax returns</t>
        </is>
      </c>
      <c r="Y60" s="30" t="inlineStr">
        <is>
          <t>Expresslines LOC + term = full-doc (2-3yr tax returns). No no-doc.</t>
        </is>
      </c>
      <c r="Z60" s="30" t="inlineStr">
        <is>
          <t>No</t>
        </is>
      </c>
      <c r="AA60" s="30" t="inlineStr">
        <is>
          <t>No-doc 0% card — apply online (Elan)</t>
        </is>
      </c>
      <c r="AB60" s="30" t="inlineStr">
        <is>
          <t>Umpqua/Columbia Visa Business Real Rewards, Rewards Plus ($99), Business Platinum/Zero+ (0% 18cyc)</t>
        </is>
      </c>
      <c r="AC60" s="30" t="inlineStr">
        <is>
          <t>West Coast — substantial CA branches</t>
        </is>
      </c>
      <c r="AD60" s="30" t="inlineStr">
        <is>
          <t>Tacoma, WA (bank: Lake Oswego, OR)</t>
        </is>
      </c>
      <c r="AE60" s="30" t="inlineStr">
        <is>
          <t>Reg</t>
        </is>
      </c>
      <c r="AF60" s="30" t="inlineStr">
        <is>
          <t>HIGH issuer=Elan/lineup/18mo-0%/CA-eligibility; MED reporting (Elan general). 2026-05-28</t>
        </is>
      </c>
      <c r="AG60" s="30" t="inlineStr">
        <is>
          <t>columbiabank.com/business-banking/credit-cards; branchoffer.com/11t2 (Elan disclosure); maximizingmoney.com; newfrontierfunding.com (lending full-doc)</t>
        </is>
      </c>
    </row>
    <row r="61" ht="15.75" customHeight="1">
      <c r="A61" s="30" t="inlineStr">
        <is>
          <t>60</t>
        </is>
      </c>
      <c r="B61" s="30" t="inlineStr">
        <is>
          <t>59</t>
        </is>
      </c>
      <c r="C61" s="40" t="inlineStr">
        <is>
          <t>Altura Credit Union</t>
        </is>
      </c>
      <c r="D61" s="39" t="inlineStr">
        <is>
          <t>Credit Union</t>
        </is>
      </c>
      <c r="E61" s="30" t="inlineStr">
        <is>
          <t>★ Core SoCal</t>
        </is>
      </c>
      <c r="F61" s="41" t="inlineStr">
        <is>
          <t>2/4  ✗SUW ✗Onl ✓SoCal ✓Card</t>
        </is>
      </c>
      <c r="G61" s="30" t="inlineStr">
        <is>
          <t>C — Other agent card</t>
        </is>
      </c>
      <c r="H61" s="30" t="inlineStr">
        <is>
          <t>Up to $25,000 (advertised)</t>
        </is>
      </c>
      <c r="I61" s="30" t="inlineStr">
        <is>
          <t>~$2.0B</t>
        </is>
      </c>
      <c r="J61" s="30" t="inlineStr">
        <is>
          <t>—</t>
        </is>
      </c>
      <c r="K61" s="30" t="inlineStr">
        <is>
          <t>HQ Riverside (IE); ~$2B+; Riverside County FOM</t>
        </is>
      </c>
      <c r="L61" s="30" t="inlineStr">
        <is>
          <t>CA-HQ'd</t>
        </is>
      </c>
      <c r="M61" s="30" t="inlineStr">
        <is>
          <t>Unknown</t>
        </is>
      </c>
      <c r="N61" s="30" t="inlineStr">
        <is>
          <t>✅ Business Platinum: NO 0% intro; APR N/M ('competitive', consumer 'as low as 12.49%'); $0 AF; up to $25K; no LLC required</t>
        </is>
      </c>
      <c r="O61" s="34" t="inlineStr">
        <is>
          <t>Self (likely; CU; Velera processor possible — not confirmed)</t>
        </is>
      </c>
      <c r="P61" s="30" t="inlineStr">
        <is>
          <t>In-person</t>
        </is>
      </c>
      <c r="Q61" s="30" t="inlineStr">
        <is>
          <t>Branch or phone (888) 883-7228 — no online app for the business card</t>
        </is>
      </c>
      <c r="R61" s="30" t="inlineStr">
        <is>
          <t>https://www.alturacu.com/business-credit-card/</t>
        </is>
      </c>
      <c r="S61" s="30" t="inlineStr">
        <is>
          <t>https://www.alturacu.com/business-credit-card/</t>
        </is>
      </c>
      <c r="T61" s="30" t="inlineStr">
        <is>
          <t>N/M</t>
        </is>
      </c>
      <c r="U61" s="30" t="inlineStr">
        <is>
          <t>N/M</t>
        </is>
      </c>
      <c r="V61" s="30" t="inlineStr">
        <is>
          <t>On approved credit; 'not all members qualify'; no LLC/incorporation required (freelancers/online sellers may qualify). No forum DPs.</t>
        </is>
      </c>
      <c r="W61" s="30" t="inlineStr">
        <is>
          <t>2</t>
        </is>
      </c>
      <c r="X61" s="30" t="inlineStr">
        <is>
          <t>N/M (LLC NOT required; PG/docs unstated)</t>
        </is>
      </c>
      <c r="Y61" s="30" t="inlineStr">
        <is>
          <t>None advertised (LLC-not-required lowers barrier but not no-income-doc)</t>
        </is>
      </c>
      <c r="Z61" s="30" t="inlineStr">
        <is>
          <t>Membership required (Riverside County: live/work/worship/school + businesses in county + family; NO nationwide association path found)</t>
        </is>
      </c>
      <c r="AA61" s="30" t="inlineStr">
        <is>
          <t>No-doc card — apply in branch</t>
        </is>
      </c>
      <c r="AB61" s="30" t="inlineStr">
        <is>
          <t>Altura Business Platinum Credit Card (self-issued likely; $0 AF, up to $25K)</t>
        </is>
      </c>
      <c r="AC61" s="30" t="inlineStr">
        <is>
          <t>SoCal / Inland Empire</t>
        </is>
      </c>
      <c r="AD61" s="30" t="inlineStr">
        <is>
          <t>Riverside</t>
        </is>
      </c>
      <c r="AE61" s="30" t="inlineStr">
        <is>
          <t>CU</t>
        </is>
      </c>
      <c r="AF61" s="30" t="inlineStr">
        <is>
          <t>MED card-exists/$0AF/$25K/no-LLC/IE; apply IN-BRANCH; suw=Unknown (issuer not confirmed); N/M APR, HP, PG. 2026-05-29</t>
        </is>
      </c>
      <c r="AG61" s="30" t="inlineStr">
        <is>
          <t>alturacu.com/business-credit-card + /faq/do-i-need-an-llc...; /benefits-of-membership/become-a-member</t>
        </is>
      </c>
    </row>
    <row r="62" ht="15.75" customHeight="1">
      <c r="A62" s="30" t="inlineStr">
        <is>
          <t>61</t>
        </is>
      </c>
      <c r="B62" s="30" t="inlineStr">
        <is>
          <t>60</t>
        </is>
      </c>
      <c r="C62" s="42" t="inlineStr">
        <is>
          <t>Provident Savings Bank, F.S.B.</t>
        </is>
      </c>
      <c r="D62" s="43" t="inlineStr">
        <is>
          <t>CA Bank</t>
        </is>
      </c>
      <c r="E62" s="30" t="inlineStr">
        <is>
          <t>★ Core SoCal</t>
        </is>
      </c>
      <c r="F62" s="33" t="inlineStr">
        <is>
          <t>3/4  ✗SUW ✓Onl ✓SoCal ✓Card</t>
        </is>
      </c>
      <c r="G62" s="30" t="inlineStr">
        <is>
          <t>E — Elan agent</t>
        </is>
      </c>
      <c r="H62" s="30" t="inlineStr">
        <is>
          <t>Elan platform: ~$3K–$10K start, to ~$20K strong files (~$500 seen at 800+ FICO)  [myFICO #6658960]</t>
        </is>
      </c>
      <c r="I62" s="30" t="inlineStr">
        <is>
          <t>$1.22B</t>
        </is>
      </c>
      <c r="J62" s="30" t="inlineStr">
        <is>
          <t>$0.89B</t>
        </is>
      </c>
      <c r="K62" s="30" t="inlineStr">
        <is>
          <t>Inland Empire/SoCal; Riverside HQ + branches; thrift (residential-heavy); Provident Financial Holdings. NOT NJ provident.bank, NOT Provident CU</t>
        </is>
      </c>
      <c r="L62" s="30" t="inlineStr">
        <is>
          <t>CA-HQ'd</t>
        </is>
      </c>
      <c r="M62" s="30" t="inlineStr">
        <is>
          <t>No</t>
        </is>
      </c>
      <c r="N62" s="30" t="inlineStr">
        <is>
          <t>✅ Elan biz cards (Cash Preferred / Smart / Real Rewards); terms N/M</t>
        </is>
      </c>
      <c r="O62" s="50" t="inlineStr">
        <is>
          <t>Elan</t>
        </is>
      </c>
      <c r="P62" s="30" t="inlineStr">
        <is>
          <t>Online</t>
        </is>
      </c>
      <c r="Q62" s="30" t="inlineStr">
        <is>
          <t>Online — apply at https://creditcardlearnmore.com/11t3/index?ecdma-lc=10028&amp;ecid=OTHE_25940</t>
        </is>
      </c>
      <c r="R62" s="30" t="inlineStr">
        <is>
          <t>https://www.myprovident.com</t>
        </is>
      </c>
      <c r="S62" s="30" t="inlineStr">
        <is>
          <t>https://creditcardlearnmore.com/11t3/index?ecdma-lc=10028&amp;ecid=OTHE_25940</t>
        </is>
      </c>
      <c r="T62" s="30" t="inlineStr">
        <is>
          <t>TransUnion (varies EX/EQ)</t>
        </is>
      </c>
      <c r="U62" s="30" t="inlineStr">
        <is>
          <t>D&amp;B; not personal in good standing</t>
        </is>
      </c>
      <c r="V62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62" s="30" t="inlineStr">
        <is>
          <t>3</t>
        </is>
      </c>
      <c r="X62" s="30" t="inlineStr">
        <is>
          <t>PG yes; no tax returns (&lt;$25K)</t>
        </is>
      </c>
      <c r="Y62" s="30" t="inlineStr">
        <is>
          <t>None (commercial/SBA/CRE relationship-underwritten; residential-heavy lender)</t>
        </is>
      </c>
      <c r="Z62" s="30" t="inlineStr">
        <is>
          <t>N/M</t>
        </is>
      </c>
      <c r="AA62" s="30" t="inlineStr">
        <is>
          <t>No-doc card — apply online (Elan)</t>
        </is>
      </c>
      <c r="AB62" s="30" t="inlineStr">
        <is>
          <t>Business Cash Preferred, Smart Business Rewards, Business Real Rewards (Elan)</t>
        </is>
      </c>
      <c r="AC62" s="30" t="inlineStr">
        <is>
          <t>SoCal / Inland Empire</t>
        </is>
      </c>
      <c r="AD62" s="30" t="inlineStr">
        <is>
          <t>Riverside</t>
        </is>
      </c>
      <c r="AE62" s="30" t="inlineStr">
        <is>
          <t>56</t>
        </is>
      </c>
      <c r="AF62" s="30" t="inlineStr">
        <is>
          <t>HIGH issuer=Elan (own portal links theme=elan1, lc=10028)/online/Inland Empire; N/M terms, HP. 2026-05-29</t>
        </is>
      </c>
      <c r="AG62" s="30" t="inlineStr">
        <is>
          <t>myprovident.com/creditcard (Elan disclosure); creditcardlearnmore.com (10028); FDIC cert 30879</t>
        </is>
      </c>
    </row>
    <row r="63" ht="15.75" customHeight="1">
      <c r="A63" s="30" t="inlineStr">
        <is>
          <t>62</t>
        </is>
      </c>
      <c r="B63" s="30" t="inlineStr">
        <is>
          <t>61</t>
        </is>
      </c>
      <c r="C63" s="42" t="inlineStr">
        <is>
          <t>BluPeak Credit Union (formerly USE Credit Union)</t>
        </is>
      </c>
      <c r="D63" s="39" t="inlineStr">
        <is>
          <t>Credit Union</t>
        </is>
      </c>
      <c r="E63" s="30" t="inlineStr">
        <is>
          <t>★ Core SoCal</t>
        </is>
      </c>
      <c r="F63" s="33" t="inlineStr">
        <is>
          <t>3/4  ✗SUW ✓Onl ✓SoCal ✓Card</t>
        </is>
      </c>
      <c r="G63" s="30" t="inlineStr">
        <is>
          <t>E — Elan agent</t>
        </is>
      </c>
      <c r="H63" s="30" t="inlineStr">
        <is>
          <t>Elan platform: ~$3K–$10K start, to ~$20K strong files (~$500 seen at 800+ FICO)  [myFICO #6658960]</t>
        </is>
      </c>
      <c r="I63" s="30" t="inlineStr">
        <is>
          <t>~$1.2B</t>
        </is>
      </c>
      <c r="J63" s="30" t="inlineStr">
        <is>
          <t>—</t>
        </is>
      </c>
      <c r="K63" s="30" t="inlineStr">
        <is>
          <t>HQ San Diego; ~$1.2B; ~6 CA branches (San Diego + Berkeley/Sacramento/Santa Clara/Davis); USE CU rebranded BluPeak 2022</t>
        </is>
      </c>
      <c r="L63" s="30" t="inlineStr">
        <is>
          <t>CA-HQ'd</t>
        </is>
      </c>
      <c r="M63" s="30" t="inlineStr">
        <is>
          <t>No</t>
        </is>
      </c>
      <c r="N63" s="30" t="inlineStr">
        <is>
          <t>✅ Elan business cards (low rate / cash back / rewards); terms N/M</t>
        </is>
      </c>
      <c r="O63" s="50" t="inlineStr">
        <is>
          <t>Elan</t>
        </is>
      </c>
      <c r="P63" s="30" t="inlineStr">
        <is>
          <t>Online</t>
        </is>
      </c>
      <c r="Q63" s="30" t="inlineStr">
        <is>
          <t>Online — apply at https://www.blupeak.com/spend-save/credit-cards/</t>
        </is>
      </c>
      <c r="R63" s="30" t="inlineStr">
        <is>
          <t>https://www.blupeak.com/spend-save/credit-cards/</t>
        </is>
      </c>
      <c r="S63" s="30" t="inlineStr">
        <is>
          <t>https://www.blupeak.com/spend-save/credit-cards/</t>
        </is>
      </c>
      <c r="T63" s="30" t="inlineStr">
        <is>
          <t>TransUnion (varies EX/EQ)</t>
        </is>
      </c>
      <c r="U63" s="30" t="inlineStr">
        <is>
          <t>D&amp;B; not personal in good standing</t>
        </is>
      </c>
      <c r="V63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Standard Elan biz app: PG + personal credit pull (joint &amp; several).</t>
        </is>
      </c>
      <c r="W63" s="30" t="inlineStr">
        <is>
          <t>3</t>
        </is>
      </c>
      <c r="X63" s="30" t="inlineStr">
        <is>
          <t>PG yes; no tax returns (&lt;$25K)</t>
        </is>
      </c>
      <c r="Y63" s="30" t="inlineStr">
        <is>
          <t>None (Elan no-PG Commercial Rewards is middle-market only, not advertised here)</t>
        </is>
      </c>
      <c r="Z63" s="30" t="inlineStr">
        <is>
          <t>Membership required (CA-only: Alameda/Sacramento/San Diego/Santa Clara/Yolo counties + State/UC/CSU employees + family; no clean nationwide path)</t>
        </is>
      </c>
      <c r="AA63" s="30" t="inlineStr">
        <is>
          <t>No-doc card — apply online (Elan)</t>
        </is>
      </c>
      <c r="AB63" s="30" t="inlineStr">
        <is>
          <t>Elan business Visa (names N/M; own page names Elan as creditor/issuer)</t>
        </is>
      </c>
      <c r="AC63" s="30" t="inlineStr">
        <is>
          <t>SoCal / San Diego</t>
        </is>
      </c>
      <c r="AD63" s="30" t="inlineStr">
        <is>
          <t>San Diego</t>
        </is>
      </c>
      <c r="AE63" s="30" t="inlineStr">
        <is>
          <t>CU</t>
        </is>
      </c>
      <c r="AF63" s="30" t="inlineStr">
        <is>
          <t>HIGH issuer=Elan (own footer disclosure)/apply-online/San Diego; CA-only membership; N/M terms, HP. 2026-05-29</t>
        </is>
      </c>
      <c r="AG63" s="30" t="inlineStr">
        <is>
          <t>blupeak.com/spend-save/credit-cards ('issuer is Elan Financial Services'); usecu.org→blupeak.com redirect; elan STD_BIZ.pdf</t>
        </is>
      </c>
    </row>
    <row r="64" ht="15.75" customHeight="1">
      <c r="A64" s="30" t="inlineStr">
        <is>
          <t>63</t>
        </is>
      </c>
      <c r="B64" s="30" t="inlineStr">
        <is>
          <t>62</t>
        </is>
      </c>
      <c r="C64" s="42" t="inlineStr">
        <is>
          <t>EverTrust Bank</t>
        </is>
      </c>
      <c r="D64" s="43" t="inlineStr">
        <is>
          <t>CA Bank</t>
        </is>
      </c>
      <c r="E64" s="30" t="inlineStr">
        <is>
          <t>★ Core SoCal</t>
        </is>
      </c>
      <c r="F64" s="33" t="inlineStr">
        <is>
          <t>3/4  ✗SUW ✓Onl ✓SoCal ✓Card</t>
        </is>
      </c>
      <c r="G64" s="30" t="inlineStr">
        <is>
          <t>E — Elan agent</t>
        </is>
      </c>
      <c r="H64" s="30" t="inlineStr">
        <is>
          <t>Elan platform: ~$3K–$10K start, to ~$20K strong files (~$500 seen at 800+ FICO)  [myFICO #6658960]</t>
        </is>
      </c>
      <c r="I64" s="30" t="inlineStr">
        <is>
          <t>$1.11B</t>
        </is>
      </c>
      <c r="J64" s="30" t="inlineStr">
        <is>
          <t>N/M</t>
        </is>
      </c>
      <c r="K64" s="30" t="inlineStr">
        <is>
          <t>~SGV/LA branches (City of Industry, Arcadia); O-Bank (Taiwan) affiliate; Asian-American</t>
        </is>
      </c>
      <c r="L64" s="30" t="inlineStr">
        <is>
          <t>CA-HQ'd</t>
        </is>
      </c>
      <c r="M64" s="30" t="inlineStr">
        <is>
          <t>No</t>
        </is>
      </c>
      <c r="N64" s="30" t="inlineStr">
        <is>
          <t>✅ Elan business Visa (low rate / cash back / rewards); terms N/M</t>
        </is>
      </c>
      <c r="O64" s="50" t="inlineStr">
        <is>
          <t>Elan</t>
        </is>
      </c>
      <c r="P64" s="30" t="inlineStr">
        <is>
          <t>Online</t>
        </is>
      </c>
      <c r="Q64" s="30" t="inlineStr">
        <is>
          <t>Online — apply at https://www.evertrustbank.com/Business/Visa-Credit-Cards</t>
        </is>
      </c>
      <c r="R64" s="30" t="inlineStr">
        <is>
          <t>https://www.evertrustbank.com</t>
        </is>
      </c>
      <c r="S64" s="30" t="inlineStr">
        <is>
          <t>https://www.evertrustbank.com/Business/Visa-Credit-Cards</t>
        </is>
      </c>
      <c r="T64" s="30" t="inlineStr">
        <is>
          <t>TransUnion (varies EX/EQ)</t>
        </is>
      </c>
      <c r="U64" s="30" t="inlineStr">
        <is>
          <t>D&amp;B; not personal in good standing</t>
        </is>
      </c>
      <c r="V64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64" s="30" t="inlineStr">
        <is>
          <t>3</t>
        </is>
      </c>
      <c r="X64" s="30" t="inlineStr">
        <is>
          <t>PG yes; no tax returns (&lt;$25K)</t>
        </is>
      </c>
      <c r="Y64" s="30" t="inlineStr">
        <is>
          <t>None (commercial LOC/CRE/SBA/C&amp;I/trade full-doc)</t>
        </is>
      </c>
      <c r="Z64" s="30" t="inlineStr">
        <is>
          <t>N/M</t>
        </is>
      </c>
      <c r="AA64" s="30" t="inlineStr">
        <is>
          <t>No-doc card — apply online (Elan)</t>
        </is>
      </c>
      <c r="AB64" s="30" t="inlineStr">
        <is>
          <t>Elan business Visa (Cash Preferred / Real Rewards / Platinum; names not enumerated)</t>
        </is>
      </c>
      <c r="AC64" s="30" t="inlineStr">
        <is>
          <t>SoCal / LA (San Gabriel Valley)</t>
        </is>
      </c>
      <c r="AD64" s="30" t="inlineStr">
        <is>
          <t>City of Industry</t>
        </is>
      </c>
      <c r="AE64" s="30" t="inlineStr">
        <is>
          <t>59</t>
        </is>
      </c>
      <c r="AF64" s="30" t="inlineStr">
        <is>
          <t>HIGH issuer=Elan (own footer disclosure)/SGV; MED apply-online (Elan portal, inferred); N/M terms. 2026-05-29</t>
        </is>
      </c>
      <c r="AG64" s="30" t="inlineStr">
        <is>
          <t>evertrustbank.com/Business/Visa-Credit-Cards (Elan creditor disclosure); FDIC cert 34010</t>
        </is>
      </c>
    </row>
    <row r="65" ht="15.75" customHeight="1">
      <c r="A65" s="30" t="inlineStr">
        <is>
          <t>64</t>
        </is>
      </c>
      <c r="B65" s="30" t="inlineStr">
        <is>
          <t>63</t>
        </is>
      </c>
      <c r="C65" s="42" t="inlineStr">
        <is>
          <t>Endeavor Bank</t>
        </is>
      </c>
      <c r="D65" s="43" t="inlineStr">
        <is>
          <t>CA Bank</t>
        </is>
      </c>
      <c r="E65" s="30" t="inlineStr">
        <is>
          <t>★ Core SoCal</t>
        </is>
      </c>
      <c r="F65" s="33" t="inlineStr">
        <is>
          <t>3/4  ✗SUW ✓Onl ✓SoCal ✓Card</t>
        </is>
      </c>
      <c r="G65" s="30" t="inlineStr">
        <is>
          <t>E — Elan agent</t>
        </is>
      </c>
      <c r="H65" s="30" t="inlineStr">
        <is>
          <t>Elan platform: ~$3K–$10K start, to ~$20K strong files (~$500 seen at 800+ FICO)  [myFICO #6658960]</t>
        </is>
      </c>
      <c r="I65" s="30" t="inlineStr">
        <is>
          <t>$0.81B</t>
        </is>
      </c>
      <c r="J65" s="30" t="inlineStr">
        <is>
          <t>N/M</t>
        </is>
      </c>
      <c r="K65" s="30" t="inlineStr">
        <is>
          <t>Single-market San Diego community bank (downtown SD); founded 2018; Endeavor Bancorp (OTC: EDVR)</t>
        </is>
      </c>
      <c r="L65" s="30" t="inlineStr">
        <is>
          <t>CA-HQ'd</t>
        </is>
      </c>
      <c r="M65" s="30" t="inlineStr">
        <is>
          <t>No</t>
        </is>
      </c>
      <c r="N65" s="30" t="inlineStr">
        <is>
          <t>✅ Elan biz cards (low rate / cash back / rewards); terms N/M</t>
        </is>
      </c>
      <c r="O65" s="50" t="inlineStr">
        <is>
          <t>Elan</t>
        </is>
      </c>
      <c r="P65" s="30" t="inlineStr">
        <is>
          <t>Online</t>
        </is>
      </c>
      <c r="Q65" s="30" t="inlineStr">
        <is>
          <t>Online — apply at https://creditcardlearnmore.com/11t3/index?ecdma-lc=35185&amp;ecid=OTHE_25940#business</t>
        </is>
      </c>
      <c r="R65" s="30" t="inlineStr">
        <is>
          <t>https://www.endeavor.bank</t>
        </is>
      </c>
      <c r="S65" s="30" t="inlineStr">
        <is>
          <t>https://creditcardlearnmore.com/11t3/index?ecdma-lc=35185&amp;ecid=OTHE_25940#business</t>
        </is>
      </c>
      <c r="T65" s="30" t="inlineStr">
        <is>
          <t>TransUnion (varies EX/EQ)</t>
        </is>
      </c>
      <c r="U65" s="30" t="inlineStr">
        <is>
          <t>D&amp;B; not personal in good standing</t>
        </is>
      </c>
      <c r="V65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65" s="30" t="inlineStr">
        <is>
          <t>3</t>
        </is>
      </c>
      <c r="X65" s="30" t="inlineStr">
        <is>
          <t>PG yes; no tax returns (&lt;$25K)</t>
        </is>
      </c>
      <c r="Y65" s="30" t="inlineStr">
        <is>
          <t>None (LOC/term/CRE/SBA 504/7(a)/equipment full-doc)</t>
        </is>
      </c>
      <c r="Z65" s="30" t="inlineStr">
        <is>
          <t>N/M</t>
        </is>
      </c>
      <c r="AA65" s="30" t="inlineStr">
        <is>
          <t>No-doc card — apply online (Elan)</t>
        </is>
      </c>
      <c r="AB65" s="30" t="inlineStr">
        <is>
          <t>Elan business Visa (names not enumerated)</t>
        </is>
      </c>
      <c r="AC65" s="30" t="inlineStr">
        <is>
          <t>SoCal / San Diego</t>
        </is>
      </c>
      <c r="AD65" s="30" t="inlineStr">
        <is>
          <t>San Diego</t>
        </is>
      </c>
      <c r="AE65" s="30" t="inlineStr">
        <is>
          <t>69</t>
        </is>
      </c>
      <c r="AF65" s="30" t="inlineStr">
        <is>
          <t>HIGH issuer=Elan (own footer disclosure)/San Diego; MED apply (Elan portal); N/M terms, HP. 2026-05-29</t>
        </is>
      </c>
      <c r="AG65" s="30" t="inlineStr">
        <is>
          <t>endeavor.bank/consultative-banking (Elan disclosure); creditcardlearnmore.com (35185); FDIC cert 59099</t>
        </is>
      </c>
    </row>
    <row r="66" ht="15.75" customHeight="1">
      <c r="A66" s="30" t="inlineStr">
        <is>
          <t>65</t>
        </is>
      </c>
      <c r="B66" s="30" t="inlineStr">
        <is>
          <t>64</t>
        </is>
      </c>
      <c r="C66" s="40" t="inlineStr">
        <is>
          <t>BAC Community Bank</t>
        </is>
      </c>
      <c r="D66" s="43" t="inlineStr">
        <is>
          <t>CA Bank</t>
        </is>
      </c>
      <c r="E66" s="30" t="inlineStr">
        <is>
          <t>Other — NorCal</t>
        </is>
      </c>
      <c r="F66" s="41" t="inlineStr">
        <is>
          <t>2/4  ✗SUW ✓Onl ✗SoCal ✓Card</t>
        </is>
      </c>
      <c r="G66" s="30" t="inlineStr">
        <is>
          <t>D — TCM agent</t>
        </is>
      </c>
      <c r="H66" s="30" t="inlineStr">
        <is>
          <t>N/M (TCM; conservative, Experian-driven)</t>
        </is>
      </c>
      <c r="I66" s="30" t="inlineStr">
        <is>
          <t>$0.78B</t>
        </is>
      </c>
      <c r="J66" s="30" t="inlineStr">
        <is>
          <t>$0.67B</t>
        </is>
      </c>
      <c r="K66" s="30" t="inlineStr">
        <is>
          <t>8 branches; Brentwood/Stockton/Modesto (E Contra Costa, San Joaquin, Stanislaus); est 1965</t>
        </is>
      </c>
      <c r="L66" s="30" t="inlineStr">
        <is>
          <t>CA-HQ'd</t>
        </is>
      </c>
      <c r="M66" s="30" t="inlineStr">
        <is>
          <t>No</t>
        </is>
      </c>
      <c r="N66" s="30" t="inlineStr">
        <is>
          <t>✅ no 0% confirmed; APR N/M; $0 AF (most); 1pt/$1 or 1% (TCM)</t>
        </is>
      </c>
      <c r="O66" s="49" t="inlineStr">
        <is>
          <t>TCM Bank, N.A.</t>
        </is>
      </c>
      <c r="P66" s="30" t="inlineStr">
        <is>
          <t>Online</t>
        </is>
      </c>
      <c r="Q66" s="30" t="inlineStr">
        <is>
          <t>Online — apply at https://www.bankbac.com/business/loans-credit/business-credit-cards.html</t>
        </is>
      </c>
      <c r="R66" s="30" t="inlineStr">
        <is>
          <t>https://www.bankbac.com</t>
        </is>
      </c>
      <c r="S66" s="30" t="inlineStr">
        <is>
          <t>https://www.bankbac.com/business/loans-credit/business-credit-cards.html</t>
        </is>
      </c>
      <c r="T66" s="30" t="inlineStr">
        <is>
          <t>Experian</t>
        </is>
      </c>
      <c r="U66" s="30" t="inlineStr">
        <is>
          <t>N/M (TCM reports; bureaus unnamed)</t>
        </is>
      </c>
      <c r="V66" s="30" t="inlineStr">
        <is>
          <t>TCM platform (mycommunitycc.com): Experian pull (apps + CLIs); SBA-eligible businesses only; partner bank has no underwriting say. myfico.com #6303273</t>
        </is>
      </c>
      <c r="W66" s="30" t="inlineStr">
        <is>
          <t>3</t>
        </is>
      </c>
      <c r="X66" s="30" t="inlineStr">
        <is>
          <t>PG likely; SBA-eligible only; no tax returns at app</t>
        </is>
      </c>
      <c r="Y66" s="30" t="inlineStr">
        <is>
          <t>None (commercial loans full-doc)</t>
        </is>
      </c>
      <c r="Z66" s="30" t="inlineStr">
        <is>
          <t>N/M</t>
        </is>
      </c>
      <c r="AA66" s="30" t="inlineStr">
        <is>
          <t>★ No-doc card — apply online</t>
        </is>
      </c>
      <c r="AB66" s="30" t="inlineStr">
        <is>
          <t>Small Business Rewards, Small Business Cash Rewards, Small Business Edition, Company Rewards Charge (TCM Visa)</t>
        </is>
      </c>
      <c r="AC66" s="30" t="inlineStr">
        <is>
          <t>NorCal / Sacramento-Stockton</t>
        </is>
      </c>
      <c r="AD66" s="30" t="inlineStr">
        <is>
          <t>Stockton</t>
        </is>
      </c>
      <c r="AE66" s="30" t="inlineStr">
        <is>
          <t>70</t>
        </is>
      </c>
      <c r="AF66" s="30" t="inlineStr">
        <is>
          <t>HIGH issuer=TCM (own page disclosure)/products/online/HP=Experian; N/M APR, reports. 2026-05-29</t>
        </is>
      </c>
      <c r="AG66" s="30" t="inlineStr">
        <is>
          <t>bankbac.com/business/loans-credit/business-credit-cards ('issued by TCM Bank, N.A.'); mycommunitycc.com; FDIC cert 19434</t>
        </is>
      </c>
    </row>
    <row r="67" ht="15.75" customHeight="1">
      <c r="A67" s="30" t="inlineStr">
        <is>
          <t>66</t>
        </is>
      </c>
      <c r="B67" s="30" t="inlineStr">
        <is>
          <t>65</t>
        </is>
      </c>
      <c r="C67" s="40" t="inlineStr">
        <is>
          <t>CommerceWest Bank</t>
        </is>
      </c>
      <c r="D67" s="43" t="inlineStr">
        <is>
          <t>CA Bank</t>
        </is>
      </c>
      <c r="E67" s="30" t="inlineStr">
        <is>
          <t>★ Core SoCal</t>
        </is>
      </c>
      <c r="F67" s="41" t="inlineStr">
        <is>
          <t>2/4  ✗SUW ✗Onl ✓SoCal ✓Card</t>
        </is>
      </c>
      <c r="G67" s="30" t="inlineStr">
        <is>
          <t>C — Other agent card</t>
        </is>
      </c>
      <c r="H67" s="30" t="inlineStr">
        <is>
          <t>N/M (TIB; financials typically required $10K+)</t>
        </is>
      </c>
      <c r="I67" s="30" t="inlineStr">
        <is>
          <t>$1.24B</t>
        </is>
      </c>
      <c r="J67" s="30" t="inlineStr">
        <is>
          <t>N/M</t>
        </is>
      </c>
      <c r="K67" s="30" t="inlineStr">
        <is>
          <t>Single Irvine office; OC commercial bank (CW Bancorp)</t>
        </is>
      </c>
      <c r="L67" s="30" t="inlineStr">
        <is>
          <t>CA-HQ'd</t>
        </is>
      </c>
      <c r="M67" s="30" t="inlineStr">
        <is>
          <t>Unknown</t>
        </is>
      </c>
      <c r="N67" s="30" t="inlineStr">
        <is>
          <t>✅ Card exists ('low intro rates' + Preferred Points); terms N/M; no CommerceWest-specific online apply</t>
        </is>
      </c>
      <c r="O67" s="45" t="inlineStr">
        <is>
          <t>TIB (inferred — 'Preferred Points' program signature)</t>
        </is>
      </c>
      <c r="P67" s="30" t="inlineStr">
        <is>
          <t>In-person</t>
        </is>
      </c>
      <c r="Q67" s="30" t="inlineStr">
        <is>
          <t>Visit branch / contact a banker (no online application)</t>
        </is>
      </c>
      <c r="R67" s="30" t="inlineStr">
        <is>
          <t>https://www.cwbk.com</t>
        </is>
      </c>
      <c r="S67" s="30" t="inlineStr">
        <is>
          <t>https://www.cwbk.com/business-loans/</t>
        </is>
      </c>
      <c r="T67" s="30" t="inlineStr">
        <is>
          <t>N/M (TIB; Experian typical)</t>
        </is>
      </c>
      <c r="U67" s="30" t="inlineStr">
        <is>
          <t>N/M</t>
        </is>
      </c>
      <c r="V67" s="30" t="inlineStr">
        <is>
          <t>TIB 'Preferred Points' program — inferred from verbatim rewards copy (1pt/$1 to 10K/mo; cash back/travel/merchandise/gift cards; $0 AF standard tier). No CommerceWest-specific disclosure/portal found. NOTE: myFICO '$12-15K' DPs are unrelated Commerce Bank MO (excluded).</t>
        </is>
      </c>
      <c r="W67" s="30" t="inlineStr">
        <is>
          <t>2</t>
        </is>
      </c>
      <c r="X67" s="30" t="inlineStr">
        <is>
          <t>N/M (PG typical for TIB)</t>
        </is>
      </c>
      <c r="Y67" s="30" t="inlineStr">
        <is>
          <t>None (working-capital/SBA Express/ABL/CRE full-doc)</t>
        </is>
      </c>
      <c r="Z67" s="30" t="inlineStr">
        <is>
          <t>Likely Yes (relationship bank)</t>
        </is>
      </c>
      <c r="AA67" s="30" t="inlineStr">
        <is>
          <t>No-doc card — apply in branch</t>
        </is>
      </c>
      <c r="AB67" s="30" t="inlineStr">
        <is>
          <t>'CommerceWest Bank credit card' (TIB Preferred Points; no named tiers)</t>
        </is>
      </c>
      <c r="AC67" s="30" t="inlineStr">
        <is>
          <t>SoCal / Orange County</t>
        </is>
      </c>
      <c r="AD67" s="30" t="inlineStr">
        <is>
          <t>Irvine</t>
        </is>
      </c>
      <c r="AE67" s="30" t="inlineStr">
        <is>
          <t>55</t>
        </is>
      </c>
      <c r="AF67" s="30" t="inlineStr">
        <is>
          <t>MED issuer=TIB (inferred via 'Preferred Points' signature; not confirmed via CommerceWest doc)/OC; no online apply; N/M terms, HP. 2026-05-29</t>
        </is>
      </c>
      <c r="AG67" s="30" t="inlineStr">
        <is>
          <t>cwbk.com/business-loans; TIB Preferred Points (vista/lakestone bank corroboration); FDIC cert 57176</t>
        </is>
      </c>
    </row>
    <row r="68" ht="15.75" customHeight="1">
      <c r="A68" s="30" t="inlineStr">
        <is>
          <t>67</t>
        </is>
      </c>
      <c r="B68" s="30" t="inlineStr">
        <is>
          <t>66</t>
        </is>
      </c>
      <c r="C68" s="40" t="inlineStr">
        <is>
          <t>First General Bank</t>
        </is>
      </c>
      <c r="D68" s="43" t="inlineStr">
        <is>
          <t>CA Bank</t>
        </is>
      </c>
      <c r="E68" s="30" t="inlineStr">
        <is>
          <t>★ Core SoCal</t>
        </is>
      </c>
      <c r="F68" s="41" t="inlineStr">
        <is>
          <t>2/4  ✗SUW ✗Onl ✓SoCal ✓Card</t>
        </is>
      </c>
      <c r="G68" s="30" t="inlineStr">
        <is>
          <t>C — Other agent card</t>
        </is>
      </c>
      <c r="H68" s="30" t="inlineStr">
        <is>
          <t>N/M (no bank-specific data point found)</t>
        </is>
      </c>
      <c r="I68" s="30" t="inlineStr">
        <is>
          <t>$1.14B</t>
        </is>
      </c>
      <c r="J68" s="30" t="inlineStr">
        <is>
          <t>N/M</t>
        </is>
      </c>
      <c r="K68" s="30" t="inlineStr">
        <is>
          <t>~4 branches (Rowland Heights HQ, Arcadia, Irvine, San Gabriel); CDFI; Asian-American SMB</t>
        </is>
      </c>
      <c r="L68" s="30" t="inlineStr">
        <is>
          <t>CA-HQ'd</t>
        </is>
      </c>
      <c r="M68" s="30" t="inlineStr">
        <is>
          <t>Unknown</t>
        </is>
      </c>
      <c r="N68" s="30" t="inlineStr">
        <is>
          <t>⚠️ 'Business Credit Cards' listed (no detail); issuer/terms N/M; no online apply</t>
        </is>
      </c>
      <c r="O68" s="51" t="inlineStr">
        <is>
          <t>Unknown (not disclosed; no portal; likely agent-issued)</t>
        </is>
      </c>
      <c r="P68" s="30" t="inlineStr">
        <is>
          <t>In-person</t>
        </is>
      </c>
      <c r="Q68" s="30" t="inlineStr">
        <is>
          <t>Visit branch / contact a banker (no online application)</t>
        </is>
      </c>
      <c r="R68" s="30" t="inlineStr">
        <is>
          <t>https://www.fgbusa.com</t>
        </is>
      </c>
      <c r="S68" s="30" t="inlineStr">
        <is>
          <t>https://www.fgbusa.com/products-and-services/others</t>
        </is>
      </c>
      <c r="T68" s="30" t="inlineStr">
        <is>
          <t>N/M</t>
        </is>
      </c>
      <c r="U68" s="30" t="inlineStr">
        <is>
          <t>N/M</t>
        </is>
      </c>
      <c r="V68" s="30" t="inlineStr">
        <is>
          <t>N/M (no forum data)</t>
        </is>
      </c>
      <c r="W68" s="30" t="inlineStr">
        <is>
          <t>2</t>
        </is>
      </c>
      <c r="X68" s="30" t="inlineStr">
        <is>
          <t>N/M (nothing published)</t>
        </is>
      </c>
      <c r="Y68" s="30" t="inlineStr">
        <is>
          <t>None (commercial/SBA/trade finance full-doc)</t>
        </is>
      </c>
      <c r="Z68" s="30" t="inlineStr">
        <is>
          <t>Likely Yes (relationship)</t>
        </is>
      </c>
      <c r="AA68" s="30" t="inlineStr">
        <is>
          <t>No-doc card — apply in branch</t>
        </is>
      </c>
      <c r="AB68" s="30" t="inlineStr">
        <is>
          <t>'Business Credit Cards' (generic; no name/terms published)</t>
        </is>
      </c>
      <c r="AC68" s="30" t="inlineStr">
        <is>
          <t>SoCal / LA (San Gabriel Valley)</t>
        </is>
      </c>
      <c r="AD68" s="30" t="inlineStr">
        <is>
          <t>Rowland Heights</t>
        </is>
      </c>
      <c r="AE68" s="30" t="inlineStr">
        <is>
          <t>58</t>
        </is>
      </c>
      <c r="AF68" s="30" t="inlineStr">
        <is>
          <t>MED-HIGH card-listed/SGV-HQ/no-online; N/M issuer, terms (zero card detail published). 2026-05-29</t>
        </is>
      </c>
      <c r="AG68" s="30" t="inlineStr">
        <is>
          <t>fgbusa.com/products-and-services/others; fgbusa.com/about/bank-profile; FDIC cert 58060</t>
        </is>
      </c>
    </row>
    <row r="69" ht="15.75" customHeight="1">
      <c r="A69" s="30" t="inlineStr">
        <is>
          <t>68</t>
        </is>
      </c>
      <c r="B69" s="30" t="inlineStr">
        <is>
          <t>67</t>
        </is>
      </c>
      <c r="C69" s="42" t="inlineStr">
        <is>
          <t>First Pacific Bank</t>
        </is>
      </c>
      <c r="D69" s="43" t="inlineStr">
        <is>
          <t>CA Bank</t>
        </is>
      </c>
      <c r="E69" s="30" t="inlineStr">
        <is>
          <t>★ Core SoCal</t>
        </is>
      </c>
      <c r="F69" s="33" t="inlineStr">
        <is>
          <t>3/4  ✗SUW ✓Onl ✓SoCal ✓Card</t>
        </is>
      </c>
      <c r="G69" s="30" t="inlineStr">
        <is>
          <t>E — Elan agent</t>
        </is>
      </c>
      <c r="H69" s="30" t="inlineStr">
        <is>
          <t>Elan platform: ~$3K–$10K start, to ~$20K strong files (~$500 seen at 800+ FICO)  [myFICO #6658960]</t>
        </is>
      </c>
      <c r="I69" s="30" t="inlineStr">
        <is>
          <t>$0.49B</t>
        </is>
      </c>
      <c r="J69" s="30" t="inlineStr">
        <is>
          <t>N/M</t>
        </is>
      </c>
      <c r="K69" s="30" t="inlineStr">
        <is>
          <t>LA + Orange County + San Diego + Inland Empire branches; est 2006; First Pacific Bancorp</t>
        </is>
      </c>
      <c r="L69" s="30" t="inlineStr">
        <is>
          <t>CA-HQ'd</t>
        </is>
      </c>
      <c r="M69" s="30" t="inlineStr">
        <is>
          <t>No</t>
        </is>
      </c>
      <c r="N69" s="30" t="inlineStr">
        <is>
          <t>✅ Elan biz cards (low rate / cash back / rewards); terms N/M</t>
        </is>
      </c>
      <c r="O69" s="50" t="inlineStr">
        <is>
          <t>Elan</t>
        </is>
      </c>
      <c r="P69" s="30" t="inlineStr">
        <is>
          <t>Online</t>
        </is>
      </c>
      <c r="Q69" s="30" t="inlineStr">
        <is>
          <t>Online — apply at https://www.firstpacbank.com/business-banking/business-loans-and-lines-of-credit/</t>
        </is>
      </c>
      <c r="R69" s="30" t="inlineStr">
        <is>
          <t>https://www.firstpacbank.com</t>
        </is>
      </c>
      <c r="S69" s="30" t="inlineStr">
        <is>
          <t>https://www.firstpacbank.com/business-banking/business-loans-and-lines-of-credit/</t>
        </is>
      </c>
      <c r="T69" s="30" t="inlineStr">
        <is>
          <t>TransUnion (varies EX/EQ)</t>
        </is>
      </c>
      <c r="U69" s="30" t="inlineStr">
        <is>
          <t>D&amp;B; not personal in good standing</t>
        </is>
      </c>
      <c r="V69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69" s="30" t="inlineStr">
        <is>
          <t>3</t>
        </is>
      </c>
      <c r="X69" s="30" t="inlineStr">
        <is>
          <t>PG yes; no tax returns (&lt;$25K)</t>
        </is>
      </c>
      <c r="Y69" s="30" t="inlineStr">
        <is>
          <t>None (LOC/equipment/CRE/construction/truck/SBA full-doc)</t>
        </is>
      </c>
      <c r="Z69" s="30" t="inlineStr">
        <is>
          <t>N/M</t>
        </is>
      </c>
      <c r="AA69" s="30" t="inlineStr">
        <is>
          <t>No-doc card — apply online (Elan)</t>
        </is>
      </c>
      <c r="AB69" s="30" t="inlineStr">
        <is>
          <t>Elan business Visa (Real Rewards / Cash Preferred / Platinum; names not enumerated)</t>
        </is>
      </c>
      <c r="AC69" s="30" t="inlineStr">
        <is>
          <t>SoCal / LA</t>
        </is>
      </c>
      <c r="AD69" s="30" t="inlineStr">
        <is>
          <t>Whittier</t>
        </is>
      </c>
      <c r="AE69" s="30" t="inlineStr">
        <is>
          <t>82</t>
        </is>
      </c>
      <c r="AF69" s="30" t="inlineStr">
        <is>
          <t>HIGH issuer=Elan (own footer disclosure)/online/SoCal-multi-county; N/M terms, HP, reports. 2026-05-29</t>
        </is>
      </c>
      <c r="AG69" s="30" t="inlineStr">
        <is>
          <t>firstpacbank.com/business-banking/business-loans-and-lines-of-credit (Elan disclosure); creditcardlearnmore.com; FDIC cert 58218</t>
        </is>
      </c>
    </row>
    <row r="70" ht="15.75" customHeight="1">
      <c r="A70" s="30" t="inlineStr">
        <is>
          <t>69</t>
        </is>
      </c>
      <c r="B70" s="30" t="inlineStr">
        <is>
          <t>68</t>
        </is>
      </c>
      <c r="C70" s="40" t="inlineStr">
        <is>
          <t>Community Bank of Santa Maria</t>
        </is>
      </c>
      <c r="D70" s="43" t="inlineStr">
        <is>
          <t>CA Bank</t>
        </is>
      </c>
      <c r="E70" s="30" t="inlineStr">
        <is>
          <t>Other — Central Coast (Santa Barbara County)</t>
        </is>
      </c>
      <c r="F70" s="41" t="inlineStr">
        <is>
          <t>2/4  ✗SUW ✓Onl ✗SoCal ✓Card</t>
        </is>
      </c>
      <c r="G70" s="30" t="inlineStr">
        <is>
          <t>D — TCM agent</t>
        </is>
      </c>
      <c r="H70" s="30" t="inlineStr">
        <is>
          <t>N/M (TCM; conservative, Experian-driven)</t>
        </is>
      </c>
      <c r="I70" s="30" t="inlineStr">
        <is>
          <t>$0.41B</t>
        </is>
      </c>
      <c r="J70" s="30" t="inlineStr">
        <is>
          <t>$0.36B</t>
        </is>
      </c>
      <c r="K70" s="30" t="inlineStr">
        <is>
          <t>~3 branches; Santa Maria HQ; Community Bancorp of Santa Maria (CYSM); est 2001</t>
        </is>
      </c>
      <c r="L70" s="30" t="inlineStr">
        <is>
          <t>CA-HQ'd</t>
        </is>
      </c>
      <c r="M70" s="30" t="inlineStr">
        <is>
          <t>No</t>
        </is>
      </c>
      <c r="N70" s="30" t="inlineStr">
        <is>
          <t>✅ no 0% (intro APR only); $0 AF; Platinum/Platinum Rewards + Company Expense charge card</t>
        </is>
      </c>
      <c r="O70" s="49" t="inlineStr">
        <is>
          <t>TCM Bank, N.A.</t>
        </is>
      </c>
      <c r="P70" s="30" t="inlineStr">
        <is>
          <t>Online</t>
        </is>
      </c>
      <c r="Q70" s="30" t="inlineStr">
        <is>
          <t>Online — apply at https://www.mycommunitycc.com/sx1jVR5q5Ti5</t>
        </is>
      </c>
      <c r="R70" s="30" t="inlineStr">
        <is>
          <t>https://www.yourcbsm.com</t>
        </is>
      </c>
      <c r="S70" s="30" t="inlineStr">
        <is>
          <t>https://www.mycommunitycc.com/sx1jVR5q5Ti5</t>
        </is>
      </c>
      <c r="T70" s="30" t="inlineStr">
        <is>
          <t>Experian (TCM)</t>
        </is>
      </c>
      <c r="U70" s="30" t="inlineStr">
        <is>
          <t>N/M (TCM)</t>
        </is>
      </c>
      <c r="V70" s="30" t="inlineStr">
        <is>
          <t>TCM platform (mycommunitycc.com): Experian pull; SBA-eligible only; conservative. myfico.com #6303273</t>
        </is>
      </c>
      <c r="W70" s="30" t="inlineStr">
        <is>
          <t>3</t>
        </is>
      </c>
      <c r="X70" s="30" t="inlineStr">
        <is>
          <t>PG likely; SBA-eligible only; 'subject to credit approval'</t>
        </is>
      </c>
      <c r="Y70" s="30" t="inlineStr">
        <is>
          <t>None (SBA 504/7(a)/CRE/ag/equipment/LOC/construction full-doc)</t>
        </is>
      </c>
      <c r="Z70" s="30" t="inlineStr">
        <is>
          <t>N/M</t>
        </is>
      </c>
      <c r="AA70" s="30" t="inlineStr">
        <is>
          <t>★ No-doc card — apply online</t>
        </is>
      </c>
      <c r="AB70" s="30" t="inlineStr">
        <is>
          <t>Business Visa Platinum / Platinum Rewards ($0 AF, intro APR); Company Expense Charge Card ($0 AF, pay-in-full)</t>
        </is>
      </c>
      <c r="AC70" s="30" t="inlineStr">
        <is>
          <t>Central Coast (Santa Barbara County)</t>
        </is>
      </c>
      <c r="AD70" s="30" t="inlineStr">
        <is>
          <t>Santa Maria</t>
        </is>
      </c>
      <c r="AE70" s="30" t="inlineStr">
        <is>
          <t>88</t>
        </is>
      </c>
      <c r="AF70" s="30" t="inlineStr">
        <is>
          <t>HIGH issuer=TCM (own page quote)/products/online/HP=Experian; N/M APR length, reports. 2026-05-29</t>
        </is>
      </c>
      <c r="AG70" s="30" t="inlineStr">
        <is>
          <t>yourcbsm.com/Business/Business-Loans ('issued by TCM Bank, N.A.'); mycommunitycc.com; FDIC cert 57073</t>
        </is>
      </c>
    </row>
    <row r="71" ht="15.75" customHeight="1">
      <c r="A71" s="30" t="inlineStr">
        <is>
          <t>70</t>
        </is>
      </c>
      <c r="B71" s="30" t="inlineStr">
        <is>
          <t>69</t>
        </is>
      </c>
      <c r="C71" s="40" t="inlineStr">
        <is>
          <t>Mechanics Bank</t>
        </is>
      </c>
      <c r="D71" s="43" t="inlineStr">
        <is>
          <t>CA Bank</t>
        </is>
      </c>
      <c r="E71" s="30" t="inlineStr">
        <is>
          <t>Other — NorCal</t>
        </is>
      </c>
      <c r="F71" s="41" t="inlineStr">
        <is>
          <t>2/4  ✗SUW ✓Onl ✗SoCal ✓Card</t>
        </is>
      </c>
      <c r="G71" s="30" t="inlineStr">
        <is>
          <t>E — Elan agent</t>
        </is>
      </c>
      <c r="H71" s="30" t="inlineStr">
        <is>
          <t>Elan platform: ~$3K–$10K start, to ~$20K strong files (~$500 seen at 800+ FICO)  [myFICO #6658960]</t>
        </is>
      </c>
      <c r="I71" s="30" t="inlineStr">
        <is>
          <t>$21.40B</t>
        </is>
      </c>
      <c r="J71" s="30" t="inlineStr">
        <is>
          <t>$18.25B</t>
        </is>
      </c>
      <c r="K71" s="30" t="inlineStr">
        <is>
          <t>~135 CA locations; West Coast + Hawaii</t>
        </is>
      </c>
      <c r="L71" s="30" t="inlineStr">
        <is>
          <t>CA-HQ'd</t>
        </is>
      </c>
      <c r="M71" s="30" t="inlineStr">
        <is>
          <t>No</t>
        </is>
      </c>
      <c r="N71" s="30" t="inlineStr">
        <is>
          <t>✅ 0% 12 cycles → 17.24-26.24%; $0 AF; 3% gas/dining/office/cell</t>
        </is>
      </c>
      <c r="O71" s="50" t="inlineStr">
        <is>
          <t>Elan</t>
        </is>
      </c>
      <c r="P71" s="30" t="inlineStr">
        <is>
          <t>Online</t>
        </is>
      </c>
      <c r="Q71" s="30" t="inlineStr">
        <is>
          <t>Online — apply at https://creditcardlearnmore.com/11t3/index?ecdma-lc=23692&amp;ecid=OTHE_25940</t>
        </is>
      </c>
      <c r="R71" s="30" t="inlineStr">
        <is>
          <t>https://www.mymechanics.com</t>
        </is>
      </c>
      <c r="S71" s="30" t="inlineStr">
        <is>
          <t>https://creditcardlearnmore.com/11t3/index?ecdma-lc=23692&amp;ecid=OTHE_25940</t>
        </is>
      </c>
      <c r="T71" s="30" t="inlineStr">
        <is>
          <t>TransUnion (varies EX/EQ)</t>
        </is>
      </c>
      <c r="U71" s="30" t="inlineStr">
        <is>
          <t>D&amp;B; not personal in good standing</t>
        </is>
      </c>
      <c r="V71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71" s="30" t="inlineStr">
        <is>
          <t>3</t>
        </is>
      </c>
      <c r="X71" s="30" t="inlineStr">
        <is>
          <t>PG yes; no tax returns (&lt;$25K)</t>
        </is>
      </c>
      <c r="Y71" s="30" t="inlineStr">
        <is>
          <t>Business LOC (CA-only promo to $250K) — relationship-underwritten</t>
        </is>
      </c>
      <c r="Z71" s="30" t="inlineStr">
        <is>
          <t>No</t>
        </is>
      </c>
      <c r="AA71" s="30" t="inlineStr">
        <is>
          <t>No-doc 0% card — apply online (Elan)</t>
        </is>
      </c>
      <c r="AB71" s="30" t="inlineStr">
        <is>
          <t>Business Cash Preferred, Smart Business Rewards ($95 AF after yr1), Business Real Rewards (0% 6 cyc)</t>
        </is>
      </c>
      <c r="AC71" s="30" t="inlineStr">
        <is>
          <t>NorCal / SF-East Bay</t>
        </is>
      </c>
      <c r="AD71" s="30" t="inlineStr">
        <is>
          <t>Walnut Creek</t>
        </is>
      </c>
      <c r="AE71" s="30" t="inlineStr">
        <is>
          <t>6</t>
        </is>
      </c>
      <c r="AF71" s="30" t="inlineStr">
        <is>
          <t>HIGH issuer/terms/PG/online; MED HP. 2026-05-28</t>
        </is>
      </c>
      <c r="AG71" s="30" t="inlineStr">
        <is>
          <t>mymechanics.com business-credit-cards; creditcardlearnmore.com; online1.elancard.com STD_BIZ.pdf</t>
        </is>
      </c>
    </row>
    <row r="72" ht="15.75" customHeight="1">
      <c r="A72" s="30" t="inlineStr">
        <is>
          <t>71</t>
        </is>
      </c>
      <c r="B72" s="30" t="inlineStr">
        <is>
          <t>70</t>
        </is>
      </c>
      <c r="C72" s="40" t="inlineStr">
        <is>
          <t>Fifth Third Bank</t>
        </is>
      </c>
      <c r="D72" s="36" t="inlineStr">
        <is>
          <t>Regional</t>
        </is>
      </c>
      <c r="E72" s="30" t="inlineStr">
        <is>
          <t>National (lends in CA)</t>
        </is>
      </c>
      <c r="F72" s="41" t="inlineStr">
        <is>
          <t>2/4  ✓SUW ✗Onl ✗SoCal ✓Card</t>
        </is>
      </c>
      <c r="G72" s="30" t="inlineStr">
        <is>
          <t>B — Self-UW (in branch)</t>
        </is>
      </c>
      <c r="H72" s="30" t="inlineStr">
        <is>
          <t>$25K max exposure (1 card 630+/2 cards 700+/3 cards 750+)  [myFICO #5418937]</t>
        </is>
      </c>
      <c r="I72" s="30" t="inlineStr">
        <is>
          <t>~$294B (combined w/ Comerica; 9th-largest US bank)</t>
        </is>
      </c>
      <c r="J72" s="30" t="inlineStr">
        <is>
          <t>—</t>
        </is>
      </c>
      <c r="K72" s="30" t="inlineStr">
        <is>
          <t>Midwest/SE; CA = ex-Comerica (~34 banking centers, Bay Area); Comerica brand until Q3 2026</t>
        </is>
      </c>
      <c r="L72" s="30" t="inlineStr">
        <is>
          <t>⚠ Needs local branch/account — minimal/no CA retail (likely NOT reachable)</t>
        </is>
      </c>
      <c r="M72" s="30" t="inlineStr">
        <is>
          <t>Yes</t>
        </is>
      </c>
      <c r="N72" s="30" t="inlineStr">
        <is>
          <t>⚠️ Simply Business: 0% 12cyc, $0 AF, 1.67% — but CLOSED to new applicants; in-branch only; 90-day deposit acct required</t>
        </is>
      </c>
      <c r="O72" s="34" t="inlineStr">
        <is>
          <t>Self (Fifth Third Bank NA)</t>
        </is>
      </c>
      <c r="P72" s="30" t="inlineStr">
        <is>
          <t>In-person</t>
        </is>
      </c>
      <c r="Q72" s="30" t="inlineStr">
        <is>
          <t>Visit branch / contact a banker (no online application)</t>
        </is>
      </c>
      <c r="R72" s="30" t="inlineStr">
        <is>
          <t>https://www.53.com/content/fifth-third/en/business-banking/managing-business/credit-card-solutions.html</t>
        </is>
      </c>
      <c r="S72" s="30" t="inlineStr">
        <is>
          <t>https://www.53.com/content/fifth-third/en/business-banking/managing-business/credit-card-solutions/simply-business-card.html</t>
        </is>
      </c>
      <c r="T72" s="30" t="inlineStr">
        <is>
          <t>TransUnion (East-Coast lean)</t>
        </is>
      </c>
      <c r="U72" s="30" t="inlineStr">
        <is>
          <t>Personal N/M; Business SBFE likely (N/M)</t>
        </is>
      </c>
      <c r="V72" s="30" t="inlineStr">
        <is>
          <t>$25K max exposure; score tiers 1 card 630+/2 cards 700+/3 cards 750+; separate HP per app (not inq-sensitive); CLI=hard pull after 6mo. myfico.com #5418937</t>
        </is>
      </c>
      <c r="W72" s="30" t="inlineStr">
        <is>
          <t>2</t>
        </is>
      </c>
      <c r="X72" s="30" t="inlineStr">
        <is>
          <t>PG yes (joint &amp; several); tax returns N/M</t>
        </is>
      </c>
      <c r="Y72" s="30" t="inlineStr">
        <is>
          <t>Commercial LOC/SBA full-doc. (Brex corporate card runs on Fifth Third rails — no-PG, but a Brex product.)</t>
        </is>
      </c>
      <c r="Z72" s="30" t="inlineStr">
        <is>
          <t>YES — Fifth Third business checking/savings active 90+ days required</t>
        </is>
      </c>
      <c r="AA72" s="30" t="inlineStr">
        <is>
          <t>⚠ Needs CA branch + closed to new applicants</t>
        </is>
      </c>
      <c r="AB72" s="30" t="inlineStr">
        <is>
          <t>Fifth Third Simply Business Card (CLOSED to new); Commercial Card; Brex-partnership corporate card</t>
        </is>
      </c>
      <c r="AC72" s="30" t="inlineStr">
        <is>
          <t>National — NEW CA via Comerica acquisition (Feb 2026)</t>
        </is>
      </c>
      <c r="AD72" s="30" t="inlineStr">
        <is>
          <t>Cincinnati, OH</t>
        </is>
      </c>
      <c r="AE72" s="30" t="inlineStr">
        <is>
          <t>Reg</t>
        </is>
      </c>
      <c r="AF72" s="30" t="inlineStr">
        <is>
          <t>HIGH self (triangulated); card CLOSED to new + branch-only + 90-day deposit gate = low practical utility. 2026-05-28</t>
        </is>
      </c>
      <c r="AG72" s="30" t="inlineStr">
        <is>
          <t>brex.com/legal/fifth-third-bank-card-agreement; CFPB TCCP data; 53.com simply-business; fitsmallbusiness.com; myfico.com #5418937</t>
        </is>
      </c>
    </row>
    <row r="73" ht="15.75" customHeight="1">
      <c r="A73" s="30" t="inlineStr">
        <is>
          <t>72</t>
        </is>
      </c>
      <c r="B73" s="30" t="inlineStr">
        <is>
          <t>71</t>
        </is>
      </c>
      <c r="C73" s="40" t="inlineStr">
        <is>
          <t>Poppy Bank</t>
        </is>
      </c>
      <c r="D73" s="43" t="inlineStr">
        <is>
          <t>CA Bank</t>
        </is>
      </c>
      <c r="E73" s="30" t="inlineStr">
        <is>
          <t>Other — NorCal</t>
        </is>
      </c>
      <c r="F73" s="41" t="inlineStr">
        <is>
          <t>2/4  ✗SUW ✓Onl ✗SoCal ✓Card</t>
        </is>
      </c>
      <c r="G73" s="30" t="inlineStr">
        <is>
          <t>E — Elan agent</t>
        </is>
      </c>
      <c r="H73" s="30" t="inlineStr">
        <is>
          <t>Elan platform: ~$3K–$10K start, to ~$20K strong files (~$500 seen at 800+ FICO)  [myFICO #6658960]</t>
        </is>
      </c>
      <c r="I73" s="30" t="inlineStr">
        <is>
          <t>$7.80B</t>
        </is>
      </c>
      <c r="J73" s="30" t="inlineStr">
        <is>
          <t>$6.02B</t>
        </is>
      </c>
      <c r="K73" s="30" t="inlineStr">
        <is>
          <t>CA-only, extensive; Bay Area, Sacramento, LA, Orange County, San Diego, Santa Barbara</t>
        </is>
      </c>
      <c r="L73" s="30" t="inlineStr">
        <is>
          <t>CA-HQ'd</t>
        </is>
      </c>
      <c r="M73" s="30" t="inlineStr">
        <is>
          <t>No</t>
        </is>
      </c>
      <c r="N73" s="30" t="inlineStr">
        <is>
          <t>✅ 0% 12 cycles → 17.24-26.24%; $0 AF</t>
        </is>
      </c>
      <c r="O73" s="50" t="inlineStr">
        <is>
          <t>Elan</t>
        </is>
      </c>
      <c r="P73" s="30" t="inlineStr">
        <is>
          <t>Online</t>
        </is>
      </c>
      <c r="Q73" s="30" t="inlineStr">
        <is>
          <t>Online — apply at https://creditcardlearnmore.com/11t3/index?ecdma-lc=07362&amp;ecid=OTHE_25940#business</t>
        </is>
      </c>
      <c r="R73" s="30" t="inlineStr">
        <is>
          <t>https://www.poppy.bank</t>
        </is>
      </c>
      <c r="S73" s="30" t="inlineStr">
        <is>
          <t>https://creditcardlearnmore.com/11t3/index?ecdma-lc=07362&amp;ecid=OTHE_25940#business</t>
        </is>
      </c>
      <c r="T73" s="30" t="inlineStr">
        <is>
          <t>TransUnion (varies EX/EQ)</t>
        </is>
      </c>
      <c r="U73" s="30" t="inlineStr">
        <is>
          <t>D&amp;B; not personal in good standing</t>
        </is>
      </c>
      <c r="V73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73" s="30" t="inlineStr">
        <is>
          <t>3</t>
        </is>
      </c>
      <c r="X73" s="30" t="inlineStr">
        <is>
          <t>PG yes; no tax returns (&lt;$25K)</t>
        </is>
      </c>
      <c r="Y73" s="30" t="inlineStr">
        <is>
          <t>None (SBA/USDA/CRE/LOC underwritten)</t>
        </is>
      </c>
      <c r="Z73" s="30" t="inlineStr">
        <is>
          <t>No</t>
        </is>
      </c>
      <c r="AA73" s="30" t="inlineStr">
        <is>
          <t>No-doc 0% card — apply online (Elan)</t>
        </is>
      </c>
      <c r="AB73" s="30" t="inlineStr">
        <is>
          <t>Business Cash Preferred, Smart Business Rewards, Business Real Rewards</t>
        </is>
      </c>
      <c r="AC73" s="30" t="inlineStr">
        <is>
          <t>NorCal / SF (North Bay)</t>
        </is>
      </c>
      <c r="AD73" s="30" t="inlineStr">
        <is>
          <t>Santa Rosa</t>
        </is>
      </c>
      <c r="AE73" s="30" t="inlineStr">
        <is>
          <t>13</t>
        </is>
      </c>
      <c r="AF73" s="30" t="inlineStr">
        <is>
          <t>HIGH issuer/terms/online/footprint; MED PG/HP. 2026-05-28</t>
        </is>
      </c>
      <c r="AG73" s="30" t="inlineStr">
        <is>
          <t>poppy.bank/business-checking-accounts; creditcardlearnmore.com (07362)</t>
        </is>
      </c>
    </row>
    <row r="74" ht="15.75" customHeight="1">
      <c r="A74" s="30" t="inlineStr">
        <is>
          <t>73</t>
        </is>
      </c>
      <c r="B74" s="30" t="inlineStr">
        <is>
          <t>72</t>
        </is>
      </c>
      <c r="C74" s="40" t="inlineStr">
        <is>
          <t>Partners Bank of California</t>
        </is>
      </c>
      <c r="D74" s="43" t="inlineStr">
        <is>
          <t>CA Bank</t>
        </is>
      </c>
      <c r="E74" s="30" t="inlineStr">
        <is>
          <t>★ Core SoCal</t>
        </is>
      </c>
      <c r="F74" s="41" t="inlineStr">
        <is>
          <t>2/4  ✗SUW ✗Onl ✓SoCal ✓Card</t>
        </is>
      </c>
      <c r="G74" s="30" t="inlineStr">
        <is>
          <t>C — Other agent card</t>
        </is>
      </c>
      <c r="H74" s="30" t="inlineStr">
        <is>
          <t>N/M (TIB; financials typically required $10K+)</t>
        </is>
      </c>
      <c r="I74" s="30" t="inlineStr">
        <is>
          <t>$0.61B</t>
        </is>
      </c>
      <c r="J74" s="30" t="inlineStr">
        <is>
          <t>N/M</t>
        </is>
      </c>
      <c r="K74" s="30" t="inlineStr">
        <is>
          <t>'Only business bank HQ'd in South Orange County'; Mission Viejo HQ + Beverly Hills; ticker PBKX</t>
        </is>
      </c>
      <c r="L74" s="30" t="inlineStr">
        <is>
          <t>CA-HQ'd</t>
        </is>
      </c>
      <c r="M74" s="30" t="inlineStr">
        <is>
          <t>No</t>
        </is>
      </c>
      <c r="N74" s="30" t="inlineStr">
        <is>
          <t>✅ TIB Mastercard business (Preferred Points 1pt/$1 to 10K/mo); no 0%; terms N/M; no online apply</t>
        </is>
      </c>
      <c r="O74" s="45" t="inlineStr">
        <is>
          <t>TIB</t>
        </is>
      </c>
      <c r="P74" s="30" t="inlineStr">
        <is>
          <t>In-person</t>
        </is>
      </c>
      <c r="Q74" s="30" t="inlineStr">
        <is>
          <t>No online app — call (949) 732-4000 / TIB Card Svc 800-367-7576; relationship/branch</t>
        </is>
      </c>
      <c r="R74" s="30" t="inlineStr">
        <is>
          <t>https://www.pbofca.com</t>
        </is>
      </c>
      <c r="S74" s="30" t="inlineStr">
        <is>
          <t>—</t>
        </is>
      </c>
      <c r="T74" s="30" t="inlineStr">
        <is>
          <t>Experian/TU (TIB; INFERENCE)</t>
        </is>
      </c>
      <c r="U74" s="30" t="inlineStr">
        <is>
          <t>N/M (TIB; biz-only typical)</t>
        </is>
      </c>
      <c r="V74" s="30" t="inlineStr">
        <is>
          <t>TIB Preferred Points program (24/7 line 800-367-7576 = TIB Card Services). No online app; inquiry/relationship only. No bank-specific DPs.</t>
        </is>
      </c>
      <c r="W74" s="30" t="inlineStr">
        <is>
          <t>2</t>
        </is>
      </c>
      <c r="X74" s="30" t="inlineStr">
        <is>
          <t>PG likely (TIB standard); docs N/M</t>
        </is>
      </c>
      <c r="Y74" s="30" t="inlineStr">
        <is>
          <t>None (business LOC/loans/CRE/SBA full-doc)</t>
        </is>
      </c>
      <c r="Z74" s="30" t="inlineStr">
        <is>
          <t>Likely Yes (relationship)</t>
        </is>
      </c>
      <c r="AA74" s="30" t="inlineStr">
        <is>
          <t>No-doc card — apply in branch</t>
        </is>
      </c>
      <c r="AB74" s="30" t="inlineStr">
        <is>
          <t>Mastercard Business credit card (TIB Preferred Points; 1pt/$1 up to 10K pts/mo)</t>
        </is>
      </c>
      <c r="AC74" s="30" t="inlineStr">
        <is>
          <t>SoCal / Orange County</t>
        </is>
      </c>
      <c r="AD74" s="30" t="inlineStr">
        <is>
          <t>Mission Viejo</t>
        </is>
      </c>
      <c r="AE74" s="30" t="inlineStr">
        <is>
          <t>76</t>
        </is>
      </c>
      <c r="AF74" s="30" t="inlineStr">
        <is>
          <t>MED-HIGH issuer=TIB (shared 800-367-7576 + verbatim Preferred Points copy)/OC; no online apply; N/M terms, HP. 2026-05-29</t>
        </is>
      </c>
      <c r="AG74" s="30" t="inlineStr">
        <is>
          <t>pbofca.com/product/business-banking/lending-solutions; TIB Preferred Points boilerplate match; FDIC cert 58588</t>
        </is>
      </c>
    </row>
    <row r="75" ht="15.75" customHeight="1">
      <c r="A75" s="30" t="inlineStr">
        <is>
          <t>74</t>
        </is>
      </c>
      <c r="B75" s="30" t="inlineStr">
        <is>
          <t>73</t>
        </is>
      </c>
      <c r="C75" s="40" t="inlineStr">
        <is>
          <t>Genesis Bank</t>
        </is>
      </c>
      <c r="D75" s="43" t="inlineStr">
        <is>
          <t>CA Bank</t>
        </is>
      </c>
      <c r="E75" s="30" t="inlineStr">
        <is>
          <t>★ Core SoCal</t>
        </is>
      </c>
      <c r="F75" s="41" t="inlineStr">
        <is>
          <t>2/4  ✗SUW ✗Onl ✓SoCal ✓Card</t>
        </is>
      </c>
      <c r="G75" s="30" t="inlineStr">
        <is>
          <t>C — Other agent card</t>
        </is>
      </c>
      <c r="H75" s="30" t="inlineStr">
        <is>
          <t>N/M (no bank-specific data point found)</t>
        </is>
      </c>
      <c r="I75" s="30" t="inlineStr">
        <is>
          <t>$0.41B</t>
        </is>
      </c>
      <c r="J75" s="30" t="inlineStr">
        <is>
          <t>N/M</t>
        </is>
      </c>
      <c r="K75" s="30" t="inlineStr">
        <is>
          <t>Newport Beach HQ; OC + LA + W Inland Empire; minority-owned de novo (est 2021)</t>
        </is>
      </c>
      <c r="L75" s="30" t="inlineStr">
        <is>
          <t>CA-HQ'd</t>
        </is>
      </c>
      <c r="M75" s="30" t="inlineStr">
        <is>
          <t>Unknown</t>
        </is>
      </c>
      <c r="N75" s="30" t="inlineStr">
        <is>
          <t>⚠️ One unnamed business card (relationship-only); issuer/terms N/M; no online apply</t>
        </is>
      </c>
      <c r="O75" s="51" t="inlineStr">
        <is>
          <t>Unknown (not named; likely agent-issued)</t>
        </is>
      </c>
      <c r="P75" s="30" t="inlineStr">
        <is>
          <t>In-person</t>
        </is>
      </c>
      <c r="Q75" s="30" t="inlineStr">
        <is>
          <t>Visit branch / contact a banker (no online application)</t>
        </is>
      </c>
      <c r="R75" s="30" t="inlineStr">
        <is>
          <t>https://www.mygenesisbank.com</t>
        </is>
      </c>
      <c r="S75" s="30" t="inlineStr">
        <is>
          <t>—</t>
        </is>
      </c>
      <c r="T75" s="30" t="inlineStr">
        <is>
          <t>N/M</t>
        </is>
      </c>
      <c r="U75" s="30" t="inlineStr">
        <is>
          <t>N/M</t>
        </is>
      </c>
      <c r="V75" s="30" t="inlineStr">
        <is>
          <t>N/M (no forum data; not the unrelated Concora/'Genesis FS' subprime issuer)</t>
        </is>
      </c>
      <c r="W75" s="30" t="inlineStr">
        <is>
          <t>2</t>
        </is>
      </c>
      <c r="X75" s="30" t="inlineStr">
        <is>
          <t>N/M (RM-underwritten)</t>
        </is>
      </c>
      <c r="Y75" s="30" t="inlineStr">
        <is>
          <t>None (LOC/term/SBA/owner-occ CRE/equipment full-doc)</t>
        </is>
      </c>
      <c r="Z75" s="30" t="inlineStr">
        <is>
          <t>Likely Yes (relationship)</t>
        </is>
      </c>
      <c r="AA75" s="30" t="inlineStr">
        <is>
          <t>No-doc card — apply in branch</t>
        </is>
      </c>
      <c r="AB75" s="30" t="inlineStr">
        <is>
          <t>One unnamed business credit card ('transparent reporting for reconciliation'; no tiers)</t>
        </is>
      </c>
      <c r="AC75" s="30" t="inlineStr">
        <is>
          <t>SoCal / Orange County</t>
        </is>
      </c>
      <c r="AD75" s="30" t="inlineStr">
        <is>
          <t>Newport Beach</t>
        </is>
      </c>
      <c r="AE75" s="30" t="inlineStr">
        <is>
          <t>87</t>
        </is>
      </c>
      <c r="AF75" s="30" t="inlineStr">
        <is>
          <t>MED card-exists/OC-HQ/relationship-only; N/M issuer, terms (RM-gated). Disambiguated from Concora. 2026-05-29</t>
        </is>
      </c>
      <c r="AG75" s="30" t="inlineStr">
        <is>
          <t>mygenesisbank.com/commercial-banking/business-loans/loan-products; FDIC cert 59245</t>
        </is>
      </c>
    </row>
    <row r="76" ht="15.75" customHeight="1">
      <c r="A76" s="30" t="inlineStr">
        <is>
          <t>75</t>
        </is>
      </c>
      <c r="B76" s="30" t="inlineStr">
        <is>
          <t>74</t>
        </is>
      </c>
      <c r="C76" s="40" t="inlineStr">
        <is>
          <t>Westamerica Bank</t>
        </is>
      </c>
      <c r="D76" s="43" t="inlineStr">
        <is>
          <t>CA Bank</t>
        </is>
      </c>
      <c r="E76" s="30" t="inlineStr">
        <is>
          <t>Other — NorCal</t>
        </is>
      </c>
      <c r="F76" s="41" t="inlineStr">
        <is>
          <t>2/4  ✗SUW ✓Onl ✗SoCal ✓Card</t>
        </is>
      </c>
      <c r="G76" s="30" t="inlineStr">
        <is>
          <t>E — Elan agent</t>
        </is>
      </c>
      <c r="H76" s="30" t="inlineStr">
        <is>
          <t>Elan DPs: $4K–$9K (no-relationship)  [myFICO #6478775]</t>
        </is>
      </c>
      <c r="I76" s="30" t="inlineStr">
        <is>
          <t>$5.83B</t>
        </is>
      </c>
      <c r="J76" s="30" t="inlineStr">
        <is>
          <t>$4.79B</t>
        </is>
      </c>
      <c r="K76" s="30" t="inlineStr">
        <is>
          <t>~76-88 branches across 19 NorCal/Central counties</t>
        </is>
      </c>
      <c r="L76" s="30" t="inlineStr">
        <is>
          <t>CA-HQ'd</t>
        </is>
      </c>
      <c r="M76" s="30" t="inlineStr">
        <is>
          <t>No</t>
        </is>
      </c>
      <c r="N76" s="30" t="inlineStr">
        <is>
          <t>✅ 0% 12-18 cycles → 17.24-26.24%; $0 AF</t>
        </is>
      </c>
      <c r="O76" s="50" t="inlineStr">
        <is>
          <t>Elan</t>
        </is>
      </c>
      <c r="P76" s="30" t="inlineStr">
        <is>
          <t>Online</t>
        </is>
      </c>
      <c r="Q76" s="30" t="inlineStr">
        <is>
          <t>Online — apply at https://creditcardlearnmore.com/11t3/index?ecdma-lc=12109</t>
        </is>
      </c>
      <c r="R76" s="30" t="inlineStr">
        <is>
          <t>https://www.westamerica.com</t>
        </is>
      </c>
      <c r="S76" s="30" t="inlineStr">
        <is>
          <t>https://creditcardlearnmore.com/11t3/index?ecdma-lc=12109</t>
        </is>
      </c>
      <c r="T76" s="30" t="inlineStr">
        <is>
          <t>TransUnion (2 dated DPs; varies)</t>
        </is>
      </c>
      <c r="U76" s="30" t="inlineStr">
        <is>
          <t>D&amp;B; not personal in good standing</t>
        </is>
      </c>
      <c r="V76" s="30" t="inlineStr">
        <is>
          <t>Elan DPs: Visa Business Cash $9,000 (2021); Smart Business Rewards $4,000 no-relationship (2022, TU pull, D&amp;B 80). myfico.com #6478775</t>
        </is>
      </c>
      <c r="W76" s="30" t="inlineStr">
        <is>
          <t>3</t>
        </is>
      </c>
      <c r="X76" s="30" t="inlineStr">
        <is>
          <t>PG yes; no tax returns (&lt;$25K)</t>
        </is>
      </c>
      <c r="Y76" s="30" t="inlineStr">
        <is>
          <t>None (operating LOC/AR/term/CRE relationship-underwritten)</t>
        </is>
      </c>
      <c r="Z76" s="30" t="inlineStr">
        <is>
          <t>No (cold-apps approved)</t>
        </is>
      </c>
      <c r="AA76" s="30" t="inlineStr">
        <is>
          <t>0% to 18 cyc; cold-app approvals, no relationship (Elan)</t>
        </is>
      </c>
      <c r="AB76" s="30" t="inlineStr">
        <is>
          <t>Business Cash Preferred, Smart Business Rewards, Business Real Rewards, Business Card (0% 18 cyc)</t>
        </is>
      </c>
      <c r="AC76" s="30" t="inlineStr">
        <is>
          <t>NorCal / SF (Marin)</t>
        </is>
      </c>
      <c r="AD76" s="30" t="inlineStr">
        <is>
          <t>San Rafael</t>
        </is>
      </c>
      <c r="AE76" s="30" t="inlineStr">
        <is>
          <t>21</t>
        </is>
      </c>
      <c r="AF76" s="30" t="inlineStr">
        <is>
          <t>HIGH issuer/products/no-deposit/PG/D&amp;B; MED HP=TU. 2026-05-28</t>
        </is>
      </c>
      <c r="AG76" s="30" t="inlineStr">
        <is>
          <t>westamerica.com/credit-card-application; creditcardlearnmore.com (12109); myfico.com #6478775</t>
        </is>
      </c>
    </row>
    <row r="77" ht="15.75" customHeight="1">
      <c r="A77" s="30" t="inlineStr">
        <is>
          <t>76</t>
        </is>
      </c>
      <c r="B77" s="30" t="inlineStr">
        <is>
          <t>75</t>
        </is>
      </c>
      <c r="C77" s="40" t="inlineStr">
        <is>
          <t>Legacy Bank (Murrieta, CA)</t>
        </is>
      </c>
      <c r="D77" s="43" t="inlineStr">
        <is>
          <t>CA Bank</t>
        </is>
      </c>
      <c r="E77" s="30" t="inlineStr">
        <is>
          <t>★ Core SoCal</t>
        </is>
      </c>
      <c r="F77" s="41" t="inlineStr">
        <is>
          <t>2/4  ✗SUW ✗Onl ✓SoCal ✓Card</t>
        </is>
      </c>
      <c r="G77" s="30" t="inlineStr">
        <is>
          <t>C — Other agent card</t>
        </is>
      </c>
      <c r="H77" s="30" t="inlineStr">
        <is>
          <t>N/M (no bank-specific data point found)</t>
        </is>
      </c>
      <c r="I77" s="30" t="inlineStr">
        <is>
          <t>$0.11B</t>
        </is>
      </c>
      <c r="J77" s="30" t="inlineStr">
        <is>
          <t>N/M</t>
        </is>
      </c>
      <c r="K77" s="30" t="inlineStr">
        <is>
          <t>Murrieta HQ (Riverside County/IE); founded by Soboba Band of Luiseño Indians; minority-designated; de novo est 2022</t>
        </is>
      </c>
      <c r="L77" s="30" t="inlineStr">
        <is>
          <t>CA-HQ'd</t>
        </is>
      </c>
      <c r="M77" s="30" t="inlineStr">
        <is>
          <t>Unknown</t>
        </is>
      </c>
      <c r="N77" s="30" t="inlineStr">
        <is>
          <t>⚠️ Business cards exist (no detail); issuer/terms N/M; no online apply</t>
        </is>
      </c>
      <c r="O77" s="51" t="inlineStr">
        <is>
          <t>Unknown (not named; likely agent-issued; out-of-state 'Legacy' card data excluded)</t>
        </is>
      </c>
      <c r="P77" s="30" t="inlineStr">
        <is>
          <t>In-person</t>
        </is>
      </c>
      <c r="Q77" s="30" t="inlineStr">
        <is>
          <t>Visit branch / contact a banker (no online application)</t>
        </is>
      </c>
      <c r="R77" s="30" t="inlineStr">
        <is>
          <t>https://www.legacybankca.com</t>
        </is>
      </c>
      <c r="S77" s="30" t="inlineStr">
        <is>
          <t>—</t>
        </is>
      </c>
      <c r="T77" s="30" t="inlineStr">
        <is>
          <t>N/M</t>
        </is>
      </c>
      <c r="U77" s="30" t="inlineStr">
        <is>
          <t>N/M</t>
        </is>
      </c>
      <c r="V77" s="30" t="inlineStr">
        <is>
          <t>N/M (no forum data; de novo)</t>
        </is>
      </c>
      <c r="W77" s="30" t="inlineStr">
        <is>
          <t>2</t>
        </is>
      </c>
      <c r="X77" s="30" t="inlineStr">
        <is>
          <t>N/M</t>
        </is>
      </c>
      <c r="Y77" s="30" t="inlineStr">
        <is>
          <t>None (secured loans/LOC/LC/equipment/owner-occ+investor CRE/SBA full-doc)</t>
        </is>
      </c>
      <c r="Z77" s="30" t="inlineStr">
        <is>
          <t>Likely Yes (relationship)</t>
        </is>
      </c>
      <c r="AA77" s="30" t="inlineStr">
        <is>
          <t>No-doc card — apply in branch</t>
        </is>
      </c>
      <c r="AB77" s="30" t="inlineStr">
        <is>
          <t>Business credit card(s) ('transparent reporting for reconciliation'; no names/terms)</t>
        </is>
      </c>
      <c r="AC77" s="30" t="inlineStr">
        <is>
          <t>SoCal / Inland Empire</t>
        </is>
      </c>
      <c r="AD77" s="30" t="inlineStr">
        <is>
          <t>Murrieta</t>
        </is>
      </c>
      <c r="AE77" s="30" t="inlineStr">
        <is>
          <t>112</t>
        </is>
      </c>
      <c r="AF77" s="30" t="inlineStr">
        <is>
          <t>MED card-exists/IE-HQ/no-online; N/M issuer, terms. Out-of-state Legacy bank data excluded. 2026-05-29</t>
        </is>
      </c>
      <c r="AG77" s="30" t="inlineStr">
        <is>
          <t>legacybankca.com/loans/commercial-lending; americanbanker.com (de novo); FDIC cert 59204</t>
        </is>
      </c>
    </row>
    <row r="78" ht="15.75" customHeight="1">
      <c r="A78" s="30" t="inlineStr">
        <is>
          <t>77</t>
        </is>
      </c>
      <c r="C78" s="47" t="inlineStr">
        <is>
          <t>Axos Bank</t>
        </is>
      </c>
      <c r="D78" s="43" t="inlineStr">
        <is>
          <t>CA Bank</t>
        </is>
      </c>
      <c r="E78" s="30" t="inlineStr">
        <is>
          <t>★ Core SoCal</t>
        </is>
      </c>
      <c r="F78" s="48" t="inlineStr">
        <is>
          <t>1/4  ✗SUW ✗Onl ✓SoCal ✗Card</t>
        </is>
      </c>
      <c r="G78" s="30" t="inlineStr">
        <is>
          <t>Commercial-only</t>
        </is>
      </c>
      <c r="H78" s="30" t="inlineStr">
        <is>
          <t>—</t>
        </is>
      </c>
      <c r="I78" s="30" t="inlineStr">
        <is>
          <t>$28.24B</t>
        </is>
      </c>
      <c r="J78" s="30" t="inlineStr">
        <is>
          <t>$22.68B</t>
        </is>
      </c>
      <c r="K78" s="30" t="inlineStr">
        <is>
          <t>Branchless; ~2 physical branches (1 CA, 1 NV); lends nationwide online</t>
        </is>
      </c>
      <c r="L78" s="30" t="inlineStr">
        <is>
          <t>CA-HQ'd</t>
        </is>
      </c>
      <c r="M78" s="30" t="inlineStr">
        <is>
          <t>Unknown</t>
        </is>
      </c>
      <c r="N78" s="30" t="inlineStr">
        <is>
          <t>⚠️ Commercial — Visa Commercial/Charge; $0 AF; consult only</t>
        </is>
      </c>
      <c r="O78" s="51" t="inlineStr">
        <is>
          <t>Unknown (eZBusiness/eZCardInfo agent platform)</t>
        </is>
      </c>
      <c r="P78" s="30" t="inlineStr">
        <is>
          <t>In-person</t>
        </is>
      </c>
      <c r="Q78" s="30" t="inlineStr">
        <is>
          <t>Visit branch / contact a banker (no online application)</t>
        </is>
      </c>
      <c r="R78" s="30" t="inlineStr">
        <is>
          <t>https://www.axosbank.com</t>
        </is>
      </c>
      <c r="S78" s="30" t="inlineStr">
        <is>
          <t>https://www.axosbank.com/commercial/banking/global-treasury-management/commercial-credit-card</t>
        </is>
      </c>
      <c r="T78" s="30" t="inlineStr">
        <is>
          <t>N/M</t>
        </is>
      </c>
      <c r="U78" s="30" t="inlineStr">
        <is>
          <t>N/M</t>
        </is>
      </c>
      <c r="V78" s="30" t="inlineStr">
        <is>
          <t>N/M (no forum data; relationship product)</t>
        </is>
      </c>
      <c r="W78" s="30" t="inlineStr">
        <is>
          <t>0</t>
        </is>
      </c>
      <c r="X78" s="30" t="inlineStr">
        <is>
          <t>Financial statements + tax returns at bank discretion — NOT no-doc</t>
        </is>
      </c>
      <c r="Y78" s="30" t="inlineStr">
        <is>
          <t>None (LOC/term/ABL/SBA full-doc)</t>
        </is>
      </c>
      <c r="Z78" s="30" t="inlineStr">
        <is>
          <t>N/M</t>
        </is>
      </c>
      <c r="AA78" s="30" t="inlineStr">
        <is>
          <t>Commercial / full underwriting</t>
        </is>
      </c>
      <c r="AB78" s="30" t="inlineStr">
        <is>
          <t>Axos Visa Commercial Credit Card; Commercial Charge Card</t>
        </is>
      </c>
      <c r="AC78" s="30" t="inlineStr">
        <is>
          <t>SoCal / San Diego (digital)</t>
        </is>
      </c>
      <c r="AD78" s="30" t="inlineStr">
        <is>
          <t>San Diego</t>
        </is>
      </c>
      <c r="AE78" s="30" t="inlineStr">
        <is>
          <t>4</t>
        </is>
      </c>
      <c r="AF78" s="30" t="inlineStr">
        <is>
          <t>MED-HIGH commercial classification, $0 AF; LOW issuer, APR, HP. 2026-05-28</t>
        </is>
      </c>
      <c r="AG78" s="30" t="inlineStr">
        <is>
          <t>axosbank.com/commercial/.../commercial-credit-card + /support/faqs; nav.com Axos review</t>
        </is>
      </c>
    </row>
    <row r="79" ht="15.75" customHeight="1">
      <c r="A79" s="30" t="inlineStr">
        <is>
          <t>78</t>
        </is>
      </c>
      <c r="B79" s="30" t="inlineStr">
        <is>
          <t>76</t>
        </is>
      </c>
      <c r="C79" s="40" t="inlineStr">
        <is>
          <t>Bank of Hope</t>
        </is>
      </c>
      <c r="D79" s="43" t="inlineStr">
        <is>
          <t>CA Bank</t>
        </is>
      </c>
      <c r="E79" s="30" t="inlineStr">
        <is>
          <t>★ Core SoCal</t>
        </is>
      </c>
      <c r="F79" s="41" t="inlineStr">
        <is>
          <t>2/4  ✗SUW ✗Onl ✓SoCal ✓Card</t>
        </is>
      </c>
      <c r="G79" s="30" t="inlineStr">
        <is>
          <t>E — Elan agent</t>
        </is>
      </c>
      <c r="H79" s="30" t="inlineStr">
        <is>
          <t>Elan platform: ~$3K–$10K start, to ~$20K strong files (~$500 seen at 800+ FICO)  [myFICO #6658960]</t>
        </is>
      </c>
      <c r="I79" s="30" t="inlineStr">
        <is>
          <t>$18.65B</t>
        </is>
      </c>
      <c r="J79" s="30" t="inlineStr">
        <is>
          <t>$15.77B</t>
        </is>
      </c>
      <c r="K79" s="30" t="inlineStr">
        <is>
          <t>~24 CA branches; LA core, Orange County, Bay Area; largest Korean-American bank</t>
        </is>
      </c>
      <c r="L79" s="30" t="inlineStr">
        <is>
          <t>CA-HQ'd</t>
        </is>
      </c>
      <c r="M79" s="30" t="inlineStr">
        <is>
          <t>No</t>
        </is>
      </c>
      <c r="N79" s="30" t="inlineStr">
        <is>
          <t>✅ 0% 9 cycles → 17.74-25.74%; $0 AF; no FX fee</t>
        </is>
      </c>
      <c r="O79" s="50" t="inlineStr">
        <is>
          <t>Elan</t>
        </is>
      </c>
      <c r="P79" s="30" t="inlineStr">
        <is>
          <t>In-person</t>
        </is>
      </c>
      <c r="Q79" s="30" t="inlineStr">
        <is>
          <t>Visit branch / contact a banker (no online application)</t>
        </is>
      </c>
      <c r="R79" s="30" t="inlineStr">
        <is>
          <t>https://www.bankofhope.com</t>
        </is>
      </c>
      <c r="S79" s="30" t="inlineStr">
        <is>
          <t>https://www.bankofhope.com/business-banking/credit-cards</t>
        </is>
      </c>
      <c r="T79" s="30" t="inlineStr">
        <is>
          <t>TransUnion (varies EX/EQ)</t>
        </is>
      </c>
      <c r="U79" s="30" t="inlineStr">
        <is>
          <t>SBFE → D&amp;B; not personal in good standing</t>
        </is>
      </c>
      <c r="V79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79" s="30" t="inlineStr">
        <is>
          <t>2</t>
        </is>
      </c>
      <c r="X79" s="30" t="inlineStr">
        <is>
          <t>PG yes; no tax returns (&lt;$25K)</t>
        </is>
      </c>
      <c r="Y79" s="30" t="inlineStr">
        <is>
          <t>None (SBA Express needs 2yr tax returns)</t>
        </is>
      </c>
      <c r="Z79" s="30" t="inlineStr">
        <is>
          <t>N/M</t>
        </is>
      </c>
      <c r="AA79" s="30" t="inlineStr">
        <is>
          <t>No-doc card — apply in branch (Elan)</t>
        </is>
      </c>
      <c r="AB79" s="30" t="inlineStr">
        <is>
          <t>Business Cashback Visa; Business Rewards Visa (3pt gas/travel/dining)</t>
        </is>
      </c>
      <c r="AC79" s="30" t="inlineStr">
        <is>
          <t>SoCal / LA</t>
        </is>
      </c>
      <c r="AD79" s="30" t="inlineStr">
        <is>
          <t>Los Angeles</t>
        </is>
      </c>
      <c r="AE79" s="30" t="inlineStr">
        <is>
          <t>7</t>
        </is>
      </c>
      <c r="AF79" s="30" t="inlineStr">
        <is>
          <t>HIGH products/issuer/terms; N/M apply-online, HP. 2026-05-28</t>
        </is>
      </c>
      <c r="AG79" s="30" t="inlineStr">
        <is>
          <t>bankofhope.com/business-banking/credit-cards + agreements + Business Rewards disclosure PDF</t>
        </is>
      </c>
    </row>
    <row r="80" ht="15.75" customHeight="1">
      <c r="A80" s="30" t="inlineStr">
        <is>
          <t>79</t>
        </is>
      </c>
      <c r="B80" s="30" t="inlineStr">
        <is>
          <t>77</t>
        </is>
      </c>
      <c r="C80" s="40" t="inlineStr">
        <is>
          <t>Bank of Stockton</t>
        </is>
      </c>
      <c r="D80" s="43" t="inlineStr">
        <is>
          <t>CA Bank</t>
        </is>
      </c>
      <c r="E80" s="30" t="inlineStr">
        <is>
          <t>Other — NorCal</t>
        </is>
      </c>
      <c r="F80" s="41" t="inlineStr">
        <is>
          <t>2/4  ✗SUW ✓Onl ✗SoCal ✓Card</t>
        </is>
      </c>
      <c r="G80" s="30" t="inlineStr">
        <is>
          <t>E — Elan agent</t>
        </is>
      </c>
      <c r="H80" s="30" t="inlineStr">
        <is>
          <t>Elan platform: ~$3K–$10K start, to ~$20K strong files (~$500 seen at 800+ FICO)  [myFICO #6658960]</t>
        </is>
      </c>
      <c r="I80" s="30" t="inlineStr">
        <is>
          <t>$4.83B</t>
        </is>
      </c>
      <c r="J80" s="30" t="inlineStr">
        <is>
          <t>$3.75B</t>
        </is>
      </c>
      <c r="K80" s="30" t="inlineStr">
        <is>
          <t>20 branches/16 cities/9 counties (incl. Modesto Commerce Bank)</t>
        </is>
      </c>
      <c r="L80" s="30" t="inlineStr">
        <is>
          <t>CA-HQ'd</t>
        </is>
      </c>
      <c r="M80" s="30" t="inlineStr">
        <is>
          <t>No</t>
        </is>
      </c>
      <c r="N80" s="30" t="inlineStr">
        <is>
          <t>✅ 0% 6-12 cycles → 10.49-23.49%; $0/$50 AF</t>
        </is>
      </c>
      <c r="O80" s="50" t="inlineStr">
        <is>
          <t>Elan</t>
        </is>
      </c>
      <c r="P80" s="30" t="inlineStr">
        <is>
          <t>Online</t>
        </is>
      </c>
      <c r="Q80" s="30" t="inlineStr">
        <is>
          <t>Online — apply at https://www.mycardapply.com/synindex/?ecdma-lc=37171&amp;ecid=OTHE_25940&amp;offertype=0#business</t>
        </is>
      </c>
      <c r="R80" s="30" t="inlineStr">
        <is>
          <t>https://bankofstockton.com</t>
        </is>
      </c>
      <c r="S80" s="30" t="inlineStr">
        <is>
          <t>https://www.mycardapply.com/synindex/?ecdma-lc=37171&amp;ecid=OTHE_25940&amp;offertype=0#business</t>
        </is>
      </c>
      <c r="T80" s="30" t="inlineStr">
        <is>
          <t>TransUnion (varies EX/EQ)</t>
        </is>
      </c>
      <c r="U80" s="30" t="inlineStr">
        <is>
          <t>D&amp;B (infer); personal delinquency-only</t>
        </is>
      </c>
      <c r="V80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80" s="30" t="inlineStr">
        <is>
          <t>3</t>
        </is>
      </c>
      <c r="X80" s="30" t="inlineStr">
        <is>
          <t>PG yes; no tax returns (&lt;$25K)</t>
        </is>
      </c>
      <c r="Y80" s="30" t="inlineStr">
        <is>
          <t>None (commercial LOC/term/CRE/ag full underwriting)</t>
        </is>
      </c>
      <c r="Z80" s="30" t="inlineStr">
        <is>
          <t>No</t>
        </is>
      </c>
      <c r="AA80" s="30" t="inlineStr">
        <is>
          <t>No-doc 0% card — apply online (Elan)</t>
        </is>
      </c>
      <c r="AB80" s="30" t="inlineStr">
        <is>
          <t>Full Elan suite (Cash Preferred/Real Rewards/Smart/Zero+/Travel/Platinum)</t>
        </is>
      </c>
      <c r="AC80" s="30" t="inlineStr">
        <is>
          <t>NorCal / Sacramento-Stockton</t>
        </is>
      </c>
      <c r="AD80" s="30" t="inlineStr">
        <is>
          <t>Stockton</t>
        </is>
      </c>
      <c r="AE80" s="30" t="inlineStr">
        <is>
          <t>24</t>
        </is>
      </c>
      <c r="AF80" s="30" t="inlineStr">
        <is>
          <t>HIGH relevance/issuer/online/terms/PG; N/M HP-CA, SBFE. 2026-05-28</t>
        </is>
      </c>
      <c r="AG80" s="30" t="inlineStr">
        <is>
          <t>bankofstockton.com/business_credit_cards; mycardapply.com (37171); online1.elancard.com STD_BIZ.pdf</t>
        </is>
      </c>
    </row>
    <row r="81" ht="15.75" customHeight="1">
      <c r="A81" s="30" t="inlineStr">
        <is>
          <t>80</t>
        </is>
      </c>
      <c r="B81" s="30" t="inlineStr">
        <is>
          <t>78</t>
        </is>
      </c>
      <c r="C81" s="40" t="inlineStr">
        <is>
          <t>Bank of Marin</t>
        </is>
      </c>
      <c r="D81" s="43" t="inlineStr">
        <is>
          <t>CA Bank</t>
        </is>
      </c>
      <c r="E81" s="30" t="inlineStr">
        <is>
          <t>Other — NorCal</t>
        </is>
      </c>
      <c r="F81" s="41" t="inlineStr">
        <is>
          <t>2/4  ✗SUW ✓Onl ✗SoCal ✓Card</t>
        </is>
      </c>
      <c r="G81" s="30" t="inlineStr">
        <is>
          <t>E — Elan agent</t>
        </is>
      </c>
      <c r="H81" s="30" t="inlineStr">
        <is>
          <t>Elan: $10K–$20K (low $3K if BT requested)  [myFICO #6658960]</t>
        </is>
      </c>
      <c r="I81" s="30" t="inlineStr">
        <is>
          <t>$3.91B</t>
        </is>
      </c>
      <c r="J81" s="30" t="inlineStr">
        <is>
          <t>$3.46B</t>
        </is>
      </c>
      <c r="K81" s="30" t="inlineStr">
        <is>
          <t>CA-only; ~28 branches Marin/Sonoma/Napa/Alameda/SF/Sacramento</t>
        </is>
      </c>
      <c r="L81" s="30" t="inlineStr">
        <is>
          <t>CA-HQ'd</t>
        </is>
      </c>
      <c r="M81" s="30" t="inlineStr">
        <is>
          <t>No</t>
        </is>
      </c>
      <c r="N81" s="30" t="inlineStr">
        <is>
          <t>✅ 0% 6-12 cycles; $0/$50 AF</t>
        </is>
      </c>
      <c r="O81" s="50" t="inlineStr">
        <is>
          <t>Elan</t>
        </is>
      </c>
      <c r="P81" s="30" t="inlineStr">
        <is>
          <t>Online</t>
        </is>
      </c>
      <c r="Q81" s="30" t="inlineStr">
        <is>
          <t>Online — apply at https://www.bankofmarin.com/products-and-services/credit-cards/</t>
        </is>
      </c>
      <c r="R81" s="30" t="inlineStr">
        <is>
          <t>https://www.bankofmarin.com</t>
        </is>
      </c>
      <c r="S81" s="30" t="inlineStr">
        <is>
          <t>https://www.bankofmarin.com/products-and-services/credit-cards/</t>
        </is>
      </c>
      <c r="T81" s="30" t="inlineStr">
        <is>
          <t>TransUnion-lean in CA (DoC TU:9/EX:5/EQ:1)</t>
        </is>
      </c>
      <c r="U81" s="30" t="inlineStr">
        <is>
          <t>D&amp;B; not personal in good standing</t>
        </is>
      </c>
      <c r="V81" s="30" t="inlineStr">
        <is>
          <t>Elan: limits $10-20K (low $3K if BT requested); approved EX 693; '2 cards $10K each ~20min apart' = 2 SEPARATE TU pulls. myfico.com #6658960</t>
        </is>
      </c>
      <c r="W81" s="30" t="inlineStr">
        <is>
          <t>3</t>
        </is>
      </c>
      <c r="X81" s="30" t="inlineStr">
        <is>
          <t>PG yes; no tax returns (&lt;$25K)</t>
        </is>
      </c>
      <c r="Y81" s="30" t="inlineStr">
        <is>
          <t>'Easy Underwrite' loan $5,001-$20,000, credit-score-based (low-doc)</t>
        </is>
      </c>
      <c r="Z81" s="30" t="inlineStr">
        <is>
          <t>N/M</t>
        </is>
      </c>
      <c r="AA81" s="30" t="inlineStr">
        <is>
          <t>No-doc 0% card — apply online (Elan)</t>
        </is>
      </c>
      <c r="AB81" s="30" t="inlineStr">
        <is>
          <t>Elan business Visa (Cash, Bonus Rewards, Bonus Rewards PLUS, Platinum)</t>
        </is>
      </c>
      <c r="AC81" s="30" t="inlineStr">
        <is>
          <t>NorCal / SF (North Bay)</t>
        </is>
      </c>
      <c r="AD81" s="30" t="inlineStr">
        <is>
          <t>Novato</t>
        </is>
      </c>
      <c r="AE81" s="30" t="inlineStr">
        <is>
          <t>28</t>
        </is>
      </c>
      <c r="AF81" s="30" t="inlineStr">
        <is>
          <t>HIGH issuer/PG/no-tax/D&amp;B; MED CA bureau; N/M go-to APR. 2026-05-28</t>
        </is>
      </c>
      <c r="AG81" s="30" t="inlineStr">
        <is>
          <t>bankofmarin.com/products-and-services/credit-cards; online1.elancard.com STD_BIZ.pdf; doctorofcredit.com (CA pull split)</t>
        </is>
      </c>
    </row>
    <row r="82" ht="15.75" customHeight="1">
      <c r="A82" s="30" t="inlineStr">
        <is>
          <t>81</t>
        </is>
      </c>
      <c r="B82" s="30" t="inlineStr">
        <is>
          <t>79</t>
        </is>
      </c>
      <c r="C82" s="40" t="inlineStr">
        <is>
          <t>Bank of the Sierra</t>
        </is>
      </c>
      <c r="D82" s="43" t="inlineStr">
        <is>
          <t>CA Bank</t>
        </is>
      </c>
      <c r="E82" s="30" t="inlineStr">
        <is>
          <t>Other — Central Valley</t>
        </is>
      </c>
      <c r="F82" s="41" t="inlineStr">
        <is>
          <t>2/4  ✗SUW ✓Onl ✗SoCal ✓Card</t>
        </is>
      </c>
      <c r="G82" s="30" t="inlineStr">
        <is>
          <t>E — Elan agent</t>
        </is>
      </c>
      <c r="H82" s="30" t="inlineStr">
        <is>
          <t>Elan platform: ~$3K–$10K start, to ~$20K strong files (~$500 seen at 800+ FICO)  [myFICO #6658960]</t>
        </is>
      </c>
      <c r="I82" s="30" t="inlineStr">
        <is>
          <t>$3.75B</t>
        </is>
      </c>
      <c r="J82" s="30" t="inlineStr">
        <is>
          <t>$2.93B</t>
        </is>
      </c>
      <c r="K82" s="30" t="inlineStr">
        <is>
          <t>~35 branches/27 cities; Bakersfield, Fresno, Visalia, Tulare</t>
        </is>
      </c>
      <c r="L82" s="30" t="inlineStr">
        <is>
          <t>CA-HQ'd</t>
        </is>
      </c>
      <c r="M82" s="30" t="inlineStr">
        <is>
          <t>No</t>
        </is>
      </c>
      <c r="N82" s="30" t="inlineStr">
        <is>
          <t>✅ 0% intro; APR N/M; $0 AF; 1.5% (Real Rewards)</t>
        </is>
      </c>
      <c r="O82" s="50" t="inlineStr">
        <is>
          <t>Elan</t>
        </is>
      </c>
      <c r="P82" s="30" t="inlineStr">
        <is>
          <t>Online</t>
        </is>
      </c>
      <c r="Q82" s="30" t="inlineStr">
        <is>
          <t>Online — apply at https://www.bankofthesierra.com/business/loans-credit-cards/business-credit-cards/</t>
        </is>
      </c>
      <c r="R82" s="30" t="inlineStr">
        <is>
          <t>https://www.bankofthesierra.com</t>
        </is>
      </c>
      <c r="S82" s="30" t="inlineStr">
        <is>
          <t>https://www.bankofthesierra.com/business/loans-credit-cards/business-credit-cards/</t>
        </is>
      </c>
      <c r="T82" s="30" t="inlineStr">
        <is>
          <t>TransUnion (varies EX/EQ)</t>
        </is>
      </c>
      <c r="U82" s="30" t="inlineStr">
        <is>
          <t>Personal delinquency-only; biz N/M</t>
        </is>
      </c>
      <c r="V82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82" s="30" t="inlineStr">
        <is>
          <t>3</t>
        </is>
      </c>
      <c r="X82" s="30" t="inlineStr">
        <is>
          <t>PG yes; no tax returns (&lt;$25K)</t>
        </is>
      </c>
      <c r="Y82" s="30" t="inlineStr">
        <is>
          <t>QuickBiz LOC $5K-$30K, 100% online ~15 min, NO tax returns (deposit-tiered)</t>
        </is>
      </c>
      <c r="Z82" s="30" t="inlineStr">
        <is>
          <t>Card N/M; QuickBiz LOC requires deposit acct</t>
        </is>
      </c>
      <c r="AA82" s="30" t="inlineStr">
        <is>
          <t>QuickBiz: soft-pull no-doc LOC (Elan)</t>
        </is>
      </c>
      <c r="AB82" s="30" t="inlineStr">
        <is>
          <t>Elan: Real Rewards, Cash Preferred, Smart Business, Business Card</t>
        </is>
      </c>
      <c r="AC82" s="30" t="inlineStr">
        <is>
          <t>Central Valley / S. Sierra</t>
        </is>
      </c>
      <c r="AD82" s="30" t="inlineStr">
        <is>
          <t>Porterville</t>
        </is>
      </c>
      <c r="AE82" s="30" t="inlineStr">
        <is>
          <t>30</t>
        </is>
      </c>
      <c r="AF82" s="30" t="inlineStr">
        <is>
          <t>HIGH relevance/issuer/PG/no-tax/QuickBiz-no-doc; N/M card APR. 2026-05-28</t>
        </is>
      </c>
      <c r="AG82" s="30" t="inlineStr">
        <is>
          <t>bankofthesierra.com/.../business-credit-cards + /QuickBiz; online1.elancard.com STD_BIZ.pdf</t>
        </is>
      </c>
    </row>
    <row r="83" ht="15.75" customHeight="1">
      <c r="A83" s="30" t="inlineStr">
        <is>
          <t>82</t>
        </is>
      </c>
      <c r="B83" s="30" t="inlineStr">
        <is>
          <t>80</t>
        </is>
      </c>
      <c r="C83" s="40" t="inlineStr">
        <is>
          <t>Exchange Bank</t>
        </is>
      </c>
      <c r="D83" s="43" t="inlineStr">
        <is>
          <t>CA Bank</t>
        </is>
      </c>
      <c r="E83" s="30" t="inlineStr">
        <is>
          <t>Other — NorCal</t>
        </is>
      </c>
      <c r="F83" s="41" t="inlineStr">
        <is>
          <t>2/4  ✗SUW ✓Onl ✗SoCal ✓Card</t>
        </is>
      </c>
      <c r="G83" s="30" t="inlineStr">
        <is>
          <t>E — Elan agent</t>
        </is>
      </c>
      <c r="H83" s="30" t="inlineStr">
        <is>
          <t>Elan platform: ~$3K–$10K start, to ~$20K strong files (~$500 seen at 800+ FICO)  [myFICO #6658960]</t>
        </is>
      </c>
      <c r="I83" s="30" t="inlineStr">
        <is>
          <t>$3.27B</t>
        </is>
      </c>
      <c r="J83" s="30" t="inlineStr">
        <is>
          <t>$2.84B</t>
        </is>
      </c>
      <c r="K83" s="30" t="inlineStr">
        <is>
          <t>~19 branches; Sonoma County + Marin + Roseville</t>
        </is>
      </c>
      <c r="L83" s="30" t="inlineStr">
        <is>
          <t>CA-HQ'd</t>
        </is>
      </c>
      <c r="M83" s="30" t="inlineStr">
        <is>
          <t>No</t>
        </is>
      </c>
      <c r="N83" s="30" t="inlineStr">
        <is>
          <t>✅ 0% 12 cycles → 17.24-26.24%; $0 AF</t>
        </is>
      </c>
      <c r="O83" s="50" t="inlineStr">
        <is>
          <t>Elan</t>
        </is>
      </c>
      <c r="P83" s="30" t="inlineStr">
        <is>
          <t>Online</t>
        </is>
      </c>
      <c r="Q83" s="30" t="inlineStr">
        <is>
          <t>Online — apply at https://creditcardlearnmore.com/11t3/index?ecdma-lc=02912&amp;ecid=OTHE_25940#business</t>
        </is>
      </c>
      <c r="R83" s="30" t="inlineStr">
        <is>
          <t>https://www.exchangebank.com</t>
        </is>
      </c>
      <c r="S83" s="30" t="inlineStr">
        <is>
          <t>https://creditcardlearnmore.com/11t3/index?ecdma-lc=02912&amp;ecid=OTHE_25940#business</t>
        </is>
      </c>
      <c r="T83" s="30" t="inlineStr">
        <is>
          <t>TransUnion (varies EX/EQ)</t>
        </is>
      </c>
      <c r="U83" s="30" t="inlineStr">
        <is>
          <t>Personal delinquency-only; biz N/M</t>
        </is>
      </c>
      <c r="V83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83" s="30" t="inlineStr">
        <is>
          <t>3</t>
        </is>
      </c>
      <c r="X83" s="30" t="inlineStr">
        <is>
          <t>PG yes; no tax returns (&lt;$25K)</t>
        </is>
      </c>
      <c r="Y83" s="30" t="inlineStr">
        <is>
          <t>None (term/LOC/CRE/SBA full-doc)</t>
        </is>
      </c>
      <c r="Z83" s="30" t="inlineStr">
        <is>
          <t>N/M</t>
        </is>
      </c>
      <c r="AA83" s="30" t="inlineStr">
        <is>
          <t>No-doc 0% card — apply online (Elan)</t>
        </is>
      </c>
      <c r="AB83" s="30" t="inlineStr">
        <is>
          <t>Business Cash Preferred, Smart Business Rewards, Business Real Rewards</t>
        </is>
      </c>
      <c r="AC83" s="30" t="inlineStr">
        <is>
          <t>NorCal / SF (Sonoma)</t>
        </is>
      </c>
      <c r="AD83" s="30" t="inlineStr">
        <is>
          <t>Santa Rosa</t>
        </is>
      </c>
      <c r="AE83" s="30" t="inlineStr">
        <is>
          <t>33</t>
        </is>
      </c>
      <c r="AF83" s="30" t="inlineStr">
        <is>
          <t>HIGH issuer/products/terms/online; MED HP/PG. 2026-05-28</t>
        </is>
      </c>
      <c r="AG83" s="30" t="inlineStr">
        <is>
          <t>exchangebank.com/business/credit-cards; creditcardlearnmore.com (02912)</t>
        </is>
      </c>
    </row>
    <row r="84" ht="15.75" customHeight="1">
      <c r="A84" s="30" t="inlineStr">
        <is>
          <t>83</t>
        </is>
      </c>
      <c r="B84" s="30" t="inlineStr">
        <is>
          <t>81</t>
        </is>
      </c>
      <c r="C84" s="40" t="inlineStr">
        <is>
          <t>Plumas Bank</t>
        </is>
      </c>
      <c r="D84" s="43" t="inlineStr">
        <is>
          <t>CA Bank</t>
        </is>
      </c>
      <c r="E84" s="30" t="inlineStr">
        <is>
          <t>Other — NorCal</t>
        </is>
      </c>
      <c r="F84" s="41" t="inlineStr">
        <is>
          <t>1/4  ✗SUW ✗Onl ✗SoCal ✓Card</t>
        </is>
      </c>
      <c r="G84" s="30" t="inlineStr">
        <is>
          <t>C — Other agent card</t>
        </is>
      </c>
      <c r="H84" s="30" t="inlineStr">
        <is>
          <t>N/M (TIB; financials typically required $10K+)</t>
        </is>
      </c>
      <c r="I84" s="30" t="inlineStr">
        <is>
          <t>$2.20B</t>
        </is>
      </c>
      <c r="J84" s="30" t="inlineStr">
        <is>
          <t>$1.78B</t>
        </is>
      </c>
      <c r="K84" s="30" t="inlineStr">
        <is>
          <t>~19 branches NE California + N Nevada (post-2025 Cornerstone merger)</t>
        </is>
      </c>
      <c r="L84" s="30" t="inlineStr">
        <is>
          <t>CA-HQ'd</t>
        </is>
      </c>
      <c r="M84" s="30" t="inlineStr">
        <is>
          <t>No</t>
        </is>
      </c>
      <c r="N84" s="30" t="inlineStr">
        <is>
          <t>✅ no 0%; 19.49% (Prime+10.99%, cap 21%); $0/$49 AF</t>
        </is>
      </c>
      <c r="O84" s="45" t="inlineStr">
        <is>
          <t>TIB</t>
        </is>
      </c>
      <c r="P84" s="30" t="inlineStr">
        <is>
          <t>In-person</t>
        </is>
      </c>
      <c r="Q84" s="30" t="inlineStr">
        <is>
          <t>Visit branch / contact a banker (no online application)</t>
        </is>
      </c>
      <c r="R84" s="30" t="inlineStr">
        <is>
          <t>https://www.plumasbank.com</t>
        </is>
      </c>
      <c r="S84" s="30" t="inlineStr">
        <is>
          <t>https://www.plumasbank.com/business-banking/business-card-services</t>
        </is>
      </c>
      <c r="T84" s="30" t="inlineStr">
        <is>
          <t>Personal HP on guarantor; bureau not named</t>
        </is>
      </c>
      <c r="U84" s="30" t="inlineStr">
        <is>
          <t>N/M (reports personal + business; bureaus unnamed)</t>
        </is>
      </c>
      <c r="V84" s="30" t="inlineStr">
        <is>
          <t>N/M (no Plumas/TIB-card forum DPs)</t>
        </is>
      </c>
      <c r="W84" s="30" t="inlineStr">
        <is>
          <t>0</t>
        </is>
      </c>
      <c r="X84" s="30" t="inlineStr">
        <is>
          <t>PG YES + Personal Tax Return required (most entities) — NOT no-doc</t>
        </is>
      </c>
      <c r="Y84" s="30" t="inlineStr">
        <is>
          <t>None (LOC/working capital/SBA PLP/CRE documentation-based)</t>
        </is>
      </c>
      <c r="Z84" s="30" t="inlineStr">
        <is>
          <t>N/M</t>
        </is>
      </c>
      <c r="AA84" s="30" t="inlineStr">
        <is>
          <t>Full-doc — requires tax returns</t>
        </is>
      </c>
      <c r="AB84" s="30" t="inlineStr">
        <is>
          <t>Business Card-Standard ($0 AF); Business Card-Preferred Points ($49 AF)</t>
        </is>
      </c>
      <c r="AC84" s="30" t="inlineStr">
        <is>
          <t>NorCal / Sacramento (NE California)</t>
        </is>
      </c>
      <c r="AD84" s="30" t="inlineStr">
        <is>
          <t>Quincy</t>
        </is>
      </c>
      <c r="AE84" s="30" t="inlineStr">
        <is>
          <t>40</t>
        </is>
      </c>
      <c r="AF84" s="30" t="inlineStr">
        <is>
          <t>HIGH products/issuer (TIB)/terms/PG+tax-returns. NOTE: tax returns required = NOT no-doc. 2026-05-28</t>
        </is>
      </c>
      <c r="AG84" s="30" t="inlineStr">
        <is>
          <t>plumasbank.com/business-banking/business-card-services; card-application-2024-01-business.pdf</t>
        </is>
      </c>
    </row>
    <row r="85" ht="15.75" customHeight="1">
      <c r="A85" s="30" t="inlineStr">
        <is>
          <t>84</t>
        </is>
      </c>
      <c r="B85" s="30" t="inlineStr">
        <is>
          <t>82</t>
        </is>
      </c>
      <c r="C85" s="40" t="inlineStr">
        <is>
          <t>SMBC MANUBANK</t>
        </is>
      </c>
      <c r="D85" s="43" t="inlineStr">
        <is>
          <t>CA Bank</t>
        </is>
      </c>
      <c r="E85" s="30" t="inlineStr">
        <is>
          <t>★ Core SoCal</t>
        </is>
      </c>
      <c r="F85" s="41" t="inlineStr">
        <is>
          <t>2/4  ✗SUW ✗Onl ✓SoCal ✓Card</t>
        </is>
      </c>
      <c r="G85" s="30" t="inlineStr">
        <is>
          <t>E — Elan agent</t>
        </is>
      </c>
      <c r="H85" s="30" t="inlineStr">
        <is>
          <t>Elan platform: ~$3K–$10K start, to ~$20K strong files (~$500 seen at 800+ FICO)  [myFICO #6658960]</t>
        </is>
      </c>
      <c r="I85" s="30" t="inlineStr">
        <is>
          <t>$7.73B</t>
        </is>
      </c>
      <c r="J85" s="30" t="inlineStr">
        <is>
          <t>$6.73B</t>
        </is>
      </c>
      <c r="K85" s="30" t="inlineStr">
        <is>
          <t>CA-only; 8-9 offices LA + San Jose; commercial unit -&gt; Bank of Hope 2H-2026</t>
        </is>
      </c>
      <c r="L85" s="30" t="inlineStr">
        <is>
          <t>CA-HQ'd</t>
        </is>
      </c>
      <c r="M85" s="30" t="inlineStr">
        <is>
          <t>No</t>
        </is>
      </c>
      <c r="N85" s="30" t="inlineStr">
        <is>
          <t>✅ 0% 18 mo → 17.24-26.24%; $0 AF (being acquired by Bank of Hope)</t>
        </is>
      </c>
      <c r="O85" s="50" t="inlineStr">
        <is>
          <t>Elan</t>
        </is>
      </c>
      <c r="P85" s="30" t="inlineStr">
        <is>
          <t>In-person</t>
        </is>
      </c>
      <c r="Q85" s="30" t="inlineStr">
        <is>
          <t>Visit branch / contact a banker (no online application)</t>
        </is>
      </c>
      <c r="R85" s="30" t="inlineStr">
        <is>
          <t>https://www.smbcmanubank.com</t>
        </is>
      </c>
      <c r="S85" s="30" t="inlineStr">
        <is>
          <t>https://www.smbcmanubank.com/business-and-commercial/borrow/business-lending/business-credit-cards</t>
        </is>
      </c>
      <c r="T85" s="30" t="inlineStr">
        <is>
          <t>Experian most-reported (Elan; varies)</t>
        </is>
      </c>
      <c r="U85" s="30" t="inlineStr">
        <is>
          <t>D&amp;B + SBFE; personal on default</t>
        </is>
      </c>
      <c r="V85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85" s="30" t="inlineStr">
        <is>
          <t>2</t>
        </is>
      </c>
      <c r="X85" s="30" t="inlineStr">
        <is>
          <t>PG yes; no tax returns (&lt;$25K)</t>
        </is>
      </c>
      <c r="Y85" s="30" t="inlineStr">
        <is>
          <t>None (term/LOC/SBA/CRE/ABL full-doc)</t>
        </is>
      </c>
      <c r="Z85" s="30" t="inlineStr">
        <is>
          <t>N/M</t>
        </is>
      </c>
      <c r="AA85" s="30" t="inlineStr">
        <is>
          <t>0% 18 mo (note: being acquired) (Elan)</t>
        </is>
      </c>
      <c r="AB85" s="30" t="inlineStr">
        <is>
          <t>SMBC Visa Business; Visa Business Real Rewards (1.5X); Smart Business Rewards (2X)</t>
        </is>
      </c>
      <c r="AC85" s="30" t="inlineStr">
        <is>
          <t>SoCal / LA</t>
        </is>
      </c>
      <c r="AD85" s="30" t="inlineStr">
        <is>
          <t>Los Angeles</t>
        </is>
      </c>
      <c r="AE85" s="30" t="inlineStr">
        <is>
          <t>15</t>
        </is>
      </c>
      <c r="AF85" s="30" t="inlineStr">
        <is>
          <t>MED-HIGH issuer/PG; APR via secondary source; apply-link N/M. 2026-05-28</t>
        </is>
      </c>
      <c r="AG85" s="30" t="inlineStr">
        <is>
          <t>smbcmanubank.com business-credit-cards; card.myaccountaccess.com (Elan disclosure); supermoney.com</t>
        </is>
      </c>
    </row>
    <row r="86" ht="15.75" customHeight="1">
      <c r="A86" s="30" t="inlineStr">
        <is>
          <t>85</t>
        </is>
      </c>
      <c r="C86" s="47" t="inlineStr">
        <is>
          <t>Five Star Bank</t>
        </is>
      </c>
      <c r="D86" s="43" t="inlineStr">
        <is>
          <t>CA Bank</t>
        </is>
      </c>
      <c r="E86" s="30" t="inlineStr">
        <is>
          <t>Other — NorCal</t>
        </is>
      </c>
      <c r="F86" s="48" t="inlineStr">
        <is>
          <t>0/4  ✗SUW ✗Onl ✗SoCal ✗Card</t>
        </is>
      </c>
      <c r="G86" s="30" t="inlineStr">
        <is>
          <t>Commercial-only</t>
        </is>
      </c>
      <c r="H86" s="30" t="inlineStr">
        <is>
          <t>—</t>
        </is>
      </c>
      <c r="I86" s="30" t="inlineStr">
        <is>
          <t>$5.03B</t>
        </is>
      </c>
      <c r="J86" s="30" t="inlineStr">
        <is>
          <t>$4.48B</t>
        </is>
      </c>
      <c r="K86" s="30" t="inlineStr">
        <is>
          <t>CA-only NorCal; ~10 offices (Five Star Bancorp)</t>
        </is>
      </c>
      <c r="L86" s="30" t="inlineStr">
        <is>
          <t>CA-HQ'd</t>
        </is>
      </c>
      <c r="M86" s="30" t="inlineStr">
        <is>
          <t>Partial (CorServ self-issue)</t>
        </is>
      </c>
      <c r="N86" s="30" t="inlineStr">
        <is>
          <t>⚠️ Commercial — CorServ Mastercard; terms N/M; no public apply</t>
        </is>
      </c>
      <c r="O86" s="44" t="inlineStr">
        <is>
          <t>Self (CorServ platform)</t>
        </is>
      </c>
      <c r="P86" s="30" t="inlineStr">
        <is>
          <t>In-person</t>
        </is>
      </c>
      <c r="Q86" s="30" t="inlineStr">
        <is>
          <t>Visit branch / contact a banker (no online application)</t>
        </is>
      </c>
      <c r="R86" s="30" t="inlineStr">
        <is>
          <t>https://www.fivestarbank.com</t>
        </is>
      </c>
      <c r="S86" s="30" t="inlineStr">
        <is>
          <t>https://www.fivestarbank.com/credit-cards</t>
        </is>
      </c>
      <c r="T86" s="30" t="inlineStr">
        <is>
          <t>N/M</t>
        </is>
      </c>
      <c r="U86" s="30" t="inlineStr">
        <is>
          <t>N/M</t>
        </is>
      </c>
      <c r="V86" s="30" t="inlineStr">
        <is>
          <t>N/M (no forum data)</t>
        </is>
      </c>
      <c r="W86" s="30" t="inlineStr">
        <is>
          <t>0</t>
        </is>
      </c>
      <c r="X86" s="30" t="inlineStr">
        <is>
          <t>PG likely; docs likely (commercial)</t>
        </is>
      </c>
      <c r="Y86" s="30" t="inlineStr">
        <is>
          <t>None advertised (LOC/term/SBA/CRE, full-doc)</t>
        </is>
      </c>
      <c r="Z86" s="30" t="inlineStr">
        <is>
          <t>Likely Yes (relationship)</t>
        </is>
      </c>
      <c r="AA86" s="30" t="inlineStr">
        <is>
          <t>Commercial / full underwriting</t>
        </is>
      </c>
      <c r="AB86" s="30" t="inlineStr">
        <is>
          <t>CorServ business/corporate Mastercards (Platinum/Rewards/World/Corporate/Purchasing)</t>
        </is>
      </c>
      <c r="AC86" s="30" t="inlineStr">
        <is>
          <t>NorCal / Sacramento</t>
        </is>
      </c>
      <c r="AD86" s="30" t="inlineStr">
        <is>
          <t>Roseville</t>
        </is>
      </c>
      <c r="AE86" s="30" t="inlineStr">
        <is>
          <t>23</t>
        </is>
      </c>
      <c r="AF86" s="30" t="inlineStr">
        <is>
          <t>MED-HIGH commercial-only/platform; N/M terms, apply, HP, reports. Not NY Five Star (Elan). 2026-05-28</t>
        </is>
      </c>
      <c r="AG86" s="30" t="inlineStr">
        <is>
          <t>fivestarbank.com/credit-cards + business-lending; corservsolutions.com</t>
        </is>
      </c>
    </row>
    <row r="87" ht="15.75" customHeight="1">
      <c r="A87" s="30" t="inlineStr">
        <is>
          <t>86</t>
        </is>
      </c>
      <c r="B87" s="30" t="inlineStr">
        <is>
          <t>83</t>
        </is>
      </c>
      <c r="C87" s="40" t="inlineStr">
        <is>
          <t>First Northern Bank of Dixon</t>
        </is>
      </c>
      <c r="D87" s="43" t="inlineStr">
        <is>
          <t>CA Bank</t>
        </is>
      </c>
      <c r="E87" s="30" t="inlineStr">
        <is>
          <t>Other — NorCal</t>
        </is>
      </c>
      <c r="F87" s="41" t="inlineStr">
        <is>
          <t>2/4  ✗SUW ✓Onl ✗SoCal ✓Card</t>
        </is>
      </c>
      <c r="G87" s="30" t="inlineStr">
        <is>
          <t>E — Elan agent</t>
        </is>
      </c>
      <c r="H87" s="30" t="inlineStr">
        <is>
          <t>Elan platform: ~$3K–$10K start, to ~$20K strong files (~$500 seen at 800+ FICO)  [myFICO #6658960]</t>
        </is>
      </c>
      <c r="I87" s="30" t="inlineStr">
        <is>
          <t>$1.92B</t>
        </is>
      </c>
      <c r="J87" s="30" t="inlineStr">
        <is>
          <t>$1.70B</t>
        </is>
      </c>
      <c r="K87" s="30" t="inlineStr">
        <is>
          <t>14 branches Sacramento Valley/Solano-Yolo + Gold Country</t>
        </is>
      </c>
      <c r="L87" s="30" t="inlineStr">
        <is>
          <t>CA-HQ'd</t>
        </is>
      </c>
      <c r="M87" s="30" t="inlineStr">
        <is>
          <t>No</t>
        </is>
      </c>
      <c r="N87" s="30" t="inlineStr">
        <is>
          <t>✅ 0% 12 cycles → 17.24-26.24%; $0 AF</t>
        </is>
      </c>
      <c r="O87" s="50" t="inlineStr">
        <is>
          <t>Elan</t>
        </is>
      </c>
      <c r="P87" s="30" t="inlineStr">
        <is>
          <t>Online</t>
        </is>
      </c>
      <c r="Q87" s="30" t="inlineStr">
        <is>
          <t>Online — apply at https://creditcardlearnmore.com/11t3/index?ecdma-lc=22292&amp;ecid=OTHE_25940</t>
        </is>
      </c>
      <c r="R87" s="30" t="inlineStr">
        <is>
          <t>https://www.thatsmybank.com</t>
        </is>
      </c>
      <c r="S87" s="30" t="inlineStr">
        <is>
          <t>https://creditcardlearnmore.com/11t3/index?ecdma-lc=22292&amp;ecid=OTHE_25940</t>
        </is>
      </c>
      <c r="T87" s="30" t="inlineStr">
        <is>
          <t>Personal; varies TU/EX/EQ</t>
        </is>
      </c>
      <c r="U87" s="30" t="inlineStr">
        <is>
          <t>D&amp;B; not personal in normal use</t>
        </is>
      </c>
      <c r="V87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FN cold-apps approved; stated income/revenue.</t>
        </is>
      </c>
      <c r="W87" s="30" t="inlineStr">
        <is>
          <t>3</t>
        </is>
      </c>
      <c r="X87" s="30" t="inlineStr">
        <is>
          <t>PG yes; stated income, no tax returns</t>
        </is>
      </c>
      <c r="Y87" s="30" t="inlineStr">
        <is>
          <t>'Lightning Loans' $2,500-$50,000, online minutes, 'no paperwork', self-underwritten</t>
        </is>
      </c>
      <c r="Z87" s="30" t="inlineStr">
        <is>
          <t>No (cold-apps documented)</t>
        </is>
      </c>
      <c r="AA87" s="30" t="inlineStr">
        <is>
          <t>Lightning Loans: no-paperwork LOC (Elan)</t>
        </is>
      </c>
      <c r="AB87" s="30" t="inlineStr">
        <is>
          <t>Business Cash Preferred, Smart Business Rewards, Business Real Rewards</t>
        </is>
      </c>
      <c r="AC87" s="30" t="inlineStr">
        <is>
          <t>NorCal / Sacramento</t>
        </is>
      </c>
      <c r="AD87" s="30" t="inlineStr">
        <is>
          <t>Dixon</t>
        </is>
      </c>
      <c r="AE87" s="30" t="inlineStr">
        <is>
          <t>45</t>
        </is>
      </c>
      <c r="AF87" s="30" t="inlineStr">
        <is>
          <t>HIGH issuer/products/terms/online/PG/no-tax/Lightning-Loans-no-doc. 2026-05-28</t>
        </is>
      </c>
      <c r="AG87" s="30" t="inlineStr">
        <is>
          <t>thatsmybank.com/business/business-credit-cards + /lightning-loans; creditcardlearnmore.com (22292)</t>
        </is>
      </c>
    </row>
    <row r="88" ht="15.75" customHeight="1">
      <c r="A88" s="30" t="inlineStr">
        <is>
          <t>87</t>
        </is>
      </c>
      <c r="C88" s="47" t="inlineStr">
        <is>
          <t>Avidbank</t>
        </is>
      </c>
      <c r="D88" s="43" t="inlineStr">
        <is>
          <t>CA Bank</t>
        </is>
      </c>
      <c r="E88" s="30" t="inlineStr">
        <is>
          <t>Other — NorCal</t>
        </is>
      </c>
      <c r="F88" s="48" t="inlineStr">
        <is>
          <t>0/4  ✗SUW ✗Onl ✗SoCal ✗Card</t>
        </is>
      </c>
      <c r="G88" s="30" t="inlineStr">
        <is>
          <t>Commercial-only</t>
        </is>
      </c>
      <c r="H88" s="30" t="inlineStr">
        <is>
          <t>—</t>
        </is>
      </c>
      <c r="I88" s="30" t="inlineStr">
        <is>
          <t>$2.57B</t>
        </is>
      </c>
      <c r="J88" s="30" t="inlineStr">
        <is>
          <t>$2.20B</t>
        </is>
      </c>
      <c r="K88" s="30" t="inlineStr">
        <is>
          <t>CA-only; San Jose HQ, Palo Alto, Redwood City, SF (LPOs)</t>
        </is>
      </c>
      <c r="L88" s="30" t="inlineStr">
        <is>
          <t>CA-HQ'd</t>
        </is>
      </c>
      <c r="M88" s="30" t="inlineStr">
        <is>
          <t>Partial (CorServ self-issue)</t>
        </is>
      </c>
      <c r="N88" s="30" t="inlineStr">
        <is>
          <t>⚠️ Commercial — CorServ (May 2024); custom rebates; relationship only</t>
        </is>
      </c>
      <c r="O88" s="44" t="inlineStr">
        <is>
          <t>Self (CorServ Account Issuer)</t>
        </is>
      </c>
      <c r="P88" s="30" t="inlineStr">
        <is>
          <t>In-person</t>
        </is>
      </c>
      <c r="Q88" s="30" t="inlineStr">
        <is>
          <t>Visit branch / contact a banker (no online application)</t>
        </is>
      </c>
      <c r="R88" s="30" t="inlineStr">
        <is>
          <t>https://www.avidbank.com</t>
        </is>
      </c>
      <c r="S88" s="30" t="inlineStr">
        <is>
          <t>https://www.avidbank.com/corporate-banking</t>
        </is>
      </c>
      <c r="T88" s="30" t="inlineStr">
        <is>
          <t>N/M</t>
        </is>
      </c>
      <c r="U88" s="30" t="inlineStr">
        <is>
          <t>N/M</t>
        </is>
      </c>
      <c r="V88" s="30" t="inlineStr">
        <is>
          <t>N/M (no forum data; 'Avidia Bank' MA is a different entity)</t>
        </is>
      </c>
      <c r="W88" s="30" t="inlineStr">
        <is>
          <t>0</t>
        </is>
      </c>
      <c r="X88" s="30" t="inlineStr">
        <is>
          <t>N/M (commercial-card underwriting)</t>
        </is>
      </c>
      <c r="Y88" s="30" t="inlineStr">
        <is>
          <t>None (C&amp;I, venture debt, ABL, fund finance — full underwriting)</t>
        </is>
      </c>
      <c r="Z88" s="30" t="inlineStr">
        <is>
          <t>Yes (commercial customers)</t>
        </is>
      </c>
      <c r="AA88" s="30" t="inlineStr">
        <is>
          <t>Commercial / full underwriting</t>
        </is>
      </c>
      <c r="AB88" s="30" t="inlineStr">
        <is>
          <t>Corporate &amp; Business Credit Card + virtual cards</t>
        </is>
      </c>
      <c r="AC88" s="30" t="inlineStr">
        <is>
          <t>NorCal / Silicon Valley</t>
        </is>
      </c>
      <c r="AD88" s="30" t="inlineStr">
        <is>
          <t>San Jose</t>
        </is>
      </c>
      <c r="AE88" s="30" t="inlineStr">
        <is>
          <t>38</t>
        </is>
      </c>
      <c r="AF88" s="30" t="inlineStr">
        <is>
          <t>MED-HIGH commercial-only/self-CorServ; N/M card specifics, HP, reports. 2026-05-28</t>
        </is>
      </c>
      <c r="AG88" s="30" t="inlineStr">
        <is>
          <t>corservsolutions.com (Avidbank); pymnts.com; avidbank.com corporate/lending</t>
        </is>
      </c>
    </row>
    <row r="89" ht="15.75" customHeight="1">
      <c r="A89" s="30" t="inlineStr">
        <is>
          <t>88</t>
        </is>
      </c>
      <c r="B89" s="30" t="inlineStr">
        <is>
          <t>84</t>
        </is>
      </c>
      <c r="C89" s="40" t="inlineStr">
        <is>
          <t>Farmers &amp; Merchants Bank of Central California</t>
        </is>
      </c>
      <c r="D89" s="43" t="inlineStr">
        <is>
          <t>CA Bank</t>
        </is>
      </c>
      <c r="E89" s="30" t="inlineStr">
        <is>
          <t>Other — NorCal</t>
        </is>
      </c>
      <c r="F89" s="41" t="inlineStr">
        <is>
          <t>1/4  ✗SUW ✗Onl ✗SoCal ✓Card</t>
        </is>
      </c>
      <c r="G89" s="30" t="inlineStr">
        <is>
          <t>C — Other agent card</t>
        </is>
      </c>
      <c r="H89" s="30" t="inlineStr">
        <is>
          <t>N/M (no bank-specific data point found)</t>
        </is>
      </c>
      <c r="I89" s="30" t="inlineStr">
        <is>
          <t>$5.84B</t>
        </is>
      </c>
      <c r="J89" s="30" t="inlineStr">
        <is>
          <t>$5.12B</t>
        </is>
      </c>
      <c r="K89" s="30" t="inlineStr">
        <is>
          <t>29 CA branches Central Valley + East Bay (Lodi, Stockton, Sacramento, Modesto, Oakland)</t>
        </is>
      </c>
      <c r="L89" s="30" t="inlineStr">
        <is>
          <t>CA-HQ'd</t>
        </is>
      </c>
      <c r="M89" s="30" t="inlineStr">
        <is>
          <t>No</t>
        </is>
      </c>
      <c r="N89" s="30" t="inlineStr">
        <is>
          <t>✅ no 0%; APR N/M; Simply Rewards 3X</t>
        </is>
      </c>
      <c r="O89" s="52" t="inlineStr">
        <is>
          <t>UMB Bank, N.A. (Card Center Direct)</t>
        </is>
      </c>
      <c r="P89" s="30" t="inlineStr">
        <is>
          <t>In-person</t>
        </is>
      </c>
      <c r="Q89" s="30" t="inlineStr">
        <is>
          <t>Visit branch / contact a banker (no online application)</t>
        </is>
      </c>
      <c r="R89" s="30" t="inlineStr">
        <is>
          <t>https://www.fmbonline.com</t>
        </is>
      </c>
      <c r="S89" s="30" t="inlineStr">
        <is>
          <t>https://www.fmbonline.com/loans/credit-cards/business-credit-cards.html</t>
        </is>
      </c>
      <c r="T89" s="30" t="inlineStr">
        <is>
          <t>N/M (UMB not on DoC list)</t>
        </is>
      </c>
      <c r="U89" s="30" t="inlineStr">
        <is>
          <t>N/M</t>
        </is>
      </c>
      <c r="V89" s="30" t="inlineStr">
        <is>
          <t>N/M (no forum data; search collides w/ same-name banks)</t>
        </is>
      </c>
      <c r="W89" s="30" t="inlineStr">
        <is>
          <t>2</t>
        </is>
      </c>
      <c r="X89" s="30" t="inlineStr">
        <is>
          <t>PG likely (UMB standard); tax returns N/M</t>
        </is>
      </c>
      <c r="Y89" s="30" t="inlineStr">
        <is>
          <t>None (term/LOC/equipment/CRE/ag/SBA full-doc)</t>
        </is>
      </c>
      <c r="Z89" s="30" t="inlineStr">
        <is>
          <t>N/M</t>
        </is>
      </c>
      <c r="AA89" s="30" t="inlineStr">
        <is>
          <t>No-doc card — apply in branch</t>
        </is>
      </c>
      <c r="AB89" s="30" t="inlineStr">
        <is>
          <t>Business Visa Signature (&gt;=$5K); Business Visa Platinum (&lt;$5K); Simply Rewards</t>
        </is>
      </c>
      <c r="AC89" s="30" t="inlineStr">
        <is>
          <t>NorCal / Sacramento-Stockton</t>
        </is>
      </c>
      <c r="AD89" s="30" t="inlineStr">
        <is>
          <t>Lodi</t>
        </is>
      </c>
      <c r="AE89" s="30" t="inlineStr">
        <is>
          <t>20</t>
        </is>
      </c>
      <c r="AF89" s="30" t="inlineStr">
        <is>
          <t>HIGH products/issuer (UMB)/footprint; LOW/N-M terms, HP, reports. Not fmb.com/fandm.bank (Elan). 2026-05-28</t>
        </is>
      </c>
      <c r="AG89" s="30" t="inlineStr">
        <is>
          <t>fmbonline.com/loans/credit-cards/business-credit-cards; cardcenterdirect.com + umb.com</t>
        </is>
      </c>
    </row>
    <row r="90" ht="15.75" customHeight="1">
      <c r="A90" s="30" t="inlineStr">
        <is>
          <t>89</t>
        </is>
      </c>
      <c r="B90" s="30" t="inlineStr">
        <is>
          <t>85</t>
        </is>
      </c>
      <c r="C90" s="40" t="inlineStr">
        <is>
          <t>Redwood Capital Bank</t>
        </is>
      </c>
      <c r="D90" s="43" t="inlineStr">
        <is>
          <t>CA Bank</t>
        </is>
      </c>
      <c r="E90" s="30" t="inlineStr">
        <is>
          <t>Other — NorCal</t>
        </is>
      </c>
      <c r="F90" s="41" t="inlineStr">
        <is>
          <t>1/4  ✗SUW ✗Onl ✗SoCal ✓Card</t>
        </is>
      </c>
      <c r="G90" s="30" t="inlineStr">
        <is>
          <t>C — Other agent card</t>
        </is>
      </c>
      <c r="H90" s="30" t="inlineStr">
        <is>
          <t>N/M (TIB; financials typically required $10K+)</t>
        </is>
      </c>
      <c r="I90" s="30" t="inlineStr">
        <is>
          <t>$0.54B</t>
        </is>
      </c>
      <c r="J90" s="30" t="inlineStr">
        <is>
          <t>N/M</t>
        </is>
      </c>
      <c r="K90" s="30" t="inlineStr">
        <is>
          <t>~4 branches all Humboldt County (Eureka, Arcata, Fortuna); CA-only; SBA Preferred Lender</t>
        </is>
      </c>
      <c r="L90" s="30" t="inlineStr">
        <is>
          <t>CA-HQ'd</t>
        </is>
      </c>
      <c r="M90" s="30" t="inlineStr">
        <is>
          <t>No</t>
        </is>
      </c>
      <c r="N90" s="30" t="inlineStr">
        <is>
          <t>✅ no 0%; var APR capped at 21%; $0/$49 AF; 1pt/$1 to 10K/mo (Preferred)</t>
        </is>
      </c>
      <c r="O90" s="45" t="inlineStr">
        <is>
          <t>TIB</t>
        </is>
      </c>
      <c r="P90" s="30" t="inlineStr">
        <is>
          <t>In-person</t>
        </is>
      </c>
      <c r="Q90" s="30" t="inlineStr">
        <is>
          <t>PDF application → fax 877-809-9162 or mail (TIB Card Service Center, Dallas); or via online banking if member</t>
        </is>
      </c>
      <c r="R90" s="30" t="inlineStr">
        <is>
          <t>https://www.redwoodcapitalbank.com</t>
        </is>
      </c>
      <c r="S90" s="30" t="inlineStr">
        <is>
          <t>https://www.redwoodcapitalbank.com/business/business-credit-cards</t>
        </is>
      </c>
      <c r="T90" s="30" t="inlineStr">
        <is>
          <t>N/M (TIB; personal pull on guarantor)</t>
        </is>
      </c>
      <c r="U90" s="30" t="inlineStr">
        <is>
          <t>N/M (TIB)</t>
        </is>
      </c>
      <c r="V90" s="30" t="inlineStr">
        <is>
          <t>TIB program (Card Service Center PO Box 569120 Dallas + 800-367-7576 = TIB fingerprint). 25-day grace; 3% CA/BT; 2% FX. No bank DPs.</t>
        </is>
      </c>
      <c r="W90" s="30" t="inlineStr">
        <is>
          <t>2</t>
        </is>
      </c>
      <c r="X90" s="30" t="inlineStr">
        <is>
          <t>PG likely (TIB standard); docs N/M</t>
        </is>
      </c>
      <c r="Y90" s="30" t="inlineStr">
        <is>
          <t>None (SBA 7(a)/504/LOC/term/equipment full-doc)</t>
        </is>
      </c>
      <c r="Z90" s="30" t="inlineStr">
        <is>
          <t>N/M</t>
        </is>
      </c>
      <c r="AA90" s="30" t="inlineStr">
        <is>
          <t>No-doc card — apply in branch</t>
        </is>
      </c>
      <c r="AB90" s="30" t="inlineStr">
        <is>
          <t>Standard Card (MC + Visa, $0 AF); Preferred Points Rewards (MC + Visa, $49 AF)</t>
        </is>
      </c>
      <c r="AC90" s="30" t="inlineStr">
        <is>
          <t>NorCal / North Coast (Humboldt)</t>
        </is>
      </c>
      <c r="AD90" s="30" t="inlineStr">
        <is>
          <t>Eureka</t>
        </is>
      </c>
      <c r="AE90" s="30" t="inlineStr">
        <is>
          <t>78</t>
        </is>
      </c>
      <c r="AF90" s="30" t="inlineStr">
        <is>
          <t>HIGH issuer=TIB (PO Box + phone fingerprint)/products/terms (APR cap 21%); no online apply; N/M HP, reports. 2026-05-29</t>
        </is>
      </c>
      <c r="AG90" s="30" t="inlineStr">
        <is>
          <t>redwoodcapitalbank.com/business/business-credit-cards; bbb.org (PO Box 569120=TIB); FDIC cert 57610</t>
        </is>
      </c>
    </row>
    <row r="91" ht="15.75" customHeight="1">
      <c r="A91" s="30" t="inlineStr">
        <is>
          <t>90</t>
        </is>
      </c>
      <c r="B91" s="30" t="inlineStr">
        <is>
          <t>86</t>
        </is>
      </c>
      <c r="C91" s="40" t="inlineStr">
        <is>
          <t>Summit Bank (Oakland)</t>
        </is>
      </c>
      <c r="D91" s="43" t="inlineStr">
        <is>
          <t>CA Bank</t>
        </is>
      </c>
      <c r="E91" s="30" t="inlineStr">
        <is>
          <t>Other — NorCal</t>
        </is>
      </c>
      <c r="F91" s="41" t="inlineStr">
        <is>
          <t>1/4  ✗SUW ✗Onl ✗SoCal ✓Card</t>
        </is>
      </c>
      <c r="G91" s="30" t="inlineStr">
        <is>
          <t>C — Other agent card</t>
        </is>
      </c>
      <c r="H91" s="30" t="inlineStr">
        <is>
          <t>N/M (TIB; financials typically required $10K+)</t>
        </is>
      </c>
      <c r="I91" s="30" t="inlineStr">
        <is>
          <t>$0.27B</t>
        </is>
      </c>
      <c r="J91" s="30" t="inlineStr">
        <is>
          <t>N/M</t>
        </is>
      </c>
      <c r="K91" s="30" t="inlineStr">
        <is>
          <t>~3 CA branches (Oakland HQ + East Bay); est 1982. NOT Summit State Bank (Santa Rosa)</t>
        </is>
      </c>
      <c r="L91" s="30" t="inlineStr">
        <is>
          <t>CA-HQ'd</t>
        </is>
      </c>
      <c r="M91" s="30" t="inlineStr">
        <is>
          <t>No</t>
        </is>
      </c>
      <c r="N91" s="30" t="inlineStr">
        <is>
          <t>✅ no 0%; 16.49% var (Prime+10.99%, cap 21%); $0/$49 AF; 1pt/$1 to 10K/mo (Preferred). FULL-DOC: financials required</t>
        </is>
      </c>
      <c r="O91" s="45" t="inlineStr">
        <is>
          <t>TIB</t>
        </is>
      </c>
      <c r="P91" s="30" t="inlineStr">
        <is>
          <t>In-person</t>
        </is>
      </c>
      <c r="Q91" s="30" t="inlineStr">
        <is>
          <t>PDF application → fax 877-809-9162 / email banksupport@tib.bank / branch (TIB)</t>
        </is>
      </c>
      <c r="R91" s="30" t="inlineStr">
        <is>
          <t>https://www.summitbanking.com</t>
        </is>
      </c>
      <c r="S91" s="30" t="inlineStr">
        <is>
          <t>https://www.summitbanking.com/business/loans/credit-cards/</t>
        </is>
      </c>
      <c r="T91" s="30" t="inlineStr">
        <is>
          <t>N/M (TIB; consumer+commercial pull on guarantor)</t>
        </is>
      </c>
      <c r="U91" s="30" t="inlineStr">
        <is>
          <t>N/M (TIB)</t>
        </is>
      </c>
      <c r="V91" s="30" t="inlineStr">
        <is>
          <t>TIB ('issuer and administrator is TIB... performable in Dallas County, TX'). PG joint &amp; several. NOTE: terms dated 2019, verify.</t>
        </is>
      </c>
      <c r="W91" s="30" t="inlineStr">
        <is>
          <t>2</t>
        </is>
      </c>
      <c r="X91" s="30" t="inlineStr">
        <is>
          <t>PG YES (joint &amp; several) + YEAR-END FINANCIAL STATEMENTS required (balance sheet + income stmt) — NOT no-doc</t>
        </is>
      </c>
      <c r="Y91" s="30" t="inlineStr">
        <is>
          <t>None (card is full-doc; commercial loans/CDARS relationship-based)</t>
        </is>
      </c>
      <c r="Z91" s="30" t="inlineStr">
        <is>
          <t>N/M</t>
        </is>
      </c>
      <c r="AA91" s="30" t="inlineStr">
        <is>
          <t>No-doc card — apply in branch</t>
        </is>
      </c>
      <c r="AB91" s="30" t="inlineStr">
        <is>
          <t>Standard Card ($0 AF); Preferred Points Card ($49 AF) — Mastercard (Visa on request), TIB</t>
        </is>
      </c>
      <c r="AC91" s="30" t="inlineStr">
        <is>
          <t>NorCal / SF-East Bay</t>
        </is>
      </c>
      <c r="AD91" s="30" t="inlineStr">
        <is>
          <t>Oakland</t>
        </is>
      </c>
      <c r="AE91" s="30" t="inlineStr">
        <is>
          <t>97</t>
        </is>
      </c>
      <c r="AF91" s="30" t="inlineStr">
        <is>
          <t>HIGH issuer=TIB (PDF verbatim)/terms (APR cap 21%)/full-doc (financials+PG = NOT no-doc); no online apply. 2026-05-29</t>
        </is>
      </c>
      <c r="AG91" s="30" t="inlineStr">
        <is>
          <t>summitbanking.com/business/loans/credit-cards + Business-Credit-Card-Application PDF (TIB issuer, PG, financials); FDIC cert 23864</t>
        </is>
      </c>
    </row>
    <row r="92" ht="15.75" customHeight="1">
      <c r="A92" s="30" t="inlineStr">
        <is>
          <t>91</t>
        </is>
      </c>
      <c r="C92" s="47" t="inlineStr">
        <is>
          <t>American Business Bank</t>
        </is>
      </c>
      <c r="D92" s="43" t="inlineStr">
        <is>
          <t>CA Bank</t>
        </is>
      </c>
      <c r="E92" s="30" t="inlineStr">
        <is>
          <t>★ Core SoCal</t>
        </is>
      </c>
      <c r="F92" s="48" t="inlineStr">
        <is>
          <t>1/4  ✗SUW ✗Onl ✓SoCal ✗Card</t>
        </is>
      </c>
      <c r="G92" s="30" t="inlineStr">
        <is>
          <t>Commercial-only</t>
        </is>
      </c>
      <c r="H92" s="30" t="inlineStr">
        <is>
          <t>—</t>
        </is>
      </c>
      <c r="I92" s="30" t="inlineStr">
        <is>
          <t>$4.37B</t>
        </is>
      </c>
      <c r="J92" s="30" t="inlineStr">
        <is>
          <t>$3.90B</t>
        </is>
      </c>
      <c r="K92" s="30" t="inlineStr">
        <is>
          <t>LA HQ + 9 LPOs (Woodland Hills, Torrance, Long Beach, Irvine, Anaheim, Ontario, Corona, Riverside, San Diego)</t>
        </is>
      </c>
      <c r="L92" s="30" t="inlineStr">
        <is>
          <t>CA-HQ'd</t>
        </is>
      </c>
      <c r="M92" s="30" t="inlineStr">
        <is>
          <t>Unknown</t>
        </is>
      </c>
      <c r="N92" s="30" t="inlineStr">
        <is>
          <t>⚠️ Commercial — 'Corporate Cards'; issuer/terms N/M</t>
        </is>
      </c>
      <c r="O92" s="51" t="inlineStr">
        <is>
          <t>Unknown (not disclosed)</t>
        </is>
      </c>
      <c r="P92" s="30" t="inlineStr">
        <is>
          <t>In-person</t>
        </is>
      </c>
      <c r="Q92" s="30" t="inlineStr">
        <is>
          <t>Visit branch / contact a banker (no online application)</t>
        </is>
      </c>
      <c r="R92" s="30" t="inlineStr">
        <is>
          <t>https://americanbb.bank</t>
        </is>
      </c>
      <c r="S92" s="30" t="inlineStr">
        <is>
          <t>https://americanbb.bank/services/relationship-banking/credit-services/</t>
        </is>
      </c>
      <c r="T92" s="30" t="inlineStr">
        <is>
          <t>N/M</t>
        </is>
      </c>
      <c r="U92" s="30" t="inlineStr">
        <is>
          <t>N/M</t>
        </is>
      </c>
      <c r="V92" s="30" t="inlineStr">
        <is>
          <t>N/M (no forum data; relationship product)</t>
        </is>
      </c>
      <c r="W92" s="30" t="inlineStr">
        <is>
          <t>0</t>
        </is>
      </c>
      <c r="X92" s="30" t="inlineStr">
        <is>
          <t>PG likely; 2yr tax returns for loans (3rd-party review)</t>
        </is>
      </c>
      <c r="Y92" s="30" t="inlineStr">
        <is>
          <t>ABL (AR/inventory/equipment) asset-based — lighter on income docs but NOT stated no-doc</t>
        </is>
      </c>
      <c r="Z92" s="30" t="inlineStr">
        <is>
          <t>Likely Yes (relationship bank)</t>
        </is>
      </c>
      <c r="AA92" s="30" t="inlineStr">
        <is>
          <t>Commercial / full underwriting</t>
        </is>
      </c>
      <c r="AB92" s="30" t="inlineStr">
        <is>
          <t>'Corporate Credit Cards' (generic; no name/terms)</t>
        </is>
      </c>
      <c r="AC92" s="30" t="inlineStr">
        <is>
          <t>SoCal / LA</t>
        </is>
      </c>
      <c r="AD92" s="30" t="inlineStr">
        <is>
          <t>Los Angeles</t>
        </is>
      </c>
      <c r="AE92" s="30" t="inlineStr">
        <is>
          <t>25</t>
        </is>
      </c>
      <c r="AF92" s="30" t="inlineStr">
        <is>
          <t>HIGH commercial-only/no-online; N/M issuer, terms, HP. 2026-05-28</t>
        </is>
      </c>
      <c r="AG92" s="30" t="inlineStr">
        <is>
          <t>americanbb.bank/services/relationship-banking/credit-services; usbanklocations.com</t>
        </is>
      </c>
    </row>
    <row r="93" ht="15.75" customHeight="1">
      <c r="A93" s="30" t="inlineStr">
        <is>
          <t>92</t>
        </is>
      </c>
      <c r="B93" s="30" t="inlineStr">
        <is>
          <t>87</t>
        </is>
      </c>
      <c r="C93" s="40" t="inlineStr">
        <is>
          <t>United Business Bank</t>
        </is>
      </c>
      <c r="D93" s="43" t="inlineStr">
        <is>
          <t>CA Bank</t>
        </is>
      </c>
      <c r="E93" s="30" t="inlineStr">
        <is>
          <t>Other — NorCal</t>
        </is>
      </c>
      <c r="F93" s="41" t="inlineStr">
        <is>
          <t>1/4  ✗SUW ✗Onl ✗SoCal ✓Card</t>
        </is>
      </c>
      <c r="G93" s="30" t="inlineStr">
        <is>
          <t>C — Other agent card</t>
        </is>
      </c>
      <c r="H93" s="30" t="inlineStr">
        <is>
          <t>N/M (no bank-specific data point found)</t>
        </is>
      </c>
      <c r="I93" s="30" t="inlineStr">
        <is>
          <t>$2.63B</t>
        </is>
      </c>
      <c r="J93" s="30" t="inlineStr">
        <is>
          <t>$2.27B</t>
        </is>
      </c>
      <c r="K93" s="30" t="inlineStr">
        <is>
          <t>Walnut Creek HQ; San Jose, Stockton, Pleasanton + CO/NV/NM/WA (BayCom Corp)</t>
        </is>
      </c>
      <c r="L93" s="30" t="inlineStr">
        <is>
          <t>CA-HQ'd</t>
        </is>
      </c>
      <c r="M93" s="30" t="inlineStr">
        <is>
          <t>Unknown</t>
        </is>
      </c>
      <c r="N93" s="30" t="inlineStr">
        <is>
          <t>✅ card exists; issuer/terms unknown; Request-Info only</t>
        </is>
      </c>
      <c r="O93" s="51" t="inlineStr">
        <is>
          <t>Unknown (not named; no portal links)</t>
        </is>
      </c>
      <c r="P93" s="30" t="inlineStr">
        <is>
          <t>In-person</t>
        </is>
      </c>
      <c r="Q93" s="30" t="inlineStr">
        <is>
          <t>Visit branch / contact a banker (no online application)</t>
        </is>
      </c>
      <c r="R93" s="30" t="inlineStr">
        <is>
          <t>https://www.unitedbusinessbank.com</t>
        </is>
      </c>
      <c r="S93" s="30" t="inlineStr">
        <is>
          <t>https://www.unitedbusinessbank.com/loans-credit/business-credit/business-credit-cards.html</t>
        </is>
      </c>
      <c r="T93" s="30" t="inlineStr">
        <is>
          <t>N/M</t>
        </is>
      </c>
      <c r="U93" s="30" t="inlineStr">
        <is>
          <t>N/M</t>
        </is>
      </c>
      <c r="V93" s="30" t="inlineStr">
        <is>
          <t>N/M (no forum data)</t>
        </is>
      </c>
      <c r="W93" s="30" t="inlineStr">
        <is>
          <t>2</t>
        </is>
      </c>
      <c r="X93" s="30" t="inlineStr">
        <is>
          <t>N/M ('subject to credit approval')</t>
        </is>
      </c>
      <c r="Y93" s="30" t="inlineStr">
        <is>
          <t>None (LOC/ABL/term/equipment/CRE/SBA Express full-doc)</t>
        </is>
      </c>
      <c r="Z93" s="30" t="inlineStr">
        <is>
          <t>N/M</t>
        </is>
      </c>
      <c r="AA93" s="30" t="inlineStr">
        <is>
          <t>No-doc card — apply in branch</t>
        </is>
      </c>
      <c r="AB93" s="30" t="inlineStr">
        <is>
          <t>'Business Credit Cards' (generic; no brand named)</t>
        </is>
      </c>
      <c r="AC93" s="30" t="inlineStr">
        <is>
          <t>NorCal / SF-East Bay</t>
        </is>
      </c>
      <c r="AD93" s="30" t="inlineStr">
        <is>
          <t>Walnut Creek</t>
        </is>
      </c>
      <c r="AE93" s="30" t="inlineStr">
        <is>
          <t>37</t>
        </is>
      </c>
      <c r="AF93" s="30" t="inlineStr">
        <is>
          <t>MED-HIGH negatives (no issuer named, no online app, no terms). Not 'United Bankers Bank' (ubb.bank). 2026-05-28</t>
        </is>
      </c>
      <c r="AG93" s="30" t="inlineStr">
        <is>
          <t>unitedbusinessbank.com/loans-credit/business-credit/business-credit-cards; dfpi.ca.gov</t>
        </is>
      </c>
    </row>
    <row r="94" ht="15.75" customHeight="1">
      <c r="A94" s="30" t="inlineStr">
        <is>
          <t>93</t>
        </is>
      </c>
      <c r="B94" s="30" t="inlineStr">
        <is>
          <t>88</t>
        </is>
      </c>
      <c r="C94" s="40" t="inlineStr">
        <is>
          <t>American Riviera Bank</t>
        </is>
      </c>
      <c r="D94" s="43" t="inlineStr">
        <is>
          <t>CA Bank</t>
        </is>
      </c>
      <c r="E94" s="30" t="inlineStr">
        <is>
          <t>Other — Central Coast</t>
        </is>
      </c>
      <c r="F94" s="41" t="inlineStr">
        <is>
          <t>2/4  ✗SUW ✓Onl ✗SoCal ✓Card</t>
        </is>
      </c>
      <c r="G94" s="30" t="inlineStr">
        <is>
          <t>E — Elan agent</t>
        </is>
      </c>
      <c r="H94" s="30" t="inlineStr">
        <is>
          <t>Elan platform: ~$3K–$10K start, to ~$20K strong files (~$500 seen at 800+ FICO)  [myFICO #6658960]</t>
        </is>
      </c>
      <c r="I94" s="30" t="inlineStr">
        <is>
          <t>$1.42B</t>
        </is>
      </c>
      <c r="J94" s="30" t="inlineStr">
        <is>
          <t>$1.27B</t>
        </is>
      </c>
      <c r="K94" s="30" t="inlineStr">
        <is>
          <t>Santa Barbara + SLO counties (Santa Barbara, Montecito, Goleta, Santa Maria, SLO, Paso Robles)</t>
        </is>
      </c>
      <c r="L94" s="30" t="inlineStr">
        <is>
          <t>CA-HQ'd</t>
        </is>
      </c>
      <c r="M94" s="30" t="inlineStr">
        <is>
          <t>No</t>
        </is>
      </c>
      <c r="N94" s="30" t="inlineStr">
        <is>
          <t>✅ Elan biz cards; terms N/M; apply online</t>
        </is>
      </c>
      <c r="O94" s="50" t="inlineStr">
        <is>
          <t>Elan</t>
        </is>
      </c>
      <c r="P94" s="30" t="inlineStr">
        <is>
          <t>Online</t>
        </is>
      </c>
      <c r="Q94" s="30" t="inlineStr">
        <is>
          <t>Online — apply at https://creditcard.arb.bank/choose</t>
        </is>
      </c>
      <c r="R94" s="30" t="inlineStr">
        <is>
          <t>https://americanriviera.bank</t>
        </is>
      </c>
      <c r="S94" s="30" t="inlineStr">
        <is>
          <t>https://creditcard.arb.bank/choose</t>
        </is>
      </c>
      <c r="T94" s="30" t="inlineStr">
        <is>
          <t>TransUnion (Elan; varies)</t>
        </is>
      </c>
      <c r="U94" s="30" t="inlineStr">
        <is>
          <t>Personal default-only; D&amp;B weak/unconfirmed</t>
        </is>
      </c>
      <c r="V94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94" s="30" t="inlineStr">
        <is>
          <t>3</t>
        </is>
      </c>
      <c r="X94" s="30" t="inlineStr">
        <is>
          <t>PG yes; no tax returns (&lt;$25K)</t>
        </is>
      </c>
      <c r="Y94" s="30" t="inlineStr">
        <is>
          <t>None (commercial LOC/ag/construction/SBA underwritten)</t>
        </is>
      </c>
      <c r="Z94" s="30" t="inlineStr">
        <is>
          <t>No</t>
        </is>
      </c>
      <c r="AA94" s="30" t="inlineStr">
        <is>
          <t>No-doc card — apply online (Elan)</t>
        </is>
      </c>
      <c r="AB94" s="30" t="inlineStr">
        <is>
          <t>Elan business cards (names not on site)</t>
        </is>
      </c>
      <c r="AC94" s="30" t="inlineStr">
        <is>
          <t>Central Coast</t>
        </is>
      </c>
      <c r="AD94" s="30" t="inlineStr">
        <is>
          <t>Santa Barbara</t>
        </is>
      </c>
      <c r="AE94" s="30" t="inlineStr">
        <is>
          <t>50</t>
        </is>
      </c>
      <c r="AF94" s="30" t="inlineStr">
        <is>
          <t>MED-HIGH issuer/online/Elan behavior; N/M card names, terms. 2026-05-28</t>
        </is>
      </c>
      <c r="AG94" s="30" t="inlineStr">
        <is>
          <t>americanriviera.bank/product/business-credit-cards; creditcard.arb.bank/choose</t>
        </is>
      </c>
    </row>
    <row r="95" ht="15.75" customHeight="1">
      <c r="A95" s="30" t="inlineStr">
        <is>
          <t>94</t>
        </is>
      </c>
      <c r="B95" s="30" t="inlineStr">
        <is>
          <t>89</t>
        </is>
      </c>
      <c r="C95" s="40" t="inlineStr">
        <is>
          <t>Savings Bank of Mendocino County</t>
        </is>
      </c>
      <c r="D95" s="43" t="inlineStr">
        <is>
          <t>CA Bank</t>
        </is>
      </c>
      <c r="E95" s="30" t="inlineStr">
        <is>
          <t>Other — NorCal</t>
        </is>
      </c>
      <c r="F95" s="41" t="inlineStr">
        <is>
          <t>2/4  ✗SUW ✓Onl ✗SoCal ✓Card</t>
        </is>
      </c>
      <c r="G95" s="30" t="inlineStr">
        <is>
          <t>E — Elan agent</t>
        </is>
      </c>
      <c r="H95" s="30" t="inlineStr">
        <is>
          <t>Elan platform: ~$3K–$10K start, to ~$20K strong files (~$500 seen at 800+ FICO)  [myFICO #6658960]</t>
        </is>
      </c>
      <c r="I95" s="30" t="inlineStr">
        <is>
          <t>$1.29B</t>
        </is>
      </c>
      <c r="J95" s="30" t="inlineStr">
        <is>
          <t>N/M</t>
        </is>
      </c>
      <c r="K95" s="30" t="inlineStr">
        <is>
          <t>CA-only; Mendocino/Lake/Sonoma county branches</t>
        </is>
      </c>
      <c r="L95" s="30" t="inlineStr">
        <is>
          <t>CA-HQ'd</t>
        </is>
      </c>
      <c r="M95" s="30" t="inlineStr">
        <is>
          <t>No</t>
        </is>
      </c>
      <c r="N95" s="30" t="inlineStr">
        <is>
          <t>✅ Elan biz cards (low rate / cash back / rewards buckets); terms N/M</t>
        </is>
      </c>
      <c r="O95" s="50" t="inlineStr">
        <is>
          <t>Elan</t>
        </is>
      </c>
      <c r="P95" s="30" t="inlineStr">
        <is>
          <t>Online</t>
        </is>
      </c>
      <c r="Q95" s="30" t="inlineStr">
        <is>
          <t>Online — apply at https://www.savingsbank.com/business/bank-cards/</t>
        </is>
      </c>
      <c r="R95" s="30" t="inlineStr">
        <is>
          <t>https://www.savingsbank.com</t>
        </is>
      </c>
      <c r="S95" s="30" t="inlineStr">
        <is>
          <t>https://www.savingsbank.com/business/bank-cards/</t>
        </is>
      </c>
      <c r="T95" s="30" t="inlineStr">
        <is>
          <t>TransUnion (varies EX/EQ)</t>
        </is>
      </c>
      <c r="U95" s="30" t="inlineStr">
        <is>
          <t>D&amp;B; not personal in good standing</t>
        </is>
      </c>
      <c r="V95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95" s="30" t="inlineStr">
        <is>
          <t>3</t>
        </is>
      </c>
      <c r="X95" s="30" t="inlineStr">
        <is>
          <t>PG yes; no tax returns (&lt;$25K)</t>
        </is>
      </c>
      <c r="Y95" s="30" t="inlineStr">
        <is>
          <t>None (commercial/SBA full-doc)</t>
        </is>
      </c>
      <c r="Z95" s="30" t="inlineStr">
        <is>
          <t>N/M</t>
        </is>
      </c>
      <c r="AA95" s="30" t="inlineStr">
        <is>
          <t>No-doc card — apply online (Elan)</t>
        </is>
      </c>
      <c r="AB95" s="30" t="inlineStr">
        <is>
          <t>Elan business suite (Cash Preferred / Real Rewards / Smart / Zero+; names not enumerated)</t>
        </is>
      </c>
      <c r="AC95" s="30" t="inlineStr">
        <is>
          <t>NorCal / North Coast (Mendocino)</t>
        </is>
      </c>
      <c r="AD95" s="30" t="inlineStr">
        <is>
          <t>Ukiah</t>
        </is>
      </c>
      <c r="AE95" s="30" t="inlineStr">
        <is>
          <t>54</t>
        </is>
      </c>
      <c r="AF95" s="30" t="inlineStr">
        <is>
          <t>HIGH issuer=Elan (own footer disclosure)/online; N/M terms, HP. 2026-05-29</t>
        </is>
      </c>
      <c r="AG95" s="30" t="inlineStr">
        <is>
          <t>savingsbank.com/business/bank-cards (Elan creditor disclosure); dfpi.ca.gov; elanfinancialservices.com</t>
        </is>
      </c>
    </row>
    <row r="96" ht="15.75" customHeight="1">
      <c r="A96" s="30" t="inlineStr">
        <is>
          <t>95</t>
        </is>
      </c>
      <c r="B96" s="30" t="inlineStr">
        <is>
          <t>90</t>
        </is>
      </c>
      <c r="C96" s="40" t="inlineStr">
        <is>
          <t>River Valley Community Bank</t>
        </is>
      </c>
      <c r="D96" s="43" t="inlineStr">
        <is>
          <t>CA Bank</t>
        </is>
      </c>
      <c r="E96" s="30" t="inlineStr">
        <is>
          <t>Other — NorCal</t>
        </is>
      </c>
      <c r="F96" s="41" t="inlineStr">
        <is>
          <t>2/4  ✗SUW ✓Onl ✗SoCal ✓Card</t>
        </is>
      </c>
      <c r="G96" s="30" t="inlineStr">
        <is>
          <t>E — Elan agent</t>
        </is>
      </c>
      <c r="H96" s="30" t="inlineStr">
        <is>
          <t>Elan platform: ~$3K–$10K start, to ~$20K strong files (~$500 seen at 800+ FICO)  [myFICO #6658960]</t>
        </is>
      </c>
      <c r="I96" s="30" t="inlineStr">
        <is>
          <t>$0.76B</t>
        </is>
      </c>
      <c r="J96" s="30" t="inlineStr">
        <is>
          <t>$0.67B</t>
        </is>
      </c>
      <c r="K96" s="30" t="inlineStr">
        <is>
          <t>CA-only; Yuba City, Marysville, Grass Valley, Auburn; est 2006</t>
        </is>
      </c>
      <c r="L96" s="30" t="inlineStr">
        <is>
          <t>CA-HQ'd</t>
        </is>
      </c>
      <c r="M96" s="30" t="inlineStr">
        <is>
          <t>No</t>
        </is>
      </c>
      <c r="N96" s="30" t="inlineStr">
        <is>
          <t>✅ Elan biz Visa (low rate / cash back / rewards); terms N/M</t>
        </is>
      </c>
      <c r="O96" s="50" t="inlineStr">
        <is>
          <t>Elan</t>
        </is>
      </c>
      <c r="P96" s="30" t="inlineStr">
        <is>
          <t>Online</t>
        </is>
      </c>
      <c r="Q96" s="30" t="inlineStr">
        <is>
          <t>Online — apply at https://www.mycardapply.com/synindex/?ecdma-lc=33345&amp;ecid=OTHE_25940&amp;offertype=0</t>
        </is>
      </c>
      <c r="R96" s="30" t="inlineStr">
        <is>
          <t>https://www.myrvcb.com</t>
        </is>
      </c>
      <c r="S96" s="30" t="inlineStr">
        <is>
          <t>https://www.mycardapply.com/synindex/?ecdma-lc=33345&amp;ecid=OTHE_25940&amp;offertype=0</t>
        </is>
      </c>
      <c r="T96" s="30" t="inlineStr">
        <is>
          <t>TransUnion (varies EX/EQ)</t>
        </is>
      </c>
      <c r="U96" s="30" t="inlineStr">
        <is>
          <t>D&amp;B; not personal in good standing</t>
        </is>
      </c>
      <c r="V96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96" s="30" t="inlineStr">
        <is>
          <t>3</t>
        </is>
      </c>
      <c r="X96" s="30" t="inlineStr">
        <is>
          <t>PG yes; no tax returns (&lt;$25K)</t>
        </is>
      </c>
      <c r="Y96" s="30" t="inlineStr">
        <is>
          <t>None (commercial/SBA 504/ag/construction/HELOC full-doc)</t>
        </is>
      </c>
      <c r="Z96" s="30" t="inlineStr">
        <is>
          <t>N/M</t>
        </is>
      </c>
      <c r="AA96" s="30" t="inlineStr">
        <is>
          <t>No-doc card — apply online (Elan)</t>
        </is>
      </c>
      <c r="AB96" s="30" t="inlineStr">
        <is>
          <t>Elan business Visa (Cash Preferred / Real Rewards / Platinum; names not enumerated)</t>
        </is>
      </c>
      <c r="AC96" s="30" t="inlineStr">
        <is>
          <t>NorCal / Sacramento (Sacramento Valley)</t>
        </is>
      </c>
      <c r="AD96" s="30" t="inlineStr">
        <is>
          <t>Yuba City</t>
        </is>
      </c>
      <c r="AE96" s="30" t="inlineStr">
        <is>
          <t>73</t>
        </is>
      </c>
      <c r="AF96" s="30" t="inlineStr">
        <is>
          <t>HIGH issuer=Elan (own footer disclosure)/online/lc=33345; N/M terms, HP, reports. 2026-05-29</t>
        </is>
      </c>
      <c r="AG96" s="30" t="inlineStr">
        <is>
          <t>myrvcb.com/business/business-credit-cards-debit (Elan disclosure); mycardapply.com (33345); FDIC cert 58276</t>
        </is>
      </c>
    </row>
    <row r="97" ht="15.75" customHeight="1">
      <c r="A97" s="30" t="inlineStr">
        <is>
          <t>96</t>
        </is>
      </c>
      <c r="B97" s="30" t="inlineStr">
        <is>
          <t>91</t>
        </is>
      </c>
      <c r="C97" s="40" t="inlineStr">
        <is>
          <t>California Bank of Commerce, N.A.</t>
        </is>
      </c>
      <c r="D97" s="43" t="inlineStr">
        <is>
          <t>CA Bank</t>
        </is>
      </c>
      <c r="E97" s="30" t="inlineStr">
        <is>
          <t>★ Core SoCal</t>
        </is>
      </c>
      <c r="F97" s="41" t="inlineStr">
        <is>
          <t>2/4  ✗SUW ✗Onl ✓SoCal ✓Card</t>
        </is>
      </c>
      <c r="G97" s="30" t="inlineStr">
        <is>
          <t>E — Elan agent</t>
        </is>
      </c>
      <c r="H97" s="30" t="inlineStr">
        <is>
          <t>Elan DP: $4K (D&amp;B 80, no relationship)  [myFICO #6478775]</t>
        </is>
      </c>
      <c r="I97" s="30" t="inlineStr">
        <is>
          <t>$4.05B</t>
        </is>
      </c>
      <c r="J97" s="30" t="inlineStr">
        <is>
          <t>$3.40B</t>
        </is>
      </c>
      <c r="K97" s="30" t="inlineStr">
        <is>
          <t>18 CA locations statewide (Southern Cal Bancorp + California Bancorp 2024)</t>
        </is>
      </c>
      <c r="L97" s="30" t="inlineStr">
        <is>
          <t>CA-HQ'd</t>
        </is>
      </c>
      <c r="M97" s="30" t="inlineStr">
        <is>
          <t>No</t>
        </is>
      </c>
      <c r="N97" s="30" t="inlineStr">
        <is>
          <t>✅ Elan biz cards; intro/APR N/M; no public apply page</t>
        </is>
      </c>
      <c r="O97" s="50" t="inlineStr">
        <is>
          <t>Elan</t>
        </is>
      </c>
      <c r="P97" s="30" t="inlineStr">
        <is>
          <t>In-person</t>
        </is>
      </c>
      <c r="Q97" s="30" t="inlineStr">
        <is>
          <t>Visit branch / contact a banker (no online application)</t>
        </is>
      </c>
      <c r="R97" s="30" t="inlineStr">
        <is>
          <t>https://www.californiabankofcommerce.com</t>
        </is>
      </c>
      <c r="S97" s="30" t="inlineStr">
        <is>
          <t>https://www.californiabankofcommerce.com/business-financing-solutions/</t>
        </is>
      </c>
      <c r="T97" s="30" t="inlineStr">
        <is>
          <t>TransUnion (forum 'Elan = HP TU-9')</t>
        </is>
      </c>
      <c r="U97" s="30" t="inlineStr">
        <is>
          <t>D&amp;B; personal delinquency-only</t>
        </is>
      </c>
      <c r="V97" s="30" t="inlineStr">
        <is>
          <t>Elan DP: Smart Business Rewards $4K, D&amp;B 80/EX-Biz 82, TU pull, no relationship (2022). myfico.com #6478775</t>
        </is>
      </c>
      <c r="W97" s="30" t="inlineStr">
        <is>
          <t>2</t>
        </is>
      </c>
      <c r="X97" s="30" t="inlineStr">
        <is>
          <t>PG yes; no tax returns (&lt;$25K)</t>
        </is>
      </c>
      <c r="Y97" s="30" t="inlineStr">
        <is>
          <t>None (LOC/term/CRE/SBA underwritten)</t>
        </is>
      </c>
      <c r="Z97" s="30" t="inlineStr">
        <is>
          <t>No (forum-corroborated)</t>
        </is>
      </c>
      <c r="AA97" s="30" t="inlineStr">
        <is>
          <t>No-doc card — apply in branch (Elan)</t>
        </is>
      </c>
      <c r="AB97" s="30" t="inlineStr">
        <is>
          <t>Elan business suite (names N/M on site); separate commercialcardportal.com</t>
        </is>
      </c>
      <c r="AC97" s="30" t="inlineStr">
        <is>
          <t>SoCal / San Diego</t>
        </is>
      </c>
      <c r="AD97" s="30" t="inlineStr">
        <is>
          <t>San Diego</t>
        </is>
      </c>
      <c r="AE97" s="30" t="inlineStr">
        <is>
          <t>27</t>
        </is>
      </c>
      <c r="AF97" s="30" t="inlineStr">
        <is>
          <t>HIGH issuer (Elan via portal)/PG/HP=TU/D&amp;B; N/M card name, apply URL. 2026-05-28</t>
        </is>
      </c>
      <c r="AG97" s="30" t="inlineStr">
        <is>
          <t>californiabankofcommerce.com/online-banking-logins (theme=elan1, loc=28679); myfico.com #6478775</t>
        </is>
      </c>
    </row>
    <row r="98" ht="15.75" customHeight="1">
      <c r="A98" s="30" t="inlineStr">
        <is>
          <t>97</t>
        </is>
      </c>
      <c r="B98" s="30" t="inlineStr">
        <is>
          <t>92</t>
        </is>
      </c>
      <c r="C98" s="40" t="inlineStr">
        <is>
          <t>Pinnacle Bank (Gilroy, CA)</t>
        </is>
      </c>
      <c r="D98" s="36" t="inlineStr">
        <is>
          <t>Regional</t>
        </is>
      </c>
      <c r="E98" s="30" t="inlineStr">
        <is>
          <t>Other — NorCal</t>
        </is>
      </c>
      <c r="F98" s="41" t="inlineStr">
        <is>
          <t>1/4  ✗SUW ✗Onl ✗SoCal ✓Card</t>
        </is>
      </c>
      <c r="G98" s="30" t="inlineStr">
        <is>
          <t>C — Other agent card</t>
        </is>
      </c>
      <c r="H98" s="30" t="inlineStr">
        <is>
          <t>N/M (TIB; financials typically required $10K+)</t>
        </is>
      </c>
      <c r="I98" s="30" t="inlineStr">
        <is>
          <t>~$0.95B</t>
        </is>
      </c>
      <c r="J98" s="30" t="inlineStr">
        <is>
          <t>—</t>
        </is>
      </c>
      <c r="K98" s="30" t="inlineStr">
        <is>
          <t>HQ Gilroy (Santa Clara/South Bay); 4 branches (Gilroy, Morgan Hill, Salinas, Campbell)</t>
        </is>
      </c>
      <c r="L98" s="30" t="inlineStr">
        <is>
          <t>N/M</t>
        </is>
      </c>
      <c r="M98" s="30" t="inlineStr">
        <is>
          <t>No</t>
        </is>
      </c>
      <c r="N98" s="30" t="inlineStr">
        <is>
          <t>✅ Mastercard business (Platinum / Rewards / World); terms N/M; apply in-branch</t>
        </is>
      </c>
      <c r="O98" s="45" t="inlineStr">
        <is>
          <t>TIB (The Independent BankersBank)</t>
        </is>
      </c>
      <c r="P98" s="30" t="inlineStr">
        <is>
          <t>In-person</t>
        </is>
      </c>
      <c r="Q98" s="30" t="inlineStr">
        <is>
          <t>Branch / contact (TIB; no online app)</t>
        </is>
      </c>
      <c r="R98" s="30" t="inlineStr">
        <is>
          <t>https://pinnacle.bank</t>
        </is>
      </c>
      <c r="S98" s="30" t="inlineStr">
        <is>
          <t>https://pinnacle.bank/business/financing.php/1000</t>
        </is>
      </c>
      <c r="T98" s="30" t="inlineStr">
        <is>
          <t>N/M (TIB typically Experian)</t>
        </is>
      </c>
      <c r="U98" s="30" t="inlineStr">
        <is>
          <t>N/M</t>
        </is>
      </c>
      <c r="V98" s="30" t="inlineStr">
        <is>
          <t>No online application; branch/contact only. (CA Pinnacle, NOT Pinnacle Financial Partners TN.)</t>
        </is>
      </c>
      <c r="W98" s="30" t="inlineStr">
        <is>
          <t>2</t>
        </is>
      </c>
      <c r="X98" s="30" t="inlineStr">
        <is>
          <t>PG likely (TIB standard); N/M</t>
        </is>
      </c>
      <c r="Y98" s="30" t="inlineStr">
        <is>
          <t>None (SBA Preferred + ABL full-doc)</t>
        </is>
      </c>
      <c r="Z98" s="30" t="inlineStr">
        <is>
          <t>N/M (relationship likely)</t>
        </is>
      </c>
      <c r="AA98" s="30" t="inlineStr">
        <is>
          <t>No-doc card — apply in branch</t>
        </is>
      </c>
      <c r="AB98" s="30" t="inlineStr">
        <is>
          <t>Mastercard Small Business Platinum / Rewards / World (via TIB)</t>
        </is>
      </c>
      <c r="AC98" s="30" t="inlineStr">
        <is>
          <t>NorCal / Silicon Valley (Gilroy, South Bay)</t>
        </is>
      </c>
      <c r="AD98" s="30" t="inlineStr">
        <is>
          <t>Gilroy, CA</t>
        </is>
      </c>
      <c r="AE98" s="30" t="inlineStr">
        <is>
          <t>Reg</t>
        </is>
      </c>
      <c r="AF98" s="30" t="inlineStr">
        <is>
          <t>HIGH issuer=TIB/relevance/footprint; apply N (branch); N/M terms, HP. 2026-05-28</t>
        </is>
      </c>
      <c r="AG98" s="30" t="inlineStr">
        <is>
          <t>pinnacle.bank/business/financing (TIB issuer disclosure); FDIC cert 58297; wallethub.com</t>
        </is>
      </c>
    </row>
    <row r="99" ht="15.75" customHeight="1">
      <c r="A99" s="30" t="inlineStr">
        <is>
          <t>98</t>
        </is>
      </c>
      <c r="B99" s="30" t="inlineStr">
        <is>
          <t>93</t>
        </is>
      </c>
      <c r="C99" s="40" t="inlineStr">
        <is>
          <t>Golden Valley Bank</t>
        </is>
      </c>
      <c r="D99" s="43" t="inlineStr">
        <is>
          <t>CA Bank</t>
        </is>
      </c>
      <c r="E99" s="30" t="inlineStr">
        <is>
          <t>Other — NorCal</t>
        </is>
      </c>
      <c r="F99" s="41" t="inlineStr">
        <is>
          <t>2/4  ✗SUW ✓Onl ✗SoCal ✓Card</t>
        </is>
      </c>
      <c r="G99" s="30" t="inlineStr">
        <is>
          <t>E — Elan agent</t>
        </is>
      </c>
      <c r="H99" s="30" t="inlineStr">
        <is>
          <t>Elan platform: ~$3K–$10K start, to ~$20K strong files (~$500 seen at 800+ FICO)  [myFICO #6658960]</t>
        </is>
      </c>
      <c r="I99" s="30" t="inlineStr">
        <is>
          <t>$0.58B</t>
        </is>
      </c>
      <c r="J99" s="30" t="inlineStr">
        <is>
          <t>N/M</t>
        </is>
      </c>
      <c r="K99" s="30" t="inlineStr">
        <is>
          <t>Community bank; Chico/Butte County focus; est ~2006</t>
        </is>
      </c>
      <c r="L99" s="30" t="inlineStr">
        <is>
          <t>CA-HQ'd</t>
        </is>
      </c>
      <c r="M99" s="30" t="inlineStr">
        <is>
          <t>No</t>
        </is>
      </c>
      <c r="N99" s="30" t="inlineStr">
        <is>
          <t>✅ Elan biz cards (low rate / cash back / rewards); terms N/M</t>
        </is>
      </c>
      <c r="O99" s="50" t="inlineStr">
        <is>
          <t>Elan</t>
        </is>
      </c>
      <c r="P99" s="30" t="inlineStr">
        <is>
          <t>Online</t>
        </is>
      </c>
      <c r="Q99" s="30" t="inlineStr">
        <is>
          <t>Online — apply at https://www.goldenvalley.bank/credit-cards/</t>
        </is>
      </c>
      <c r="R99" s="30" t="inlineStr">
        <is>
          <t>https://www.goldenvalley.bank</t>
        </is>
      </c>
      <c r="S99" s="30" t="inlineStr">
        <is>
          <t>https://www.goldenvalley.bank/credit-cards/</t>
        </is>
      </c>
      <c r="T99" s="30" t="inlineStr">
        <is>
          <t>TransUnion (varies EX/EQ)</t>
        </is>
      </c>
      <c r="U99" s="30" t="inlineStr">
        <is>
          <t>D&amp;B; not personal in good standing</t>
        </is>
      </c>
      <c r="V99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W99" s="30" t="inlineStr">
        <is>
          <t>3</t>
        </is>
      </c>
      <c r="X99" s="30" t="inlineStr">
        <is>
          <t>PG yes; no tax returns (&lt;$25K)</t>
        </is>
      </c>
      <c r="Y99" s="30" t="inlineStr">
        <is>
          <t>None (business lending; no no-doc advertised)</t>
        </is>
      </c>
      <c r="Z99" s="30" t="inlineStr">
        <is>
          <t>N/M</t>
        </is>
      </c>
      <c r="AA99" s="30" t="inlineStr">
        <is>
          <t>No-doc card — apply online (Elan)</t>
        </is>
      </c>
      <c r="AB99" s="30" t="inlineStr">
        <is>
          <t>Elan business Visa (Business Card / Company / Community; names not enumerated)</t>
        </is>
      </c>
      <c r="AC99" s="30" t="inlineStr">
        <is>
          <t>NorCal / Sacramento (Butte County)</t>
        </is>
      </c>
      <c r="AD99" s="30" t="inlineStr">
        <is>
          <t>Chico</t>
        </is>
      </c>
      <c r="AE99" s="30" t="inlineStr">
        <is>
          <t>77</t>
        </is>
      </c>
      <c r="AF99" s="30" t="inlineStr">
        <is>
          <t>HIGH issuer=Elan (own footer disclosure + myaccountaccess.com)/online; N/M terms, HP, reports. 2026-05-29</t>
        </is>
      </c>
      <c r="AG99" s="30" t="inlineStr">
        <is>
          <t>goldenvalley.bank/credit-cards (Elan disclosure); card.myaccountaccess.com; FDIC cert 58278</t>
        </is>
      </c>
    </row>
    <row r="100" ht="15.75" customHeight="1">
      <c r="A100" s="30" t="inlineStr">
        <is>
          <t>99</t>
        </is>
      </c>
      <c r="B100" s="30" t="inlineStr">
        <is>
          <t>94</t>
        </is>
      </c>
      <c r="C100" s="40" t="inlineStr">
        <is>
          <t>First Federal S&amp;L of San Rafael</t>
        </is>
      </c>
      <c r="D100" s="43" t="inlineStr">
        <is>
          <t>CA Bank</t>
        </is>
      </c>
      <c r="E100" s="30" t="inlineStr">
        <is>
          <t>Other — NorCal</t>
        </is>
      </c>
      <c r="F100" s="41" t="inlineStr">
        <is>
          <t>2/4  ✗SUW ✓Onl ✗SoCal ✓Card</t>
        </is>
      </c>
      <c r="G100" s="30" t="inlineStr">
        <is>
          <t>E — Elan agent</t>
        </is>
      </c>
      <c r="H100" s="30" t="inlineStr">
        <is>
          <t>Elan platform: ~$3K–$10K start, to ~$20K strong files (~$500 seen at 800+ FICO)  [myFICO #6658960]</t>
        </is>
      </c>
      <c r="I100" s="30" t="inlineStr">
        <is>
          <t>$0.22B</t>
        </is>
      </c>
      <c r="J100" s="30" t="inlineStr">
        <is>
          <t>$0.18B</t>
        </is>
      </c>
      <c r="K100" s="30" t="inlineStr">
        <is>
          <t>CA-only thrift; ~5 Bay Area branches (Marin/SF/Oakland); est 1963</t>
        </is>
      </c>
      <c r="L100" s="30" t="inlineStr">
        <is>
          <t>CA-HQ'd</t>
        </is>
      </c>
      <c r="M100" s="30" t="inlineStr">
        <is>
          <t>No</t>
        </is>
      </c>
      <c r="N100" s="30" t="inlineStr">
        <is>
          <t>✅ Elan biz cards (personal + business referenced); terms N/M; servicing via myaccountaccess.com</t>
        </is>
      </c>
      <c r="O100" s="50" t="inlineStr">
        <is>
          <t>Elan</t>
        </is>
      </c>
      <c r="P100" s="30" t="inlineStr">
        <is>
          <t>Online</t>
        </is>
      </c>
      <c r="Q100" s="30" t="inlineStr">
        <is>
          <t>Online — apply at https://ffsavings.com</t>
        </is>
      </c>
      <c r="R100" s="30" t="inlineStr">
        <is>
          <t>https://ffsavings.com</t>
        </is>
      </c>
      <c r="S100" s="30" t="inlineStr">
        <is>
          <t>—</t>
        </is>
      </c>
      <c r="T100" s="30" t="inlineStr">
        <is>
          <t>TransUnion (varies EX/EQ)</t>
        </is>
      </c>
      <c r="U100" s="30" t="inlineStr">
        <is>
          <t>D&amp;B; not personal in good standing</t>
        </is>
      </c>
      <c r="V100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Bank card pages 403 to fetch; issuer=Elan inferred from myaccountaccess.com portal.</t>
        </is>
      </c>
      <c r="W100" s="30" t="inlineStr">
        <is>
          <t>3</t>
        </is>
      </c>
      <c r="X100" s="30" t="inlineStr">
        <is>
          <t>PG yes; no tax returns (&lt;$25K)</t>
        </is>
      </c>
      <c r="Y100" s="30" t="inlineStr">
        <is>
          <t>None (residential/CRE/multifamily/small-business full-doc thrift)</t>
        </is>
      </c>
      <c r="Z100" s="30" t="inlineStr">
        <is>
          <t>N/M</t>
        </is>
      </c>
      <c r="AA100" s="30" t="inlineStr">
        <is>
          <t>No-doc card — apply online (Elan)</t>
        </is>
      </c>
      <c r="AB100" s="30" t="inlineStr">
        <is>
          <t>Elan business Visa (names N/M; myaccountaccess.com servicing confirms Elan)</t>
        </is>
      </c>
      <c r="AC100" s="30" t="inlineStr">
        <is>
          <t>NorCal / SF (Marin)</t>
        </is>
      </c>
      <c r="AD100" s="30" t="inlineStr">
        <is>
          <t>San Rafael</t>
        </is>
      </c>
      <c r="AE100" s="30" t="inlineStr">
        <is>
          <t>103</t>
        </is>
      </c>
      <c r="AF100" s="30" t="inlineStr">
        <is>
          <t>MED-HIGH issuer=Elan (myaccountaccess.com tell)/biz-card-referenced; bank pages 403, terms N/M. 2026-05-29</t>
        </is>
      </c>
      <c r="AG100" s="30" t="inlineStr">
        <is>
          <t>ffsavings.com (home: personal+business cards, myaccountaccess.com); FDIC cert 31406</t>
        </is>
      </c>
    </row>
    <row r="101" ht="15.75" customHeight="1">
      <c r="A101" s="30" t="inlineStr">
        <is>
          <t>100</t>
        </is>
      </c>
      <c r="C101" s="47" t="inlineStr">
        <is>
          <t>East West Bank</t>
        </is>
      </c>
      <c r="D101" s="43" t="inlineStr">
        <is>
          <t>CA Bank</t>
        </is>
      </c>
      <c r="E101" s="30" t="inlineStr">
        <is>
          <t>★ Core SoCal</t>
        </is>
      </c>
      <c r="F101" s="48" t="inlineStr">
        <is>
          <t>1/4  ✗SUW ✗Onl ✓SoCal ✗Card</t>
        </is>
      </c>
      <c r="G101" s="30" t="inlineStr">
        <is>
          <t>Commercial-only</t>
        </is>
      </c>
      <c r="H101" s="30" t="inlineStr">
        <is>
          <t>—</t>
        </is>
      </c>
      <c r="I101" s="30" t="inlineStr">
        <is>
          <t>$82.47B</t>
        </is>
      </c>
      <c r="J101" s="30" t="inlineStr">
        <is>
          <t>$69.09B</t>
        </is>
      </c>
      <c r="K101" s="30" t="inlineStr">
        <is>
          <t>~70 branches/43 CA cities; SGV + SF Bay heavy</t>
        </is>
      </c>
      <c r="L101" s="30" t="inlineStr">
        <is>
          <t>CA-HQ'd</t>
        </is>
      </c>
      <c r="M101" s="30" t="inlineStr">
        <is>
          <t>No</t>
        </is>
      </c>
      <c r="N101" s="30" t="inlineStr">
        <is>
          <t>⚠️ Commercial only — One Card (corporate); terms N/M; no online apply</t>
        </is>
      </c>
      <c r="O101" s="50" t="inlineStr">
        <is>
          <t>Elan</t>
        </is>
      </c>
      <c r="P101" s="30" t="inlineStr">
        <is>
          <t>In-person</t>
        </is>
      </c>
      <c r="Q101" s="30" t="inlineStr">
        <is>
          <t>Visit branch / contact a banker (no online application)</t>
        </is>
      </c>
      <c r="R101" s="30" t="inlineStr">
        <is>
          <t>https://www.eastwestbank.com</t>
        </is>
      </c>
      <c r="S101" s="30" t="inlineStr">
        <is>
          <t>https://www.eastwestbank.com/en/small-mid-size-businesses/disbursements-and-payments#corporate-card</t>
        </is>
      </c>
      <c r="T101" s="30" t="inlineStr">
        <is>
          <t>TransUnion (varies EX/EQ)</t>
        </is>
      </c>
      <c r="U101" s="30" t="inlineStr">
        <is>
          <t>D&amp;B; not personal in good standing</t>
        </is>
      </c>
      <c r="V101" s="30" t="inlineStr">
        <is>
          <t>N/M East West-specific; Elan issuer-level only</t>
        </is>
      </c>
      <c r="W101" s="30" t="inlineStr">
        <is>
          <t>0</t>
        </is>
      </c>
      <c r="X101" s="30" t="inlineStr">
        <is>
          <t>PG yes (Elan); full commercial underwriting</t>
        </is>
      </c>
      <c r="Y101" s="30" t="inlineStr">
        <is>
          <t>None (commercial LOC/term/SBA 'subject to review')</t>
        </is>
      </c>
      <c r="Z101" s="30" t="inlineStr">
        <is>
          <t>N/M</t>
        </is>
      </c>
      <c r="AA101" s="30" t="inlineStr">
        <is>
          <t>Commercial / full underwriting (Elan)</t>
        </is>
      </c>
      <c r="AB101" s="30" t="inlineStr">
        <is>
          <t>East West Bank One Card (corporate T&amp;E/purchasing)</t>
        </is>
      </c>
      <c r="AC101" s="30" t="inlineStr">
        <is>
          <t>SoCal / LA</t>
        </is>
      </c>
      <c r="AD101" s="30" t="inlineStr">
        <is>
          <t>Pasadena</t>
        </is>
      </c>
      <c r="AE101" s="30" t="inlineStr">
        <is>
          <t>2</t>
        </is>
      </c>
      <c r="AF101" s="30" t="inlineStr">
        <is>
          <t>MED-HIGH product/issuer/no-online; LOW terms/HP. 2026-05-28</t>
        </is>
      </c>
      <c r="AG101" s="30" t="inlineStr">
        <is>
          <t>eastwestbank.com corporate-card page (Elan disclosure); wallethub.com</t>
        </is>
      </c>
    </row>
    <row r="102" ht="15.75" customHeight="1">
      <c r="A102" s="30" t="inlineStr">
        <is>
          <t>101</t>
        </is>
      </c>
      <c r="C102" s="47" t="inlineStr">
        <is>
          <t>Oak Valley Community Bank</t>
        </is>
      </c>
      <c r="D102" s="43" t="inlineStr">
        <is>
          <t>CA Bank</t>
        </is>
      </c>
      <c r="E102" s="30" t="inlineStr">
        <is>
          <t>Other — Central Valley</t>
        </is>
      </c>
      <c r="F102" s="48" t="inlineStr">
        <is>
          <t>0/4  ✗SUW ✗Onl ✗SoCal ✗Card</t>
        </is>
      </c>
      <c r="G102" s="30" t="inlineStr">
        <is>
          <t>Commercial-only</t>
        </is>
      </c>
      <c r="H102" s="30" t="inlineStr">
        <is>
          <t>—</t>
        </is>
      </c>
      <c r="I102" s="30" t="inlineStr">
        <is>
          <t>$2.01B</t>
        </is>
      </c>
      <c r="J102" s="30" t="inlineStr">
        <is>
          <t>$1.78B</t>
        </is>
      </c>
      <c r="K102" s="30" t="inlineStr">
        <is>
          <t>Central Valley (Modesto, Oakdale, Stockton) + Eastern Sierra division</t>
        </is>
      </c>
      <c r="L102" s="30" t="inlineStr">
        <is>
          <t>CA-HQ'd</t>
        </is>
      </c>
      <c r="M102" s="30" t="inlineStr">
        <is>
          <t>No</t>
        </is>
      </c>
      <c r="N102" s="30" t="inlineStr">
        <is>
          <t>⚠️ TCM white-label; terms N/M; existing-cardholders only</t>
        </is>
      </c>
      <c r="O102" s="49" t="inlineStr">
        <is>
          <t>TCM Bank, N.A.</t>
        </is>
      </c>
      <c r="P102" s="30" t="inlineStr">
        <is>
          <t>In-person</t>
        </is>
      </c>
      <c r="Q102" s="30" t="inlineStr">
        <is>
          <t>Visit branch / contact a banker (no online application)</t>
        </is>
      </c>
      <c r="R102" s="30" t="inlineStr">
        <is>
          <t>https://www.ovcb.com</t>
        </is>
      </c>
      <c r="S102" s="30" t="inlineStr">
        <is>
          <t>https://www.ovcb.com/commercial/loans/credit-cards/</t>
        </is>
      </c>
      <c r="T102" s="30" t="inlineStr">
        <is>
          <t>Experian</t>
        </is>
      </c>
      <c r="U102" s="30" t="inlineStr">
        <is>
          <t>N/M</t>
        </is>
      </c>
      <c r="V102" s="30" t="inlineStr">
        <is>
          <t>TCM: Experian pull (apps + CLIs); conservative; partner bank no underwriting say. myfico.com #6303273</t>
        </is>
      </c>
      <c r="W102" s="30" t="inlineStr">
        <is>
          <t>0</t>
        </is>
      </c>
      <c r="X102" s="30" t="inlineStr">
        <is>
          <t>N/M (SBA-eligible small-biz cards; personal-credit underwritten)</t>
        </is>
      </c>
      <c r="Y102" s="30" t="inlineStr">
        <is>
          <t>N/M (LOC/equipment/SBA + $25K-$150K loans documentation-based)</t>
        </is>
      </c>
      <c r="Z102" s="30" t="inlineStr">
        <is>
          <t>N/M</t>
        </is>
      </c>
      <c r="AA102" s="30" t="inlineStr">
        <is>
          <t>Commercial / full underwriting</t>
        </is>
      </c>
      <c r="AB102" s="30" t="inlineStr">
        <is>
          <t>TCM business suite (Rewards/Cash Rewards/Edition/Company/Purchasing)</t>
        </is>
      </c>
      <c r="AC102" s="30" t="inlineStr">
        <is>
          <t>Central Valley / Eastern Sierra</t>
        </is>
      </c>
      <c r="AD102" s="30" t="inlineStr">
        <is>
          <t>Oakdale</t>
        </is>
      </c>
      <c r="AE102" s="30" t="inlineStr">
        <is>
          <t>42</t>
        </is>
      </c>
      <c r="AF102" s="30" t="inlineStr">
        <is>
          <t>MED-HIGH issuer (TCM); LOW/N-M terms, apply, HP forum-only, reports. Low no-doc utility. 2026-05-28</t>
        </is>
      </c>
      <c r="AG102" s="30" t="inlineStr">
        <is>
          <t>ovcb.com/commercial/loans/credit-cards; tcmbank.com/cardholder-services; myfico.com #6303273</t>
        </is>
      </c>
    </row>
    <row r="103" ht="15.75" customHeight="1">
      <c r="A103" s="30" t="inlineStr">
        <is>
          <t>102</t>
        </is>
      </c>
      <c r="B103" s="30" t="inlineStr">
        <is>
          <t>95</t>
        </is>
      </c>
      <c r="C103" s="40" t="inlineStr">
        <is>
          <t>Bank of San Francisco</t>
        </is>
      </c>
      <c r="D103" s="43" t="inlineStr">
        <is>
          <t>CA Bank</t>
        </is>
      </c>
      <c r="E103" s="30" t="inlineStr">
        <is>
          <t>Other — NorCal</t>
        </is>
      </c>
      <c r="F103" s="41" t="inlineStr">
        <is>
          <t>1/4  ✗SUW ✗Onl ✗SoCal ✓Card</t>
        </is>
      </c>
      <c r="G103" s="30" t="inlineStr">
        <is>
          <t>E — Elan agent</t>
        </is>
      </c>
      <c r="H103" s="30" t="inlineStr">
        <is>
          <t>Elan platform: ~$3K–$10K start, to ~$20K strong files (~$500 seen at 800+ FICO)  [myFICO #6658960]</t>
        </is>
      </c>
      <c r="I103" s="30" t="inlineStr">
        <is>
          <t>$0.77B</t>
        </is>
      </c>
      <c r="J103" s="30" t="inlineStr">
        <is>
          <t>N/M</t>
        </is>
      </c>
      <c r="K103" s="30" t="inlineStr">
        <is>
          <t>1-2 SF offices (Laurel Village); est 2005. NOTE: call-report assets ~$612M (Q1'25) — FDIC list shows $0.77B; flagged</t>
        </is>
      </c>
      <c r="L103" s="30" t="inlineStr">
        <is>
          <t>CA-HQ'd</t>
        </is>
      </c>
      <c r="M103" s="30" t="inlineStr">
        <is>
          <t>No</t>
        </is>
      </c>
      <c r="N103" s="30" t="inlineStr">
        <is>
          <t>✅ Elan biz cards; terms N/M; no public apply (servicing login only)</t>
        </is>
      </c>
      <c r="O103" s="50" t="inlineStr">
        <is>
          <t>Elan</t>
        </is>
      </c>
      <c r="P103" s="30" t="inlineStr">
        <is>
          <t>In-person</t>
        </is>
      </c>
      <c r="Q103" s="30" t="inlineStr">
        <is>
          <t>Visit branch / contact a banker (no online application)</t>
        </is>
      </c>
      <c r="R103" s="30" t="inlineStr">
        <is>
          <t>https://www.bankbsf.com</t>
        </is>
      </c>
      <c r="S103" s="30" t="inlineStr">
        <is>
          <t>—</t>
        </is>
      </c>
      <c r="T103" s="30" t="inlineStr">
        <is>
          <t>TransUnion (varies EX/EQ)</t>
        </is>
      </c>
      <c r="U103" s="30" t="inlineStr">
        <is>
          <t>D&amp;B; not personal in good standing</t>
        </is>
      </c>
      <c r="V103" s="30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No BSF-specific apply page indexed; banker-initiated.</t>
        </is>
      </c>
      <c r="W103" s="30" t="inlineStr">
        <is>
          <t>2</t>
        </is>
      </c>
      <c r="X103" s="30" t="inlineStr">
        <is>
          <t>PG yes; no tax returns (&lt;$25K)</t>
        </is>
      </c>
      <c r="Y103" s="30" t="inlineStr">
        <is>
          <t>None (CRE/working-capital/equipment/acquisition/SBA full-doc)</t>
        </is>
      </c>
      <c r="Z103" s="30" t="inlineStr">
        <is>
          <t>N/M</t>
        </is>
      </c>
      <c r="AA103" s="30" t="inlineStr">
        <is>
          <t>No-doc card — apply in branch (Elan)</t>
        </is>
      </c>
      <c r="AB103" s="30" t="inlineStr">
        <is>
          <t>Elan business Visa (names N/M; myaccountaccess.com login confirms Elan)</t>
        </is>
      </c>
      <c r="AC103" s="30" t="inlineStr">
        <is>
          <t>NorCal / SF</t>
        </is>
      </c>
      <c r="AD103" s="30" t="inlineStr">
        <is>
          <t>San Francisco</t>
        </is>
      </c>
      <c r="AE103" s="30" t="inlineStr">
        <is>
          <t>72</t>
        </is>
      </c>
      <c r="AF103" s="30" t="inlineStr">
        <is>
          <t>HIGH issuer=Elan (myaccountaccess.com login tell); no public apply/terms; asset figure flagged. 2026-05-29</t>
        </is>
      </c>
      <c r="AG103" s="30" t="inlineStr">
        <is>
          <t>bankbsf.com (business, login→myaccountaccess.com=Elan); FDIC cert 58069</t>
        </is>
      </c>
    </row>
    <row r="104" ht="15.75" customHeight="1">
      <c r="A104" s="30" t="inlineStr">
        <is>
          <t>103</t>
        </is>
      </c>
      <c r="C104" s="53" t="inlineStr">
        <is>
          <t>Pacific Premier Bank</t>
        </is>
      </c>
      <c r="D104" s="36" t="inlineStr">
        <is>
          <t>Regional</t>
        </is>
      </c>
      <c r="E104" s="30" t="inlineStr">
        <is>
          <t>★ Core SoCal</t>
        </is>
      </c>
      <c r="F104" s="54" t="inlineStr">
        <is>
          <t>1/4  ✗SUW ✗Onl ✓SoCal ✗Card</t>
        </is>
      </c>
      <c r="G104" s="30" t="inlineStr">
        <is>
          <t>No card</t>
        </is>
      </c>
      <c r="H104" s="30" t="inlineStr">
        <is>
          <t>—</t>
        </is>
      </c>
      <c r="I104" s="30" t="inlineStr">
        <is>
          <t>~$70B (Columbia combined)</t>
        </is>
      </c>
      <c r="J104" s="30" t="inlineStr">
        <is>
          <t>—</t>
        </is>
      </c>
      <c r="K104" s="30" t="inlineStr">
        <is>
          <t>HQ Irvine (OC); acquired by Columbia Banking System (closed Aug 31 2025), ~$70B combined; PPB brand retired</t>
        </is>
      </c>
      <c r="L104" s="30" t="inlineStr">
        <is>
          <t>N/M</t>
        </is>
      </c>
      <c r="M104" s="30" t="inlineStr">
        <is>
          <t>—</t>
        </is>
      </c>
      <c r="N104" s="30" t="inlineStr">
        <is>
          <t>⚠️ DEFUNCT — brand retired Aug 2025 (acquired by Columbia Banking); legacy cards FNBO-issued; successor = Columbia Bank (Elan)</t>
        </is>
      </c>
      <c r="O104" s="51" t="inlineStr">
        <is>
          <t>(legacy FNBO; now Columbia / Elan)</t>
        </is>
      </c>
      <c r="P104" s="30" t="inlineStr">
        <is>
          <t>No</t>
        </is>
      </c>
      <c r="Q104" s="30" t="inlineStr">
        <is>
          <t>— (no business card)</t>
        </is>
      </c>
      <c r="R104" s="30" t="inlineStr">
        <is>
          <t>https://www.columbiabank.com/ppbi</t>
        </is>
      </c>
      <c r="S104" s="30" t="inlineStr">
        <is>
          <t>—</t>
        </is>
      </c>
      <c r="T104" s="30" t="inlineStr">
        <is>
          <t>N/M</t>
        </is>
      </c>
      <c r="U104" s="30" t="inlineStr">
        <is>
          <t>N/M</t>
        </is>
      </c>
      <c r="V104" s="30" t="inlineStr">
        <is>
          <t>Brand retired; customers migrated to Columbia Bank (Elan cards).</t>
        </is>
      </c>
      <c r="W104" s="30" t="inlineStr">
        <is>
          <t>0</t>
        </is>
      </c>
      <c r="X104" s="30" t="inlineStr">
        <is>
          <t>N/M</t>
        </is>
      </c>
      <c r="Y104" s="30" t="inlineStr">
        <is>
          <t>None</t>
        </is>
      </c>
      <c r="Z104" s="30" t="inlineStr">
        <is>
          <t>N/M</t>
        </is>
      </c>
      <c r="AA104" s="30" t="inlineStr">
        <is>
          <t>Not a card source</t>
        </is>
      </c>
      <c r="AB104" s="30" t="inlineStr">
        <is>
          <t>(legacy FNBO Business Edition Visa — now Columbia/Elan)</t>
        </is>
      </c>
      <c r="AC104" s="30" t="inlineStr">
        <is>
          <t>SoCal / Orange County (Irvine) — DEFUNCT</t>
        </is>
      </c>
      <c r="AD104" s="30" t="inlineStr">
        <is>
          <t>Irvine, CA</t>
        </is>
      </c>
      <c r="AE104" s="30" t="inlineStr">
        <is>
          <t>Reg</t>
        </is>
      </c>
      <c r="AF104" s="30" t="inlineStr">
        <is>
          <t>HIGH defunct (brand retired Aug 2025). Legacy=FNBO; successor=Columbia (Elan). Not a current target. 2026-05-28</t>
        </is>
      </c>
      <c r="AG104" s="30" t="inlineStr">
        <is>
          <t>columbiabank.com/ppbi (transition); card.fnbo.com/mpp/fi/ppb/business/pb-visa (legacy, 404); prnewswire (merger close)</t>
        </is>
      </c>
    </row>
    <row r="105" ht="15.75" customHeight="1">
      <c r="A105" s="30" t="inlineStr">
        <is>
          <t>104</t>
        </is>
      </c>
      <c r="C105" s="53" t="inlineStr">
        <is>
          <t>SchoolsFirst Federal Credit Union</t>
        </is>
      </c>
      <c r="D105" s="39" t="inlineStr">
        <is>
          <t>Credit Union</t>
        </is>
      </c>
      <c r="E105" s="30" t="inlineStr">
        <is>
          <t>★ Core SoCal</t>
        </is>
      </c>
      <c r="F105" s="54" t="inlineStr">
        <is>
          <t>1/4  ✗SUW ✗Onl ✓SoCal ✗Card</t>
        </is>
      </c>
      <c r="G105" s="30" t="inlineStr">
        <is>
          <t>No card</t>
        </is>
      </c>
      <c r="H105" s="30" t="inlineStr">
        <is>
          <t>—</t>
        </is>
      </c>
      <c r="I105" s="30" t="inlineStr">
        <is>
          <t>~$31.9B</t>
        </is>
      </c>
      <c r="J105" s="30" t="inlineStr">
        <is>
          <t>—</t>
        </is>
      </c>
      <c r="K105" s="30" t="inlineStr">
        <is>
          <t>HQ Tustin (Orange County); educators-only FOM; ~70 branches; largest US educator CU</t>
        </is>
      </c>
      <c r="L105" s="30" t="inlineStr">
        <is>
          <t>CA-HQ'd</t>
        </is>
      </c>
      <c r="M105" s="30" t="inlineStr">
        <is>
          <t>—</t>
        </is>
      </c>
      <c r="N105" s="30" t="inlineStr">
        <is>
          <t>❌ No business card (educator-only CU; consumer cards + no business banking)</t>
        </is>
      </c>
      <c r="O105" s="54" t="inlineStr">
        <is>
          <t>None</t>
        </is>
      </c>
      <c r="P105" s="30" t="inlineStr">
        <is>
          <t>No</t>
        </is>
      </c>
      <c r="Q105" s="30" t="inlineStr">
        <is>
          <t>— (no business card)</t>
        </is>
      </c>
      <c r="R105" s="30" t="inlineStr">
        <is>
          <t>https://www.schoolsfirstfcu.org/products/credit-cards-personal-loans/credit-cards/</t>
        </is>
      </c>
      <c r="S105" s="30" t="inlineStr">
        <is>
          <t>—</t>
        </is>
      </c>
      <c r="T105" s="30" t="inlineStr">
        <is>
          <t>N/M</t>
        </is>
      </c>
      <c r="U105" s="30" t="inlineStr">
        <is>
          <t>N/M</t>
        </is>
      </c>
      <c r="V105" s="30" t="inlineStr">
        <is>
          <t>N/M (no business card)</t>
        </is>
      </c>
      <c r="W105" s="30" t="inlineStr">
        <is>
          <t>0</t>
        </is>
      </c>
      <c r="X105" s="30" t="inlineStr">
        <is>
          <t>N/M</t>
        </is>
      </c>
      <c r="Y105" s="30" t="inlineStr">
        <is>
          <t>None (consumer-only; no business lending)</t>
        </is>
      </c>
      <c r="Z105" s="30" t="inlineStr">
        <is>
          <t>Membership = CA educators only (closed FOM; no open path)</t>
        </is>
      </c>
      <c r="AA105" s="30" t="inlineStr">
        <is>
          <t>Not a card source</t>
        </is>
      </c>
      <c r="AB105" s="30" t="inlineStr">
        <is>
          <t>None (consumer cards only)</t>
        </is>
      </c>
      <c r="AC105" s="30" t="inlineStr">
        <is>
          <t>SoCal / Orange County (Tustin/Santa Ana)</t>
        </is>
      </c>
      <c r="AD105" s="30" t="inlineStr">
        <is>
          <t>Tustin, CA</t>
        </is>
      </c>
      <c r="AE105" s="30" t="inlineStr">
        <is>
          <t>CU</t>
        </is>
      </c>
      <c r="AF105" s="30" t="inlineStr">
        <is>
          <t>HIGH no-business-card (educator consumer-only). 2026-05-28</t>
        </is>
      </c>
      <c r="AG105" s="30" t="inlineStr">
        <is>
          <t>schoolsfirstfcu.org/products/credit-cards + eligibility; en.wikipedia.org</t>
        </is>
      </c>
    </row>
    <row r="106" ht="15.75" customHeight="1">
      <c r="A106" s="30" t="inlineStr">
        <is>
          <t>105</t>
        </is>
      </c>
      <c r="C106" s="53" t="inlineStr">
        <is>
          <t>HomeStreet Bank</t>
        </is>
      </c>
      <c r="D106" s="36" t="inlineStr">
        <is>
          <t>Regional</t>
        </is>
      </c>
      <c r="E106" s="30" t="inlineStr">
        <is>
          <t>Other — West Coast — SoCal + WA</t>
        </is>
      </c>
      <c r="F106" s="54" t="inlineStr">
        <is>
          <t>0/4  ✗SUW ✗Onl ✗SoCal ✗Card</t>
        </is>
      </c>
      <c r="G106" s="30" t="inlineStr">
        <is>
          <t>No card</t>
        </is>
      </c>
      <c r="H106" s="30" t="inlineStr">
        <is>
          <t>—</t>
        </is>
      </c>
      <c r="I106" s="30" t="inlineStr">
        <is>
          <t>~$23B (combined)</t>
        </is>
      </c>
      <c r="J106" s="30" t="inlineStr">
        <is>
          <t>—</t>
        </is>
      </c>
      <c r="K106" s="30" t="inlineStr">
        <is>
          <t>HomeStreet merged into Mechanics Bank Sept 2025; ex-HomeStreet had SoCal + WA/OR/HI branches; combined ~$22-23B</t>
        </is>
      </c>
      <c r="L106" s="30" t="inlineStr">
        <is>
          <t>N/M</t>
        </is>
      </c>
      <c r="M106" s="30" t="inlineStr">
        <is>
          <t>—</t>
        </is>
      </c>
      <c r="N106" s="30" t="inlineStr">
        <is>
          <t>⚠️ MERGED into Mechanics Bank (Sept 2025); cards = Elan Smart Business Rewards (see Mechanics Bank row)</t>
        </is>
      </c>
      <c r="O106" s="50" t="inlineStr">
        <is>
          <t>Elan (now Mechanics Bank)</t>
        </is>
      </c>
      <c r="P106" s="30" t="inlineStr">
        <is>
          <t>No</t>
        </is>
      </c>
      <c r="Q106" s="30" t="inlineStr">
        <is>
          <t>— (no business card)</t>
        </is>
      </c>
      <c r="R106" s="30" t="inlineStr">
        <is>
          <t>https://www.mymechanics.com/business/loans-credit/business-credit-cards/</t>
        </is>
      </c>
      <c r="S106" s="30" t="inlineStr">
        <is>
          <t>—</t>
        </is>
      </c>
      <c r="T106" s="30" t="inlineStr">
        <is>
          <t>N/M</t>
        </is>
      </c>
      <c r="U106" s="30" t="inlineStr">
        <is>
          <t>N/M</t>
        </is>
      </c>
      <c r="V106" s="30" t="inlineStr">
        <is>
          <t>HomeStreet merged into Mechanics Bank; Elan-issued (duplicate of Mechanics).</t>
        </is>
      </c>
      <c r="W106" s="30" t="inlineStr">
        <is>
          <t>0</t>
        </is>
      </c>
      <c r="X106" s="30" t="inlineStr">
        <is>
          <t>N/M</t>
        </is>
      </c>
      <c r="Y106" s="30" t="inlineStr">
        <is>
          <t>None</t>
        </is>
      </c>
      <c r="Z106" s="30" t="inlineStr">
        <is>
          <t>N/M</t>
        </is>
      </c>
      <c r="AA106" s="30" t="inlineStr">
        <is>
          <t>Not a card source (Elan)</t>
        </is>
      </c>
      <c r="AB106" s="30" t="inlineStr">
        <is>
          <t>Smart Business Rewards (Elan; now Mechanics-branded — see rank for Mechanics Bank)</t>
        </is>
      </c>
      <c r="AC106" s="30" t="inlineStr">
        <is>
          <t>West Coast — SoCal + WA/OR/HI (now Mechanics Bank)</t>
        </is>
      </c>
      <c r="AD106" s="30" t="inlineStr">
        <is>
          <t>Seattle, WA (now Walnut Creek / Mechanics Bank)</t>
        </is>
      </c>
      <c r="AE106" s="30" t="inlineStr">
        <is>
          <t>Reg</t>
        </is>
      </c>
      <c r="AF106" s="30" t="inlineStr">
        <is>
          <t>HIGH merged into Mechanics Bank (Elan). Duplicate of Mechanics row. 2026-05-28</t>
        </is>
      </c>
      <c r="AG106" s="30" t="inlineStr">
        <is>
          <t>mymechanics.com business credit cards (Elan disclosure); homestreet.com (redirects to mechanicsbank); ir.mechanicsbank.com (merger)</t>
        </is>
      </c>
    </row>
    <row r="107" ht="15.75" customHeight="1">
      <c r="A107" s="30" t="inlineStr">
        <is>
          <t>106</t>
        </is>
      </c>
      <c r="C107" s="53" t="inlineStr">
        <is>
          <t>Golden 1 Credit Union</t>
        </is>
      </c>
      <c r="D107" s="39" t="inlineStr">
        <is>
          <t>Credit Union</t>
        </is>
      </c>
      <c r="E107" s="30" t="inlineStr">
        <is>
          <t>Other — NorCal</t>
        </is>
      </c>
      <c r="F107" s="54" t="inlineStr">
        <is>
          <t>0/4  ✗SUW ✗Onl ✗SoCal ✗Card</t>
        </is>
      </c>
      <c r="G107" s="30" t="inlineStr">
        <is>
          <t>No card</t>
        </is>
      </c>
      <c r="H107" s="30" t="inlineStr">
        <is>
          <t>—</t>
        </is>
      </c>
      <c r="I107" s="30" t="inlineStr">
        <is>
          <t>~$21.08B (2nd-largest CA credit union)</t>
        </is>
      </c>
      <c r="J107" s="30" t="inlineStr">
        <is>
          <t>—</t>
        </is>
      </c>
      <c r="K107" s="30" t="inlineStr">
        <is>
          <t>CA-only; ~63-70 branches; open to all Californians</t>
        </is>
      </c>
      <c r="L107" s="30" t="inlineStr">
        <is>
          <t>CA-HQ'd</t>
        </is>
      </c>
      <c r="M107" s="30" t="inlineStr">
        <is>
          <t>—</t>
        </is>
      </c>
      <c r="N107" s="30" t="inlineStr">
        <is>
          <t>❌ No business card (business services = deposit-only; personal cards prohibit business use)</t>
        </is>
      </c>
      <c r="O107" s="54" t="inlineStr">
        <is>
          <t>None (self-issues personal cards only)</t>
        </is>
      </c>
      <c r="P107" s="30" t="inlineStr">
        <is>
          <t>No</t>
        </is>
      </c>
      <c r="Q107" s="30" t="inlineStr">
        <is>
          <t>— (no business card)</t>
        </is>
      </c>
      <c r="R107" s="30" t="inlineStr">
        <is>
          <t>https://www.golden1.com/business-services</t>
        </is>
      </c>
      <c r="S107" s="30" t="inlineStr">
        <is>
          <t>—</t>
        </is>
      </c>
      <c r="T107" s="30" t="inlineStr">
        <is>
          <t>N/M</t>
        </is>
      </c>
      <c r="U107" s="30" t="inlineStr">
        <is>
          <t>N/M</t>
        </is>
      </c>
      <c r="V107" s="30" t="inlineStr">
        <is>
          <t>N/M (no business card)</t>
        </is>
      </c>
      <c r="W107" s="30" t="inlineStr">
        <is>
          <t>0</t>
        </is>
      </c>
      <c r="X107" s="30" t="inlineStr">
        <is>
          <t>N/M</t>
        </is>
      </c>
      <c r="Y107" s="30" t="inlineStr">
        <is>
          <t>None (business = deposit accounts + digital banking only)</t>
        </is>
      </c>
      <c r="Z107" s="30" t="inlineStr">
        <is>
          <t>Membership required (open to all CA residents, $1)</t>
        </is>
      </c>
      <c r="AA107" s="30" t="inlineStr">
        <is>
          <t>Not a card source</t>
        </is>
      </c>
      <c r="AB107" s="30" t="inlineStr">
        <is>
          <t>None (business = deposit accounts + digital banking only)</t>
        </is>
      </c>
      <c r="AC107" s="30" t="inlineStr">
        <is>
          <t>NorCal / Sacramento (CA-statewide CU)</t>
        </is>
      </c>
      <c r="AD107" s="30" t="inlineStr">
        <is>
          <t>Sacramento, CA</t>
        </is>
      </c>
      <c r="AE107" s="30" t="inlineStr">
        <is>
          <t>CU</t>
        </is>
      </c>
      <c r="AF107" s="30" t="inlineStr">
        <is>
          <t>HIGH no-business-card (own pages + consumer agreement bars business use). 2026-05-28</t>
        </is>
      </c>
      <c r="AG107" s="30" t="inlineStr">
        <is>
          <t>golden1.com/business-services; CFPB Platinum Secured agreement (self; bars business use); wallethub.com</t>
        </is>
      </c>
    </row>
    <row r="108" ht="15.75" customHeight="1">
      <c r="A108" s="30" t="inlineStr">
        <is>
          <t>107</t>
        </is>
      </c>
      <c r="C108" s="53" t="inlineStr">
        <is>
          <t>Bank of America California, N.A.</t>
        </is>
      </c>
      <c r="D108" s="43" t="inlineStr">
        <is>
          <t>CA Bank</t>
        </is>
      </c>
      <c r="E108" s="30" t="inlineStr">
        <is>
          <t>Other — NorCal</t>
        </is>
      </c>
      <c r="F108" s="54" t="inlineStr">
        <is>
          <t>0/4  ✗SUW ✗Onl ✗SoCal ✗Card</t>
        </is>
      </c>
      <c r="G108" s="30" t="inlineStr">
        <is>
          <t>No card</t>
        </is>
      </c>
      <c r="H108" s="30" t="inlineStr">
        <is>
          <t>—</t>
        </is>
      </c>
      <c r="I108" s="30" t="inlineStr">
        <is>
          <t>$15.13B</t>
        </is>
      </c>
      <c r="J108" s="30" t="inlineStr">
        <is>
          <t>$12.64B</t>
        </is>
      </c>
      <c r="K108" s="30" t="inlineStr">
        <is>
          <t>Single office 555 California St; no branch network; no trust powers</t>
        </is>
      </c>
      <c r="L108" s="30" t="inlineStr">
        <is>
          <t>CA-HQ'd</t>
        </is>
      </c>
      <c r="M108" s="30" t="inlineStr">
        <is>
          <t>—</t>
        </is>
      </c>
      <c r="N108" s="30" t="inlineStr">
        <is>
          <t>❌ No card (subsidiary shell; parent BofA issues)</t>
        </is>
      </c>
      <c r="O108" s="54" t="inlineStr">
        <is>
          <t>None (parent self-issues)</t>
        </is>
      </c>
      <c r="P108" s="30" t="inlineStr">
        <is>
          <t>No</t>
        </is>
      </c>
      <c r="Q108" s="30" t="inlineStr">
        <is>
          <t>— (no business card)</t>
        </is>
      </c>
      <c r="R108" s="30" t="inlineStr">
        <is>
          <t>https://www.bankofamerica.com</t>
        </is>
      </c>
      <c r="S108" s="30" t="inlineStr">
        <is>
          <t>—</t>
        </is>
      </c>
      <c r="T108" s="30" t="inlineStr">
        <is>
          <t>N/M</t>
        </is>
      </c>
      <c r="U108" s="30" t="inlineStr">
        <is>
          <t>N/M</t>
        </is>
      </c>
      <c r="V108" s="30" t="inlineStr">
        <is>
          <t>N/M (all BofA card chatter = parent, not cert 25178)</t>
        </is>
      </c>
      <c r="W108" s="30" t="inlineStr">
        <is>
          <t>0</t>
        </is>
      </c>
      <c r="X108" s="30" t="inlineStr">
        <is>
          <t>N/M</t>
        </is>
      </c>
      <c r="Y108" s="30" t="inlineStr">
        <is>
          <t>N/M (mortgage/community-development vehicle)</t>
        </is>
      </c>
      <c r="Z108" s="30" t="inlineStr">
        <is>
          <t>N/M</t>
        </is>
      </c>
      <c r="AA108" s="30" t="inlineStr">
        <is>
          <t>Not a card source</t>
        </is>
      </c>
      <c r="AB108" s="30" t="inlineStr">
        <is>
          <t>None (parent 'Bank of America, N.A.' issues Business Advantage cards)</t>
        </is>
      </c>
      <c r="AC108" s="30" t="inlineStr">
        <is>
          <t>NorCal / SF</t>
        </is>
      </c>
      <c r="AD108" s="30" t="inlineStr">
        <is>
          <t>San Francisco</t>
        </is>
      </c>
      <c r="AE108" s="30" t="inlineStr">
        <is>
          <t>9</t>
        </is>
      </c>
      <c r="AF108" s="30" t="inlineStr">
        <is>
          <t>HIGH no-card. Real BofA biz cards = parent (national issuer, capture separately). 2026-05-28</t>
        </is>
      </c>
      <c r="AG108" s="30" t="inlineStr">
        <is>
          <t>FDIC cert 25178; CFPB (no agreement); investor.bankofamerica.com</t>
        </is>
      </c>
    </row>
    <row r="109" ht="15.75" customHeight="1">
      <c r="A109" s="30" t="inlineStr">
        <is>
          <t>108</t>
        </is>
      </c>
      <c r="C109" s="53" t="inlineStr">
        <is>
          <t>Star One Credit Union</t>
        </is>
      </c>
      <c r="D109" s="39" t="inlineStr">
        <is>
          <t>Credit Union</t>
        </is>
      </c>
      <c r="E109" s="30" t="inlineStr">
        <is>
          <t>Other — NorCal</t>
        </is>
      </c>
      <c r="F109" s="54" t="inlineStr">
        <is>
          <t>0/4  ✗SUW ✗Onl ✗SoCal ✗Card</t>
        </is>
      </c>
      <c r="G109" s="30" t="inlineStr">
        <is>
          <t>No card</t>
        </is>
      </c>
      <c r="H109" s="30" t="inlineStr">
        <is>
          <t>—</t>
        </is>
      </c>
      <c r="I109" s="30" t="inlineStr">
        <is>
          <t>~$9.5B</t>
        </is>
      </c>
      <c r="J109" s="30" t="inlineStr">
        <is>
          <t>—</t>
        </is>
      </c>
      <c r="K109" s="30" t="inlineStr">
        <is>
          <t>HQ Sunnyvale; consumer-only; sole-prop deposits only; ~10 Bay Area branches</t>
        </is>
      </c>
      <c r="L109" s="30" t="inlineStr">
        <is>
          <t>CA-HQ'd</t>
        </is>
      </c>
      <c r="M109" s="30" t="inlineStr">
        <is>
          <t>—</t>
        </is>
      </c>
      <c r="N109" s="30" t="inlineStr">
        <is>
          <t>❌ No business card (consumer-only; sole-prop deposits only, no corp/LLC accounts)</t>
        </is>
      </c>
      <c r="O109" s="54" t="inlineStr">
        <is>
          <t>None (self-issues consumer cards)</t>
        </is>
      </c>
      <c r="P109" s="30" t="inlineStr">
        <is>
          <t>No</t>
        </is>
      </c>
      <c r="Q109" s="30" t="inlineStr">
        <is>
          <t>— (no business card)</t>
        </is>
      </c>
      <c r="R109" s="30" t="inlineStr">
        <is>
          <t>https://www.starone.org/borrow/credit-cards</t>
        </is>
      </c>
      <c r="S109" s="30" t="inlineStr">
        <is>
          <t>—</t>
        </is>
      </c>
      <c r="T109" s="30" t="inlineStr">
        <is>
          <t>N/M</t>
        </is>
      </c>
      <c r="U109" s="30" t="inlineStr">
        <is>
          <t>N/M</t>
        </is>
      </c>
      <c r="V109" s="30" t="inlineStr">
        <is>
          <t>N/M (no business card)</t>
        </is>
      </c>
      <c r="W109" s="30" t="inlineStr">
        <is>
          <t>0</t>
        </is>
      </c>
      <c r="X109" s="30" t="inlineStr">
        <is>
          <t>N/M</t>
        </is>
      </c>
      <c r="Y109" s="30" t="inlineStr">
        <is>
          <t>None (consumer-only; no business lending)</t>
        </is>
      </c>
      <c r="Z109" s="30" t="inlineStr">
        <is>
          <t>Membership required (9 NorCal counties + SEGs; no open path)</t>
        </is>
      </c>
      <c r="AA109" s="30" t="inlineStr">
        <is>
          <t>Not a card source</t>
        </is>
      </c>
      <c r="AB109" s="30" t="inlineStr">
        <is>
          <t>None (consumer Visa only)</t>
        </is>
      </c>
      <c r="AC109" s="30" t="inlineStr">
        <is>
          <t>NorCal / Silicon Valley (Sunnyvale)</t>
        </is>
      </c>
      <c r="AD109" s="30" t="inlineStr">
        <is>
          <t>Sunnyvale, CA</t>
        </is>
      </c>
      <c r="AE109" s="30" t="inlineStr">
        <is>
          <t>CU</t>
        </is>
      </c>
      <c r="AF109" s="30" t="inlineStr">
        <is>
          <t>HIGH no-business-card (consumer-only; excludes corp/LLC). 2026-05-28</t>
        </is>
      </c>
      <c r="AG109" s="30" t="inlineStr">
        <is>
          <t>starone.org/borrow/credit-cards + who-can-join + sole-prop membership</t>
        </is>
      </c>
    </row>
    <row r="110" ht="15.75" customHeight="1">
      <c r="A110" s="30" t="inlineStr">
        <is>
          <t>109</t>
        </is>
      </c>
      <c r="C110" s="53" t="inlineStr">
        <is>
          <t>First American Trust, FSB</t>
        </is>
      </c>
      <c r="D110" s="43" t="inlineStr">
        <is>
          <t>CA Bank</t>
        </is>
      </c>
      <c r="E110" s="30" t="inlineStr">
        <is>
          <t>★ Core SoCal</t>
        </is>
      </c>
      <c r="F110" s="54" t="inlineStr">
        <is>
          <t>1/4  ✗SUW ✗Onl ✓SoCal ✗Card</t>
        </is>
      </c>
      <c r="G110" s="30" t="inlineStr">
        <is>
          <t>No card</t>
        </is>
      </c>
      <c r="H110" s="30" t="inlineStr">
        <is>
          <t>—</t>
        </is>
      </c>
      <c r="I110" s="30" t="inlineStr">
        <is>
          <t>$8.32B</t>
        </is>
      </c>
      <c r="J110" s="30" t="inlineStr">
        <is>
          <t>$7.80B</t>
        </is>
      </c>
      <c r="K110" s="30" t="inlineStr">
        <is>
          <t>Santa Ana HQ (sole CA); trust/escrow/wealth; 10 branches nationwide</t>
        </is>
      </c>
      <c r="L110" s="30" t="inlineStr">
        <is>
          <t>CA-HQ'd</t>
        </is>
      </c>
      <c r="M110" s="30" t="inlineStr">
        <is>
          <t>—</t>
        </is>
      </c>
      <c r="N110" s="30" t="inlineStr">
        <is>
          <t>❌ No card (trust/escrow bank)</t>
        </is>
      </c>
      <c r="O110" s="54" t="inlineStr">
        <is>
          <t>None</t>
        </is>
      </c>
      <c r="P110" s="30" t="inlineStr">
        <is>
          <t>No</t>
        </is>
      </c>
      <c r="Q110" s="30" t="inlineStr">
        <is>
          <t>— (no business card)</t>
        </is>
      </c>
      <c r="R110" s="30" t="inlineStr">
        <is>
          <t>https://www.firstamtrust.com</t>
        </is>
      </c>
      <c r="S110" s="30" t="inlineStr">
        <is>
          <t>—</t>
        </is>
      </c>
      <c r="T110" s="30" t="inlineStr">
        <is>
          <t>N/M</t>
        </is>
      </c>
      <c r="U110" s="30" t="inlineStr">
        <is>
          <t>N/M</t>
        </is>
      </c>
      <c r="V110" s="30" t="inlineStr">
        <is>
          <t>N/M</t>
        </is>
      </c>
      <c r="W110" s="30" t="inlineStr">
        <is>
          <t>0</t>
        </is>
      </c>
      <c r="X110" s="30" t="inlineStr">
        <is>
          <t>N/M</t>
        </is>
      </c>
      <c r="Y110" s="30" t="inlineStr">
        <is>
          <t>None ('does not originate any real estate, commercial, or personal loans')</t>
        </is>
      </c>
      <c r="Z110" s="30" t="inlineStr">
        <is>
          <t>N/M (deposits restricted to title/escrow/wealth)</t>
        </is>
      </c>
      <c r="AA110" s="30" t="inlineStr">
        <is>
          <t>Not a card source</t>
        </is>
      </c>
      <c r="AB110" s="30" t="inlineStr">
        <is>
          <t>None</t>
        </is>
      </c>
      <c r="AC110" s="30" t="inlineStr">
        <is>
          <t>SoCal / Orange County</t>
        </is>
      </c>
      <c r="AD110" s="30" t="inlineStr">
        <is>
          <t>Santa Ana</t>
        </is>
      </c>
      <c r="AE110" s="30" t="inlineStr">
        <is>
          <t>12</t>
        </is>
      </c>
      <c r="AF110" s="30" t="inlineStr">
        <is>
          <t>HIGH no-card (own 'no loans' statement). 2026-05-28</t>
        </is>
      </c>
      <c r="AG110" s="30" t="inlineStr">
        <is>
          <t>firstamtrust.com/about-us + /banking-services; FDIC cert 26312</t>
        </is>
      </c>
    </row>
    <row r="111" ht="15.75" customHeight="1">
      <c r="A111" s="30" t="inlineStr">
        <is>
          <t>110</t>
        </is>
      </c>
      <c r="C111" s="53" t="inlineStr">
        <is>
          <t>Mizrahi Tefahot Bank, Ltd. (UMTB USA)</t>
        </is>
      </c>
      <c r="D111" s="43" t="inlineStr">
        <is>
          <t>CA Bank</t>
        </is>
      </c>
      <c r="E111" s="30" t="inlineStr">
        <is>
          <t>★ Core SoCal</t>
        </is>
      </c>
      <c r="F111" s="54" t="inlineStr">
        <is>
          <t>1/4  ✗SUW ✗Onl ✓SoCal ✗Card</t>
        </is>
      </c>
      <c r="G111" s="30" t="inlineStr">
        <is>
          <t>No card</t>
        </is>
      </c>
      <c r="H111" s="30" t="inlineStr">
        <is>
          <t>—</t>
        </is>
      </c>
      <c r="I111" s="30" t="inlineStr">
        <is>
          <t>$6.84B</t>
        </is>
      </c>
      <c r="J111" s="30" t="inlineStr">
        <is>
          <t>$4.38B</t>
        </is>
      </c>
      <c r="K111" s="30" t="inlineStr">
        <is>
          <t>Single LA office; insured US branch of Israeli bank; wholesale/commercial</t>
        </is>
      </c>
      <c r="L111" s="30" t="inlineStr">
        <is>
          <t>CA-HQ'd</t>
        </is>
      </c>
      <c r="M111" s="30" t="inlineStr">
        <is>
          <t>—</t>
        </is>
      </c>
      <c r="N111" s="30" t="inlineStr">
        <is>
          <t>❌ No card (foreign-bank US branch)</t>
        </is>
      </c>
      <c r="O111" s="54" t="inlineStr">
        <is>
          <t>None</t>
        </is>
      </c>
      <c r="P111" s="30" t="inlineStr">
        <is>
          <t>No</t>
        </is>
      </c>
      <c r="Q111" s="30" t="inlineStr">
        <is>
          <t>— (no business card)</t>
        </is>
      </c>
      <c r="R111" s="30" t="inlineStr">
        <is>
          <t>https://www.umtbusa.com</t>
        </is>
      </c>
      <c r="S111" s="30" t="inlineStr">
        <is>
          <t>—</t>
        </is>
      </c>
      <c r="T111" s="30" t="inlineStr">
        <is>
          <t>N/M</t>
        </is>
      </c>
      <c r="U111" s="30" t="inlineStr">
        <is>
          <t>N/M</t>
        </is>
      </c>
      <c r="V111" s="30" t="inlineStr">
        <is>
          <t>N/M</t>
        </is>
      </c>
      <c r="W111" s="30" t="inlineStr">
        <is>
          <t>0</t>
        </is>
      </c>
      <c r="X111" s="30" t="inlineStr">
        <is>
          <t>N/M (commercial loans full underwriting)</t>
        </is>
      </c>
      <c r="Y111" s="30" t="inlineStr">
        <is>
          <t>None (venture debt/LOC/term fully underwritten)</t>
        </is>
      </c>
      <c r="Z111" s="30" t="inlineStr">
        <is>
          <t>N/M (commercial-only deposits)</t>
        </is>
      </c>
      <c r="AA111" s="30" t="inlineStr">
        <is>
          <t>Not a card source</t>
        </is>
      </c>
      <c r="AB111" s="30" t="inlineStr">
        <is>
          <t>None (Venture Debt, LOC, Term, Bridge, Construction + commercial deposits)</t>
        </is>
      </c>
      <c r="AC111" s="30" t="inlineStr">
        <is>
          <t>SoCal / LA</t>
        </is>
      </c>
      <c r="AD111" s="30" t="inlineStr">
        <is>
          <t>Los Angeles</t>
        </is>
      </c>
      <c r="AE111" s="30" t="inlineStr">
        <is>
          <t>17</t>
        </is>
      </c>
      <c r="AF111" s="30" t="inlineStr">
        <is>
          <t>HIGH no-card (wholesale foreign-bank branch). 2026-05-28</t>
        </is>
      </c>
      <c r="AG111" s="30" t="inlineStr">
        <is>
          <t>umtbusa.com; dfpi.ca.gov; FDIC cert 33661</t>
        </is>
      </c>
    </row>
    <row r="112" ht="15.75" customHeight="1">
      <c r="A112" s="30" t="inlineStr">
        <is>
          <t>111</t>
        </is>
      </c>
      <c r="C112" s="53" t="inlineStr">
        <is>
          <t>Mission Federal Credit Union (Mission Fed)</t>
        </is>
      </c>
      <c r="D112" s="39" t="inlineStr">
        <is>
          <t>Credit Union</t>
        </is>
      </c>
      <c r="E112" s="30" t="inlineStr">
        <is>
          <t>★ Core SoCal</t>
        </is>
      </c>
      <c r="F112" s="54" t="inlineStr">
        <is>
          <t>1/4  ✗SUW ✗Onl ✓SoCal ✗Card</t>
        </is>
      </c>
      <c r="G112" s="30" t="inlineStr">
        <is>
          <t>No card</t>
        </is>
      </c>
      <c r="H112" s="30" t="inlineStr">
        <is>
          <t>—</t>
        </is>
      </c>
      <c r="I112" s="30" t="inlineStr">
        <is>
          <t>~$6.5B</t>
        </is>
      </c>
      <c r="J112" s="30" t="inlineStr">
        <is>
          <t>—</t>
        </is>
      </c>
      <c r="K112" s="30" t="inlineStr">
        <is>
          <t>HQ San Diego; ~$6.5B; ~34 branches (all San Diego County); 300K+ members</t>
        </is>
      </c>
      <c r="L112" s="30" t="inlineStr">
        <is>
          <t>CA-HQ'd</t>
        </is>
      </c>
      <c r="M112" s="30" t="inlineStr">
        <is>
          <t>—</t>
        </is>
      </c>
      <c r="N112" s="30" t="inlineStr">
        <is>
          <t>❌ No BUSINESS card (consumer Mastercards only; business = deposits only)</t>
        </is>
      </c>
      <c r="O112" s="34" t="inlineStr">
        <is>
          <t>Self (consumer cards; no business card)</t>
        </is>
      </c>
      <c r="P112" s="30" t="inlineStr">
        <is>
          <t>No</t>
        </is>
      </c>
      <c r="Q112" s="30" t="inlineStr">
        <is>
          <t>— (no business card)</t>
        </is>
      </c>
      <c r="R112" s="30" t="inlineStr">
        <is>
          <t>https://www.missionfed.com/credit-card-benefits/</t>
        </is>
      </c>
      <c r="S112" s="30" t="inlineStr">
        <is>
          <t>—</t>
        </is>
      </c>
      <c r="T112" s="30" t="inlineStr">
        <is>
          <t>N/M</t>
        </is>
      </c>
      <c r="U112" s="30" t="inlineStr">
        <is>
          <t>N/M</t>
        </is>
      </c>
      <c r="V112" s="30" t="inlineStr">
        <is>
          <t>Consumer-only: Preferred Platinum (0% 12mo purch+BT, 11.99-17.99%), Preferred Platinum Rewards, Premier World. No business card; no business loans/LOC marketed.</t>
        </is>
      </c>
      <c r="W112" s="30" t="inlineStr">
        <is>
          <t>0</t>
        </is>
      </c>
      <c r="X112" s="30" t="inlineStr">
        <is>
          <t>N/M (no business card)</t>
        </is>
      </c>
      <c r="Y112" s="30" t="inlineStr">
        <is>
          <t>None (business = checking + savings only; no business card/LOC)</t>
        </is>
      </c>
      <c r="Z112" s="30" t="inlineStr">
        <is>
          <t>Membership required (single-county: live/work/worship/school in San Diego County + family; NO nationwide path)</t>
        </is>
      </c>
      <c r="AA112" s="30" t="inlineStr">
        <is>
          <t>Not a card source</t>
        </is>
      </c>
      <c r="AB112" s="30" t="inlineStr">
        <is>
          <t>Consumer Mastercards only (Preferred Platinum / Rewards / Premier World)</t>
        </is>
      </c>
      <c r="AC112" s="30" t="inlineStr">
        <is>
          <t>SoCal / San Diego</t>
        </is>
      </c>
      <c r="AD112" s="30" t="inlineStr">
        <is>
          <t>San Diego</t>
        </is>
      </c>
      <c r="AE112" s="30" t="inlineStr">
        <is>
          <t>CU</t>
        </is>
      </c>
      <c r="AF112" s="30" t="inlineStr">
        <is>
          <t>HIGH no business card (consumer-only; business=deposits). Single-county FOM, no open path. 2026-05-29</t>
        </is>
      </c>
      <c r="AG112" s="30" t="inlineStr">
        <is>
          <t>missionfed.com/credit-card-benefits + /business + /checking-spending/business-checking; /membership</t>
        </is>
      </c>
    </row>
    <row r="113" ht="15.75" customHeight="1">
      <c r="A113" s="30" t="inlineStr">
        <is>
          <t>112</t>
        </is>
      </c>
      <c r="C113" s="53" t="inlineStr">
        <is>
          <t>Wescom Credit Union</t>
        </is>
      </c>
      <c r="D113" s="39" t="inlineStr">
        <is>
          <t>Credit Union</t>
        </is>
      </c>
      <c r="E113" s="30" t="inlineStr">
        <is>
          <t>★ Core SoCal</t>
        </is>
      </c>
      <c r="F113" s="54" t="inlineStr">
        <is>
          <t>1/4  ✗SUW ✗Onl ✓SoCal ✗Card</t>
        </is>
      </c>
      <c r="G113" s="30" t="inlineStr">
        <is>
          <t>No card</t>
        </is>
      </c>
      <c r="H113" s="30" t="inlineStr">
        <is>
          <t>—</t>
        </is>
      </c>
      <c r="I113" s="30" t="inlineStr">
        <is>
          <t>~$6.3B</t>
        </is>
      </c>
      <c r="J113" s="30" t="inlineStr">
        <is>
          <t>—</t>
        </is>
      </c>
      <c r="K113" s="30" t="inlineStr">
        <is>
          <t>HQ Pasadena; consumer-only; SoCal + Central Coast; ~30 branches</t>
        </is>
      </c>
      <c r="L113" s="30" t="inlineStr">
        <is>
          <t>CA-HQ'd</t>
        </is>
      </c>
      <c r="M113" s="30" t="inlineStr">
        <is>
          <t>—</t>
        </is>
      </c>
      <c r="N113" s="30" t="inlineStr">
        <is>
          <t>❌ No business card (consumer-only CU; no business banking/lending)</t>
        </is>
      </c>
      <c r="O113" s="54" t="inlineStr">
        <is>
          <t>None (self-issues consumer cards)</t>
        </is>
      </c>
      <c r="P113" s="30" t="inlineStr">
        <is>
          <t>No</t>
        </is>
      </c>
      <c r="Q113" s="30" t="inlineStr">
        <is>
          <t>— (no business card)</t>
        </is>
      </c>
      <c r="R113" s="30" t="inlineStr">
        <is>
          <t>https://www.wescom.org/cards/credit-cards</t>
        </is>
      </c>
      <c r="S113" s="30" t="inlineStr">
        <is>
          <t>—</t>
        </is>
      </c>
      <c r="T113" s="30" t="inlineStr">
        <is>
          <t>N/M</t>
        </is>
      </c>
      <c r="U113" s="30" t="inlineStr">
        <is>
          <t>N/M</t>
        </is>
      </c>
      <c r="V113" s="30" t="inlineStr">
        <is>
          <t>N/M (no business card)</t>
        </is>
      </c>
      <c r="W113" s="30" t="inlineStr">
        <is>
          <t>0</t>
        </is>
      </c>
      <c r="X113" s="30" t="inlineStr">
        <is>
          <t>N/M</t>
        </is>
      </c>
      <c r="Y113" s="30" t="inlineStr">
        <is>
          <t>None (consumer-only; no business lending)</t>
        </is>
      </c>
      <c r="Z113" s="30" t="inlineStr">
        <is>
          <t>Membership required (SoCal + Central Coast; no open nationwide path)</t>
        </is>
      </c>
      <c r="AA113" s="30" t="inlineStr">
        <is>
          <t>Not a card source</t>
        </is>
      </c>
      <c r="AB113" s="30" t="inlineStr">
        <is>
          <t>None (consumer Visa only)</t>
        </is>
      </c>
      <c r="AC113" s="30" t="inlineStr">
        <is>
          <t>SoCal / Los Angeles (Pasadena)</t>
        </is>
      </c>
      <c r="AD113" s="30" t="inlineStr">
        <is>
          <t>Pasadena, CA</t>
        </is>
      </c>
      <c r="AE113" s="30" t="inlineStr">
        <is>
          <t>CU</t>
        </is>
      </c>
      <c r="AF113" s="30" t="inlineStr">
        <is>
          <t>HIGH no-business-card (consumer-only CU). 2026-05-28</t>
        </is>
      </c>
      <c r="AG113" s="30" t="inlineStr">
        <is>
          <t>wescom.org/cards + /loans (consumer-only); en.wikipedia.org</t>
        </is>
      </c>
    </row>
    <row r="114" ht="15.75" customHeight="1">
      <c r="A114" s="30" t="inlineStr">
        <is>
          <t>113</t>
        </is>
      </c>
      <c r="C114" s="53" t="inlineStr">
        <is>
          <t>River City Bank</t>
        </is>
      </c>
      <c r="D114" s="43" t="inlineStr">
        <is>
          <t>CA Bank</t>
        </is>
      </c>
      <c r="E114" s="30" t="inlineStr">
        <is>
          <t>Other — NorCal</t>
        </is>
      </c>
      <c r="F114" s="54" t="inlineStr">
        <is>
          <t>0/4  ✗SUW ✗Onl ✗SoCal ✗Card</t>
        </is>
      </c>
      <c r="G114" s="30" t="inlineStr">
        <is>
          <t>No card</t>
        </is>
      </c>
      <c r="H114" s="30" t="inlineStr">
        <is>
          <t>—</t>
        </is>
      </c>
      <c r="I114" s="30" t="inlineStr">
        <is>
          <t>$6.05B</t>
        </is>
      </c>
      <c r="J114" s="30" t="inlineStr">
        <is>
          <t>$5.39B</t>
        </is>
      </c>
      <c r="K114" s="30" t="inlineStr">
        <is>
          <t>Sacramento metro (Citrus Heights, Davis, Elk Grove, Granite Bay, Placerville, Woodland)</t>
        </is>
      </c>
      <c r="L114" s="30" t="inlineStr">
        <is>
          <t>CA-HQ'd</t>
        </is>
      </c>
      <c r="M114" s="30" t="inlineStr">
        <is>
          <t>—</t>
        </is>
      </c>
      <c r="N114" s="30" t="inlineStr">
        <is>
          <t>⚠️ No consumer card (debit + commercial lending only)</t>
        </is>
      </c>
      <c r="O114" s="54" t="inlineStr">
        <is>
          <t>None (Sacramento entity)</t>
        </is>
      </c>
      <c r="P114" s="30" t="inlineStr">
        <is>
          <t>No</t>
        </is>
      </c>
      <c r="Q114" s="30" t="inlineStr">
        <is>
          <t>— (no business card)</t>
        </is>
      </c>
      <c r="R114" s="30" t="inlineStr">
        <is>
          <t>https://rivercitybank.com</t>
        </is>
      </c>
      <c r="S114" s="30" t="inlineStr">
        <is>
          <t>—</t>
        </is>
      </c>
      <c r="T114" s="30" t="inlineStr">
        <is>
          <t>N/M</t>
        </is>
      </c>
      <c r="U114" s="30" t="inlineStr">
        <is>
          <t>N/M</t>
        </is>
      </c>
      <c r="V114" s="30" t="inlineStr">
        <is>
          <t>N/M</t>
        </is>
      </c>
      <c r="W114" s="30" t="inlineStr">
        <is>
          <t>0</t>
        </is>
      </c>
      <c r="X114" s="30" t="inlineStr">
        <is>
          <t>N/M (commercial loans full underwriting)</t>
        </is>
      </c>
      <c r="Y114" s="30" t="inlineStr">
        <is>
          <t>None (Revolving/Non-Revolving LOC, Term, LCs, CRE - full-doc)</t>
        </is>
      </c>
      <c r="Z114" s="30" t="inlineStr">
        <is>
          <t>N/M</t>
        </is>
      </c>
      <c r="AA114" s="30" t="inlineStr">
        <is>
          <t>Not a card source</t>
        </is>
      </c>
      <c r="AB114" s="30" t="inlineStr">
        <is>
          <t>Business Debit Mastercard only ('Business Credit Card' is an unlinked heading)</t>
        </is>
      </c>
      <c r="AC114" s="30" t="inlineStr">
        <is>
          <t>NorCal / Sacramento</t>
        </is>
      </c>
      <c r="AD114" s="30" t="inlineStr">
        <is>
          <t>Sacramento</t>
        </is>
      </c>
      <c r="AE114" s="30" t="inlineStr">
        <is>
          <t>18</t>
        </is>
      </c>
      <c r="AF114" s="30" t="inlineStr">
        <is>
          <t>HIGH no-consumer-card. NOT rivercity.bank GA (ServisFirst cards) nor rivercitybankky.com. 2026-05-28</t>
        </is>
      </c>
      <c r="AG114" s="30" t="inlineStr">
        <is>
          <t>rivercitybank.com home + /commercial-lending + /business-debit-card</t>
        </is>
      </c>
    </row>
    <row r="115" ht="15.75" customHeight="1">
      <c r="A115" s="30" t="inlineStr">
        <is>
          <t>114</t>
        </is>
      </c>
      <c r="C115" s="53" t="inlineStr">
        <is>
          <t>Heritage Bank of Commerce</t>
        </is>
      </c>
      <c r="D115" s="36" t="inlineStr">
        <is>
          <t>Regional</t>
        </is>
      </c>
      <c r="E115" s="30" t="inlineStr">
        <is>
          <t>Other — NorCal</t>
        </is>
      </c>
      <c r="F115" s="54" t="inlineStr">
        <is>
          <t>0/4  ✗SUW ✗Onl ✗SoCal ✗Card</t>
        </is>
      </c>
      <c r="G115" s="30" t="inlineStr">
        <is>
          <t>No card</t>
        </is>
      </c>
      <c r="H115" s="30" t="inlineStr">
        <is>
          <t>—</t>
        </is>
      </c>
      <c r="I115" s="30" t="inlineStr">
        <is>
          <t>~$5.6B (pre-merger)</t>
        </is>
      </c>
      <c r="J115" s="30" t="inlineStr">
        <is>
          <t>—</t>
        </is>
      </c>
      <c r="K115" s="30" t="inlineStr">
        <is>
          <t>HQ San Jose; merged into Citizens Business Bank Apr 17 2026; Bay Area business bank</t>
        </is>
      </c>
      <c r="L115" s="30" t="inlineStr">
        <is>
          <t>N/M</t>
        </is>
      </c>
      <c r="M115" s="30" t="inlineStr">
        <is>
          <t>—</t>
        </is>
      </c>
      <c r="N115" s="30" t="inlineStr">
        <is>
          <t>⚠️ MERGED into Citizens Business Bank (Apr 2026); no standalone card; successor card = Elan (see Citizens Business Bank row)</t>
        </is>
      </c>
      <c r="O115" s="51" t="inlineStr">
        <is>
          <t>(merged -&gt; Citizens Business Bank, Elan)</t>
        </is>
      </c>
      <c r="P115" s="30" t="inlineStr">
        <is>
          <t>No</t>
        </is>
      </c>
      <c r="Q115" s="30" t="inlineStr">
        <is>
          <t>— (no business card)</t>
        </is>
      </c>
      <c r="R115" s="30" t="inlineStr">
        <is>
          <t>https://heritagebankofcommerce.bank/</t>
        </is>
      </c>
      <c r="S115" s="30" t="inlineStr">
        <is>
          <t>—</t>
        </is>
      </c>
      <c r="T115" s="30" t="inlineStr">
        <is>
          <t>N/M</t>
        </is>
      </c>
      <c r="U115" s="30" t="inlineStr">
        <is>
          <t>N/M</t>
        </is>
      </c>
      <c r="V115" s="30" t="inlineStr">
        <is>
          <t>Merged into Citizens Business Bank (CVB Financial) Apr 17 2026.</t>
        </is>
      </c>
      <c r="W115" s="30" t="inlineStr">
        <is>
          <t>0</t>
        </is>
      </c>
      <c r="X115" s="30" t="inlineStr">
        <is>
          <t>N/M</t>
        </is>
      </c>
      <c r="Y115" s="30" t="inlineStr">
        <is>
          <t>None</t>
        </is>
      </c>
      <c r="Z115" s="30" t="inlineStr">
        <is>
          <t>N/M</t>
        </is>
      </c>
      <c r="AA115" s="30" t="inlineStr">
        <is>
          <t>Not a card source</t>
        </is>
      </c>
      <c r="AB115" s="30" t="inlineStr">
        <is>
          <t>None standalone (now Citizens Business Bank, Elan)</t>
        </is>
      </c>
      <c r="AC115" s="30" t="inlineStr">
        <is>
          <t>NorCal / Silicon Valley (San Jose) — now Citizens Business Bank</t>
        </is>
      </c>
      <c r="AD115" s="30" t="inlineStr">
        <is>
          <t>San Jose, CA</t>
        </is>
      </c>
      <c r="AE115" s="30" t="inlineStr">
        <is>
          <t>Reg</t>
        </is>
      </c>
      <c r="AF115" s="30" t="inlineStr">
        <is>
          <t>HIGH merged into Citizens Business Bank (Elan). No standalone card. 2026-05-28</t>
        </is>
      </c>
      <c r="AG115" s="30" t="inlineStr">
        <is>
          <t>heritagebankofcommerce.bank (now Citizens); cbbank.com/business-cards (Elan); SEC 10-K; CVB merger PR</t>
        </is>
      </c>
    </row>
    <row r="116" ht="15.75" customHeight="1">
      <c r="A116" s="30" t="inlineStr">
        <is>
          <t>115</t>
        </is>
      </c>
      <c r="C116" s="53" t="inlineStr">
        <is>
          <t>CTBC Bank Corp. (USA)</t>
        </is>
      </c>
      <c r="D116" s="43" t="inlineStr">
        <is>
          <t>CA Bank</t>
        </is>
      </c>
      <c r="E116" s="30" t="inlineStr">
        <is>
          <t>★ Core SoCal</t>
        </is>
      </c>
      <c r="F116" s="54" t="inlineStr">
        <is>
          <t>1/4  ✗SUW ✗Onl ✓SoCal ✗Card</t>
        </is>
      </c>
      <c r="G116" s="30" t="inlineStr">
        <is>
          <t>No card</t>
        </is>
      </c>
      <c r="H116" s="30" t="inlineStr">
        <is>
          <t>—</t>
        </is>
      </c>
      <c r="I116" s="30" t="inlineStr">
        <is>
          <t>$5.37B</t>
        </is>
      </c>
      <c r="J116" s="30" t="inlineStr">
        <is>
          <t>$4.55B</t>
        </is>
      </c>
      <c r="K116" s="30" t="inlineStr">
        <is>
          <t>17 of 20 branches in CA; LA, SF, Irvine, Cupertino, SGV; CTBC Taiwan subsidiary</t>
        </is>
      </c>
      <c r="L116" s="30" t="inlineStr">
        <is>
          <t>CA-HQ'd</t>
        </is>
      </c>
      <c r="M116" s="30" t="inlineStr">
        <is>
          <t>—</t>
        </is>
      </c>
      <c r="N116" s="30" t="inlineStr">
        <is>
          <t>❌ No BUSINESS card (consumer-only via TCM)</t>
        </is>
      </c>
      <c r="O116" s="54" t="inlineStr">
        <is>
          <t>None for business (TCM issues its consumer cards)</t>
        </is>
      </c>
      <c r="P116" s="30" t="inlineStr">
        <is>
          <t>No</t>
        </is>
      </c>
      <c r="Q116" s="30" t="inlineStr">
        <is>
          <t>— (no business card)</t>
        </is>
      </c>
      <c r="R116" s="30" t="inlineStr">
        <is>
          <t>https://www.ctbcbankusa.com</t>
        </is>
      </c>
      <c r="S116" s="30" t="inlineStr">
        <is>
          <t>—</t>
        </is>
      </c>
      <c r="T116" s="30" t="inlineStr">
        <is>
          <t>N/M</t>
        </is>
      </c>
      <c r="U116" s="30" t="inlineStr">
        <is>
          <t>N/M</t>
        </is>
      </c>
      <c r="V116" s="30" t="inlineStr">
        <is>
          <t>N/M (no business card)</t>
        </is>
      </c>
      <c r="W116" s="30" t="inlineStr">
        <is>
          <t>0</t>
        </is>
      </c>
      <c r="X116" s="30" t="inlineStr">
        <is>
          <t>N/M</t>
        </is>
      </c>
      <c r="Y116" s="30" t="inlineStr">
        <is>
          <t>None (SBA/ABL/equipment/trade/CRE full-doc)</t>
        </is>
      </c>
      <c r="Z116" s="30" t="inlineStr">
        <is>
          <t>N/M</t>
        </is>
      </c>
      <c r="AA116" s="30" t="inlineStr">
        <is>
          <t>Not a card source</t>
        </is>
      </c>
      <c r="AB116" s="30" t="inlineStr">
        <is>
          <t>3 CONSUMER Visa cards (TCM); no business card</t>
        </is>
      </c>
      <c r="AC116" s="30" t="inlineStr">
        <is>
          <t>SoCal / LA</t>
        </is>
      </c>
      <c r="AD116" s="30" t="inlineStr">
        <is>
          <t>Los Angeles</t>
        </is>
      </c>
      <c r="AE116" s="30" t="inlineStr">
        <is>
          <t>22</t>
        </is>
      </c>
      <c r="AF116" s="30" t="inlineStr">
        <is>
          <t>HIGH no-business-card + TCM consumer issuer. 2026-05-28</t>
        </is>
      </c>
      <c r="AG116" s="30" t="inlineStr">
        <is>
          <t>ctbcbankusa.com/Consumer-Credit-Cards + /Commercial-Banking; tcmbank.com</t>
        </is>
      </c>
    </row>
    <row r="117" ht="15.75" customHeight="1">
      <c r="A117" s="30" t="inlineStr">
        <is>
          <t>116</t>
        </is>
      </c>
      <c r="C117" s="53" t="inlineStr">
        <is>
          <t>Technology Credit Union (Tech CU)</t>
        </is>
      </c>
      <c r="D117" s="39" t="inlineStr">
        <is>
          <t>Credit Union</t>
        </is>
      </c>
      <c r="E117" s="30" t="inlineStr">
        <is>
          <t>Other — NorCal</t>
        </is>
      </c>
      <c r="F117" s="54" t="inlineStr">
        <is>
          <t>0/4  ✗SUW ✗Onl ✗SoCal ✗Card</t>
        </is>
      </c>
      <c r="G117" s="30" t="inlineStr">
        <is>
          <t>No card</t>
        </is>
      </c>
      <c r="H117" s="30" t="inlineStr">
        <is>
          <t>—</t>
        </is>
      </c>
      <c r="I117" s="30" t="inlineStr">
        <is>
          <t>~$4.8B</t>
        </is>
      </c>
      <c r="J117" s="30" t="inlineStr">
        <is>
          <t>—</t>
        </is>
      </c>
      <c r="K117" s="30" t="inlineStr">
        <is>
          <t>9 Bay Area branches + TX/ID; 15 CA counties FOM</t>
        </is>
      </c>
      <c r="L117" s="30" t="inlineStr">
        <is>
          <t>CA-HQ'd</t>
        </is>
      </c>
      <c r="M117" s="30" t="inlineStr">
        <is>
          <t>—</t>
        </is>
      </c>
      <c r="N117" s="30" t="inlineStr">
        <is>
          <t>❌ No business card (business = LOC / term / SBA only)</t>
        </is>
      </c>
      <c r="O117" s="54" t="inlineStr">
        <is>
          <t>None (self-issues personal cards)</t>
        </is>
      </c>
      <c r="P117" s="30" t="inlineStr">
        <is>
          <t>No</t>
        </is>
      </c>
      <c r="Q117" s="30" t="inlineStr">
        <is>
          <t>— (no business card)</t>
        </is>
      </c>
      <c r="R117" s="30" t="inlineStr">
        <is>
          <t>https://www.techcu.com/Business</t>
        </is>
      </c>
      <c r="S117" s="30" t="inlineStr">
        <is>
          <t>—</t>
        </is>
      </c>
      <c r="T117" s="30" t="inlineStr">
        <is>
          <t>N/M (Experian for personal)</t>
        </is>
      </c>
      <c r="U117" s="30" t="inlineStr">
        <is>
          <t>N/M</t>
        </is>
      </c>
      <c r="V117" s="30" t="inlineStr">
        <is>
          <t>N/M (no business card)</t>
        </is>
      </c>
      <c r="W117" s="30" t="inlineStr">
        <is>
          <t>0</t>
        </is>
      </c>
      <c r="X117" s="30" t="inlineStr">
        <is>
          <t>N/M</t>
        </is>
      </c>
      <c r="Y117" s="30" t="inlineStr">
        <is>
          <t>Working Capital LOC / Term / SBA = underwritten, not no-doc</t>
        </is>
      </c>
      <c r="Z117" s="30" t="inlineStr">
        <is>
          <t>Membership required (15 CA counties + tech employers + family)</t>
        </is>
      </c>
      <c r="AA117" s="30" t="inlineStr">
        <is>
          <t>Not a card source</t>
        </is>
      </c>
      <c r="AB117" s="30" t="inlineStr">
        <is>
          <t>None (business = LOC/term/SBA; consumer Visa only)</t>
        </is>
      </c>
      <c r="AC117" s="30" t="inlineStr">
        <is>
          <t>NorCal / Silicon Valley</t>
        </is>
      </c>
      <c r="AD117" s="30" t="inlineStr">
        <is>
          <t>San Jose, CA</t>
        </is>
      </c>
      <c r="AE117" s="30" t="inlineStr">
        <is>
          <t>CU</t>
        </is>
      </c>
      <c r="AF117" s="30" t="inlineStr">
        <is>
          <t>HIGH no-business-card (sitemap + business pages confirm). 2026-05-28</t>
        </is>
      </c>
      <c r="AG117" s="30" t="inlineStr">
        <is>
          <t>techcu.com/Business + /Small-Business-and-Commercial-Banking + /Sitemap; en.wikipedia.org</t>
        </is>
      </c>
    </row>
    <row r="118" ht="15.75" customHeight="1">
      <c r="A118" s="30" t="inlineStr">
        <is>
          <t>117</t>
        </is>
      </c>
      <c r="C118" s="53" t="inlineStr">
        <is>
          <t>Commercial Bank of California</t>
        </is>
      </c>
      <c r="D118" s="43" t="inlineStr">
        <is>
          <t>CA Bank</t>
        </is>
      </c>
      <c r="E118" s="30" t="inlineStr">
        <is>
          <t>★ Core SoCal</t>
        </is>
      </c>
      <c r="F118" s="54" t="inlineStr">
        <is>
          <t>1/4  ✗SUW ✗Onl ✓SoCal ✗Card</t>
        </is>
      </c>
      <c r="G118" s="30" t="inlineStr">
        <is>
          <t>No card</t>
        </is>
      </c>
      <c r="H118" s="30" t="inlineStr">
        <is>
          <t>—</t>
        </is>
      </c>
      <c r="I118" s="30" t="inlineStr">
        <is>
          <t>$3.90B</t>
        </is>
      </c>
      <c r="J118" s="30" t="inlineStr">
        <is>
          <t>$3.39B</t>
        </is>
      </c>
      <c r="K118" s="30" t="inlineStr">
        <is>
          <t>~6 offices Orange County + Greater LA (Irvine, Costa Mesa, Anaheim, Santa Monica, LA)</t>
        </is>
      </c>
      <c r="L118" s="30" t="inlineStr">
        <is>
          <t>CA-HQ'd</t>
        </is>
      </c>
      <c r="M118" s="30" t="inlineStr">
        <is>
          <t>—</t>
        </is>
      </c>
      <c r="N118" s="30" t="inlineStr">
        <is>
          <t>❌ No card (merchant acquirer, not issuer)</t>
        </is>
      </c>
      <c r="O118" s="54" t="inlineStr">
        <is>
          <t>None (card acceptance, not issuance)</t>
        </is>
      </c>
      <c r="P118" s="30" t="inlineStr">
        <is>
          <t>No</t>
        </is>
      </c>
      <c r="Q118" s="30" t="inlineStr">
        <is>
          <t>— (no business card)</t>
        </is>
      </c>
      <c r="R118" s="30" t="inlineStr">
        <is>
          <t>https://cbcal.com</t>
        </is>
      </c>
      <c r="S118" s="30" t="inlineStr">
        <is>
          <t>—</t>
        </is>
      </c>
      <c r="T118" s="30" t="inlineStr">
        <is>
          <t>N/M</t>
        </is>
      </c>
      <c r="U118" s="30" t="inlineStr">
        <is>
          <t>N/M</t>
        </is>
      </c>
      <c r="V118" s="30" t="inlineStr">
        <is>
          <t>N/M</t>
        </is>
      </c>
      <c r="W118" s="30" t="inlineStr">
        <is>
          <t>0</t>
        </is>
      </c>
      <c r="X118" s="30" t="inlineStr">
        <is>
          <t>N/M</t>
        </is>
      </c>
      <c r="Y118" s="30" t="inlineStr">
        <is>
          <t>None (working-capital/ABL LOC, term, SBA PLP, USDA, equipment - underwritten)</t>
        </is>
      </c>
      <c r="Z118" s="30" t="inlineStr">
        <is>
          <t>N/M</t>
        </is>
      </c>
      <c r="AA118" s="30" t="inlineStr">
        <is>
          <t>Not a card source</t>
        </is>
      </c>
      <c r="AB118" s="30" t="inlineStr">
        <is>
          <t>None (merchant acquiring/processing only)</t>
        </is>
      </c>
      <c r="AC118" s="30" t="inlineStr">
        <is>
          <t>SoCal / Orange County</t>
        </is>
      </c>
      <c r="AD118" s="30" t="inlineStr">
        <is>
          <t>Irvine</t>
        </is>
      </c>
      <c r="AE118" s="30" t="inlineStr">
        <is>
          <t>29</t>
        </is>
      </c>
      <c r="AF118" s="30" t="inlineStr">
        <is>
          <t>HIGH no-card. Not Banc of California nor California Bank of Commerce. 2026-05-28</t>
        </is>
      </c>
      <c r="AG118" s="30" t="inlineStr">
        <is>
          <t>cbcal.com/business-lending + /payment-processing + /locations; FDIC cert 57417</t>
        </is>
      </c>
    </row>
    <row r="119" ht="15.75" customHeight="1">
      <c r="A119" s="30" t="inlineStr">
        <is>
          <t>118</t>
        </is>
      </c>
      <c r="C119" s="53" t="inlineStr">
        <is>
          <t>Credit Union of Southern California (CU SoCal)</t>
        </is>
      </c>
      <c r="D119" s="39" t="inlineStr">
        <is>
          <t>Credit Union</t>
        </is>
      </c>
      <c r="E119" s="30" t="inlineStr">
        <is>
          <t>★ Core SoCal</t>
        </is>
      </c>
      <c r="F119" s="54" t="inlineStr">
        <is>
          <t>1/4  ✗SUW ✗Onl ✓SoCal ✗Card</t>
        </is>
      </c>
      <c r="G119" s="30" t="inlineStr">
        <is>
          <t>No card</t>
        </is>
      </c>
      <c r="H119" s="30" t="inlineStr">
        <is>
          <t>—</t>
        </is>
      </c>
      <c r="I119" s="30" t="inlineStr">
        <is>
          <t>~$3.7B</t>
        </is>
      </c>
      <c r="J119" s="30" t="inlineStr">
        <is>
          <t>—</t>
        </is>
      </c>
      <c r="K119" s="30" t="inlineStr">
        <is>
          <t>HQ Anaheim (OC); ~$3.7B; ~25 SoCal branches + Lake Havasu AZ; est 1954</t>
        </is>
      </c>
      <c r="L119" s="30" t="inlineStr">
        <is>
          <t>CA-HQ'd</t>
        </is>
      </c>
      <c r="M119" s="30" t="inlineStr">
        <is>
          <t>—</t>
        </is>
      </c>
      <c r="N119" s="30" t="inlineStr">
        <is>
          <t>❌ No BUSINESS card (consumer Visa only; 'may not be used for business purposes'); SELF-issued</t>
        </is>
      </c>
      <c r="O119" s="34" t="inlineStr">
        <is>
          <t>Self (consumer cards; no business card)</t>
        </is>
      </c>
      <c r="P119" s="30" t="inlineStr">
        <is>
          <t>No</t>
        </is>
      </c>
      <c r="Q119" s="30" t="inlineStr">
        <is>
          <t>— (no business card)</t>
        </is>
      </c>
      <c r="R119" s="30" t="inlineStr">
        <is>
          <t>https://www.cusocal.org/cards/credit-card/</t>
        </is>
      </c>
      <c r="S119" s="30" t="inlineStr">
        <is>
          <t>—</t>
        </is>
      </c>
      <c r="T119" s="30" t="inlineStr">
        <is>
          <t>N/M</t>
        </is>
      </c>
      <c r="U119" s="30" t="inlineStr">
        <is>
          <t>N/M (consumer cards report to personal bureaus)</t>
        </is>
      </c>
      <c r="V119" s="30" t="inlineStr">
        <is>
          <t>Consumer-only: Platinum Rewards, Topaz (0% 9mo on BT only), Share Secured. No business card.</t>
        </is>
      </c>
      <c r="W119" s="30" t="inlineStr">
        <is>
          <t>0</t>
        </is>
      </c>
      <c r="X119" s="30" t="inlineStr">
        <is>
          <t>N/M (no business card)</t>
        </is>
      </c>
      <c r="Y119" s="30" t="inlineStr">
        <is>
          <t>None (business banking = deposits + business loans; no business card)</t>
        </is>
      </c>
      <c r="Z119" s="30" t="inlineStr">
        <is>
          <t>Membership required (LA/OC/IE + Lake Havasu AZ + 500 SEGs; OPEN nationwide via complimentary nonprofit association)</t>
        </is>
      </c>
      <c r="AA119" s="30" t="inlineStr">
        <is>
          <t>Not a card source</t>
        </is>
      </c>
      <c r="AB119" s="30" t="inlineStr">
        <is>
          <t>Consumer Visa only (Platinum Rewards, Topaz, Share Secured) — explicitly NOT for business use</t>
        </is>
      </c>
      <c r="AC119" s="30" t="inlineStr">
        <is>
          <t>SoCal / LA-OC-Inland Empire</t>
        </is>
      </c>
      <c r="AD119" s="30" t="inlineStr">
        <is>
          <t>Anaheim</t>
        </is>
      </c>
      <c r="AE119" s="30" t="inlineStr">
        <is>
          <t>CU</t>
        </is>
      </c>
      <c r="AF119" s="30" t="inlineStr">
        <is>
          <t>HIGH no business card (cards explicitly consumer-only). Easy nationwide membership path noted. 2026-05-29</t>
        </is>
      </c>
      <c r="AG119" s="30" t="inlineStr">
        <is>
          <t>cusocal.org/cards/credit-card + cardholder agreement (consumer-only, self-issued); /business-banking (no card)</t>
        </is>
      </c>
    </row>
    <row r="120" ht="15.75" customHeight="1">
      <c r="A120" s="30" t="inlineStr">
        <is>
          <t>119</t>
        </is>
      </c>
      <c r="C120" s="53" t="inlineStr">
        <is>
          <t>California Coast Credit Union</t>
        </is>
      </c>
      <c r="D120" s="39" t="inlineStr">
        <is>
          <t>Credit Union</t>
        </is>
      </c>
      <c r="E120" s="30" t="inlineStr">
        <is>
          <t>★ Core SoCal</t>
        </is>
      </c>
      <c r="F120" s="54" t="inlineStr">
        <is>
          <t>1/4  ✗SUW ✗Onl ✓SoCal ✗Card</t>
        </is>
      </c>
      <c r="G120" s="30" t="inlineStr">
        <is>
          <t>No card</t>
        </is>
      </c>
      <c r="H120" s="30" t="inlineStr">
        <is>
          <t>—</t>
        </is>
      </c>
      <c r="I120" s="30" t="inlineStr">
        <is>
          <t>~$3.36B</t>
        </is>
      </c>
      <c r="J120" s="30" t="inlineStr">
        <is>
          <t>—</t>
        </is>
      </c>
      <c r="K120" s="30" t="inlineStr">
        <is>
          <t>7 SoCal counties; ~26 branches</t>
        </is>
      </c>
      <c r="L120" s="30" t="inlineStr">
        <is>
          <t>CA-HQ'd</t>
        </is>
      </c>
      <c r="M120" s="30" t="inlineStr">
        <is>
          <t>—</t>
        </is>
      </c>
      <c r="N120" s="30" t="inlineStr">
        <is>
          <t>❌ No business card (consumer cards only; business = loans via NewtekOne)</t>
        </is>
      </c>
      <c r="O120" s="54" t="inlineStr">
        <is>
          <t>None (no business card)</t>
        </is>
      </c>
      <c r="P120" s="30" t="inlineStr">
        <is>
          <t>No</t>
        </is>
      </c>
      <c r="Q120" s="30" t="inlineStr">
        <is>
          <t>— (no business card)</t>
        </is>
      </c>
      <c r="R120" s="30" t="inlineStr">
        <is>
          <t>https://www.calcoastcu.org/business-home-page/business-services/</t>
        </is>
      </c>
      <c r="S120" s="30" t="inlineStr">
        <is>
          <t>—</t>
        </is>
      </c>
      <c r="T120" s="30" t="inlineStr">
        <is>
          <t>N/M</t>
        </is>
      </c>
      <c r="U120" s="30" t="inlineStr">
        <is>
          <t>N/M</t>
        </is>
      </c>
      <c r="V120" s="30" t="inlineStr">
        <is>
          <t>N/M (no business card)</t>
        </is>
      </c>
      <c r="W120" s="30" t="inlineStr">
        <is>
          <t>0</t>
        </is>
      </c>
      <c r="X120" s="30" t="inlineStr">
        <is>
          <t>N/M</t>
        </is>
      </c>
      <c r="Y120" s="30" t="inlineStr">
        <is>
          <t>Business loans via NewtekOne ($50K-$15M, LOC &lt;=$5M) — full-doc, not no-doc</t>
        </is>
      </c>
      <c r="Z120" s="30" t="inlineStr">
        <is>
          <t>Membership required (7 SoCal counties, $5)</t>
        </is>
      </c>
      <c r="AA120" s="30" t="inlineStr">
        <is>
          <t>Not a card source</t>
        </is>
      </c>
      <c r="AB120" s="30" t="inlineStr">
        <is>
          <t>None (business = NewtekOne loans; consumer cards only)</t>
        </is>
      </c>
      <c r="AC120" s="30" t="inlineStr">
        <is>
          <t>SoCal / San Diego (7-county FOM)</t>
        </is>
      </c>
      <c r="AD120" s="30" t="inlineStr">
        <is>
          <t>San Diego, CA</t>
        </is>
      </c>
      <c r="AE120" s="30" t="inlineStr">
        <is>
          <t>CU</t>
        </is>
      </c>
      <c r="AF120" s="30" t="inlineStr">
        <is>
          <t>HIGH no-business-card (3 product pages confirm). 2026-05-28</t>
        </is>
      </c>
      <c r="AG120" s="30" t="inlineStr">
        <is>
          <t>calcoastcu.org/business-services + /loans/business-loans + /credit-cards; en.wikipedia.org</t>
        </is>
      </c>
    </row>
    <row r="121" ht="15.75" customHeight="1">
      <c r="A121" s="30" t="inlineStr">
        <is>
          <t>120</t>
        </is>
      </c>
      <c r="C121" s="53" t="inlineStr">
        <is>
          <t>El Dorado Savings Bank, F.S.B.</t>
        </is>
      </c>
      <c r="D121" s="43" t="inlineStr">
        <is>
          <t>CA Bank</t>
        </is>
      </c>
      <c r="E121" s="30" t="inlineStr">
        <is>
          <t>Other — NorCal</t>
        </is>
      </c>
      <c r="F121" s="54" t="inlineStr">
        <is>
          <t>0/4  ✗SUW ✗Onl ✗SoCal ✗Card</t>
        </is>
      </c>
      <c r="G121" s="30" t="inlineStr">
        <is>
          <t>No card</t>
        </is>
      </c>
      <c r="H121" s="30" t="inlineStr">
        <is>
          <t>—</t>
        </is>
      </c>
      <c r="I121" s="30" t="inlineStr">
        <is>
          <t>$2.47B</t>
        </is>
      </c>
      <c r="J121" s="30" t="inlineStr">
        <is>
          <t>$2.13B</t>
        </is>
      </c>
      <c r="K121" s="30" t="inlineStr">
        <is>
          <t>31 CA branches Greater Sacramento + Sierra/Eastern Sierra</t>
        </is>
      </c>
      <c r="L121" s="30" t="inlineStr">
        <is>
          <t>CA-HQ'd</t>
        </is>
      </c>
      <c r="M121" s="30" t="inlineStr">
        <is>
          <t>—</t>
        </is>
      </c>
      <c r="N121" s="30" t="inlineStr">
        <is>
          <t>❌ No card (thrift; debit only)</t>
        </is>
      </c>
      <c r="O121" s="54" t="inlineStr">
        <is>
          <t>None</t>
        </is>
      </c>
      <c r="P121" s="30" t="inlineStr">
        <is>
          <t>No</t>
        </is>
      </c>
      <c r="Q121" s="30" t="inlineStr">
        <is>
          <t>— (no business card)</t>
        </is>
      </c>
      <c r="R121" s="30" t="inlineStr">
        <is>
          <t>https://www.eldoradosavingsbank.com</t>
        </is>
      </c>
      <c r="S121" s="30" t="inlineStr">
        <is>
          <t>—</t>
        </is>
      </c>
      <c r="T121" s="30" t="inlineStr">
        <is>
          <t>N/M</t>
        </is>
      </c>
      <c r="U121" s="30" t="inlineStr">
        <is>
          <t>N/M</t>
        </is>
      </c>
      <c r="V121" s="30" t="inlineStr">
        <is>
          <t>N/M</t>
        </is>
      </c>
      <c r="W121" s="30" t="inlineStr">
        <is>
          <t>0</t>
        </is>
      </c>
      <c r="X121" s="30" t="inlineStr">
        <is>
          <t>N/M</t>
        </is>
      </c>
      <c r="Y121" s="30" t="inlineStr">
        <is>
          <t>None (lending is exclusively residential: Home Loans, Refi, HELOC)</t>
        </is>
      </c>
      <c r="Z121" s="30" t="inlineStr">
        <is>
          <t>N/M</t>
        </is>
      </c>
      <c r="AA121" s="30" t="inlineStr">
        <is>
          <t>Not a card source</t>
        </is>
      </c>
      <c r="AB121" s="30" t="inlineStr">
        <is>
          <t>Business Visa DEBIT only</t>
        </is>
      </c>
      <c r="AC121" s="30" t="inlineStr">
        <is>
          <t>NorCal / Sacramento (foothills)</t>
        </is>
      </c>
      <c r="AD121" s="30" t="inlineStr">
        <is>
          <t>Placerville</t>
        </is>
      </c>
      <c r="AE121" s="30" t="inlineStr">
        <is>
          <t>39</t>
        </is>
      </c>
      <c r="AF121" s="30" t="inlineStr">
        <is>
          <t>HIGH no-card (thrift; residential-only lending). 2026-05-28</t>
        </is>
      </c>
      <c r="AG121" s="30" t="inlineStr">
        <is>
          <t>eldoradosavingsbank.com/Business + /Lending; branchspot.com</t>
        </is>
      </c>
    </row>
    <row r="122" ht="15.75" customHeight="1">
      <c r="A122" s="30" t="inlineStr">
        <is>
          <t>121</t>
        </is>
      </c>
      <c r="C122" s="53" t="inlineStr">
        <is>
          <t>Financial Partners Credit Union</t>
        </is>
      </c>
      <c r="D122" s="39" t="inlineStr">
        <is>
          <t>Credit Union</t>
        </is>
      </c>
      <c r="E122" s="30" t="inlineStr">
        <is>
          <t>★ Core SoCal</t>
        </is>
      </c>
      <c r="F122" s="54" t="inlineStr">
        <is>
          <t>1/4  ✗SUW ✗Onl ✓SoCal ✗Card</t>
        </is>
      </c>
      <c r="G122" s="30" t="inlineStr">
        <is>
          <t>No card</t>
        </is>
      </c>
      <c r="H122" s="30" t="inlineStr">
        <is>
          <t>—</t>
        </is>
      </c>
      <c r="I122" s="30" t="inlineStr">
        <is>
          <t>~$2.4B</t>
        </is>
      </c>
      <c r="J122" s="30" t="inlineStr">
        <is>
          <t>—</t>
        </is>
      </c>
      <c r="K122" s="30" t="inlineStr">
        <is>
          <t>HQ Downey (LA County); ~$2.3-2.5B; ~7 branches; LA/OC + Bay Area; Boeing-legacy SEGs</t>
        </is>
      </c>
      <c r="L122" s="30" t="inlineStr">
        <is>
          <t>CA-HQ'd</t>
        </is>
      </c>
      <c r="M122" s="30" t="inlineStr">
        <is>
          <t>—</t>
        </is>
      </c>
      <c r="N122" s="30" t="inlineStr">
        <is>
          <t>❌ No BUSINESS card (consumer Visa only; business = deposit accounts only)</t>
        </is>
      </c>
      <c r="O122" s="34" t="inlineStr">
        <is>
          <t>Self (consumer cards; no business card)</t>
        </is>
      </c>
      <c r="P122" s="30" t="inlineStr">
        <is>
          <t>No</t>
        </is>
      </c>
      <c r="Q122" s="30" t="inlineStr">
        <is>
          <t>— (no business card)</t>
        </is>
      </c>
      <c r="R122" s="30" t="inlineStr">
        <is>
          <t>https://fpcu.org/loans-credit/credit-cards</t>
        </is>
      </c>
      <c r="S122" s="30" t="inlineStr">
        <is>
          <t>—</t>
        </is>
      </c>
      <c r="T122" s="30" t="inlineStr">
        <is>
          <t>N/M</t>
        </is>
      </c>
      <c r="U122" s="30" t="inlineStr">
        <is>
          <t>N/M</t>
        </is>
      </c>
      <c r="V122" s="30" t="inlineStr">
        <is>
          <t>Consumer-only (Visa Platinum Rewards 0% 12mo purch+BT, 12.74-30.49%, $0 AF; Platinum; Savings Secured). No business card.</t>
        </is>
      </c>
      <c r="W122" s="30" t="inlineStr">
        <is>
          <t>0</t>
        </is>
      </c>
      <c r="X122" s="30" t="inlineStr">
        <is>
          <t>N/M</t>
        </is>
      </c>
      <c r="Y122" s="30" t="inlineStr">
        <is>
          <t>None (business = checking/savings only)</t>
        </is>
      </c>
      <c r="Z122" s="30" t="inlineStr">
        <is>
          <t>Membership required (LA/Orange/San Diego/Riverside counties + S.SF/Alameda + ~700 SEGs + family + AARP; OPEN nationwide via American Consumer Council)</t>
        </is>
      </c>
      <c r="AA122" s="30" t="inlineStr">
        <is>
          <t>Not a card source</t>
        </is>
      </c>
      <c r="AB122" s="30" t="inlineStr">
        <is>
          <t>Consumer Visa only (Platinum Rewards, Platinum, Savings Secured)</t>
        </is>
      </c>
      <c r="AC122" s="30" t="inlineStr">
        <is>
          <t>SoCal / LA</t>
        </is>
      </c>
      <c r="AD122" s="30" t="inlineStr">
        <is>
          <t>Downey</t>
        </is>
      </c>
      <c r="AE122" s="30" t="inlineStr">
        <is>
          <t>CU</t>
        </is>
      </c>
      <c r="AF122" s="30" t="inlineStr">
        <is>
          <t>HIGH no business card (personal Visa only; business=deposits). ACC nationwide path noted. 2026-05-29</t>
        </is>
      </c>
      <c r="AG122" s="30" t="inlineStr">
        <is>
          <t>fpcu.org/loans-credit/credit-cards + /checking-savings/business-accounts; depositaccounts.com</t>
        </is>
      </c>
    </row>
    <row r="123" ht="15.75" customHeight="1">
      <c r="A123" s="30" t="inlineStr">
        <is>
          <t>122</t>
        </is>
      </c>
      <c r="C123" s="53" t="inlineStr">
        <is>
          <t>Arrowhead Credit Union</t>
        </is>
      </c>
      <c r="D123" s="39" t="inlineStr">
        <is>
          <t>Credit Union</t>
        </is>
      </c>
      <c r="E123" s="30" t="inlineStr">
        <is>
          <t>★ Core SoCal</t>
        </is>
      </c>
      <c r="F123" s="54" t="inlineStr">
        <is>
          <t>1/4  ✗SUW ✗Onl ✓SoCal ✗Card</t>
        </is>
      </c>
      <c r="G123" s="30" t="inlineStr">
        <is>
          <t>No card</t>
        </is>
      </c>
      <c r="H123" s="30" t="inlineStr">
        <is>
          <t>—</t>
        </is>
      </c>
      <c r="I123" s="30" t="inlineStr">
        <is>
          <t>~$2.31B</t>
        </is>
      </c>
      <c r="J123" s="30" t="inlineStr">
        <is>
          <t>—</t>
        </is>
      </c>
      <c r="K123" s="30" t="inlineStr">
        <is>
          <t>HQ Rancho Cucamonga (IE); ~$2.3B; ~20 branches; core FOM San Bernardino + Riverside</t>
        </is>
      </c>
      <c r="L123" s="30" t="inlineStr">
        <is>
          <t>CA-HQ'd</t>
        </is>
      </c>
      <c r="M123" s="30" t="inlineStr">
        <is>
          <t>—</t>
        </is>
      </c>
      <c r="N123" s="30" t="inlineStr">
        <is>
          <t>❌ No BUSINESS card (consumer Visa only; business = loans/SBA/CRE)</t>
        </is>
      </c>
      <c r="O123" s="34" t="inlineStr">
        <is>
          <t>Self (consumer cards; no business card)</t>
        </is>
      </c>
      <c r="P123" s="30" t="inlineStr">
        <is>
          <t>No</t>
        </is>
      </c>
      <c r="Q123" s="30" t="inlineStr">
        <is>
          <t>— (no business card)</t>
        </is>
      </c>
      <c r="R123" s="30" t="inlineStr">
        <is>
          <t>https://www.arrowheadcu.org/arrowhead-visa</t>
        </is>
      </c>
      <c r="S123" s="30" t="inlineStr">
        <is>
          <t>—</t>
        </is>
      </c>
      <c r="T123" s="30" t="inlineStr">
        <is>
          <t>N/M (free Experian/FICO score to cardholders)</t>
        </is>
      </c>
      <c r="U123" s="30" t="inlineStr">
        <is>
          <t>N/M</t>
        </is>
      </c>
      <c r="V123" s="30" t="inlineStr">
        <is>
          <t>Consumer-only Visa (no 0% intro; 13.49-17.25%; $0 AF; $0 BT/CA fees). No business card.</t>
        </is>
      </c>
      <c r="W123" s="30" t="inlineStr">
        <is>
          <t>0</t>
        </is>
      </c>
      <c r="X123" s="30" t="inlineStr">
        <is>
          <t>N/M</t>
        </is>
      </c>
      <c r="Y123" s="30" t="inlineStr">
        <is>
          <t>None (business = SBA/CRE up to ~$5M/equipment/investment-property full-doc)</t>
        </is>
      </c>
      <c r="Z123" s="30" t="inlineStr">
        <is>
          <t>Membership required (Riverside + San Bernardino counties, 17 S-LA-County cities, AZ/NV areas + family; association path via Surfrider/Community Impact Fund — Arrowhead pays fee)</t>
        </is>
      </c>
      <c r="AA123" s="30" t="inlineStr">
        <is>
          <t>Not a card source</t>
        </is>
      </c>
      <c r="AB123" s="30" t="inlineStr">
        <is>
          <t>Consumer Visa only (Arrowhead Visa, Share-Secured Visa)</t>
        </is>
      </c>
      <c r="AC123" s="30" t="inlineStr">
        <is>
          <t>SoCal / Inland Empire</t>
        </is>
      </c>
      <c r="AD123" s="30" t="inlineStr">
        <is>
          <t>Rancho Cucamonga</t>
        </is>
      </c>
      <c r="AE123" s="30" t="inlineStr">
        <is>
          <t>CU</t>
        </is>
      </c>
      <c r="AF123" s="30" t="inlineStr">
        <is>
          <t>HIGH no business card (consumer-only; business=loans). Association membership path noted. 2026-05-29</t>
        </is>
      </c>
      <c r="AG123" s="30" t="inlineStr">
        <is>
          <t>arrowheadcu.org/arrowhead-visa + /loans/business + /eligibility (Surfrider/CIF path)</t>
        </is>
      </c>
    </row>
    <row r="124" ht="15.75" customHeight="1">
      <c r="A124" s="30" t="inlineStr">
        <is>
          <t>123</t>
        </is>
      </c>
      <c r="C124" s="53" t="inlineStr">
        <is>
          <t>US Metro Bank</t>
        </is>
      </c>
      <c r="D124" s="43" t="inlineStr">
        <is>
          <t>CA Bank</t>
        </is>
      </c>
      <c r="E124" s="30" t="inlineStr">
        <is>
          <t>★ Core SoCal</t>
        </is>
      </c>
      <c r="F124" s="54" t="inlineStr">
        <is>
          <t>1/4  ✗SUW ✗Onl ✓SoCal ✗Card</t>
        </is>
      </c>
      <c r="G124" s="30" t="inlineStr">
        <is>
          <t>No card</t>
        </is>
      </c>
      <c r="H124" s="30" t="inlineStr">
        <is>
          <t>—</t>
        </is>
      </c>
      <c r="I124" s="30" t="inlineStr">
        <is>
          <t>$1.56B</t>
        </is>
      </c>
      <c r="J124" s="30" t="inlineStr">
        <is>
          <t>$1.36B</t>
        </is>
      </c>
      <c r="K124" s="30" t="inlineStr">
        <is>
          <t>Garden Grove HQ; Anaheim, LA x3, Buena Park, Torrance; Korean-American</t>
        </is>
      </c>
      <c r="L124" s="30" t="inlineStr">
        <is>
          <t>CA-HQ'd</t>
        </is>
      </c>
      <c r="M124" s="30" t="inlineStr">
        <is>
          <t>—</t>
        </is>
      </c>
      <c r="N124" s="30" t="inlineStr">
        <is>
          <t>❌ No card (debit only)</t>
        </is>
      </c>
      <c r="O124" s="54" t="inlineStr">
        <is>
          <t>None</t>
        </is>
      </c>
      <c r="P124" s="30" t="inlineStr">
        <is>
          <t>No</t>
        </is>
      </c>
      <c r="Q124" s="30" t="inlineStr">
        <is>
          <t>— (no business card)</t>
        </is>
      </c>
      <c r="R124" s="30" t="inlineStr">
        <is>
          <t>https://www.usmetrobank.com</t>
        </is>
      </c>
      <c r="S124" s="30" t="inlineStr">
        <is>
          <t>—</t>
        </is>
      </c>
      <c r="T124" s="30" t="inlineStr">
        <is>
          <t>N/M</t>
        </is>
      </c>
      <c r="U124" s="30" t="inlineStr">
        <is>
          <t>N/M</t>
        </is>
      </c>
      <c r="V124" s="30" t="inlineStr">
        <is>
          <t>N/M</t>
        </is>
      </c>
      <c r="W124" s="30" t="inlineStr">
        <is>
          <t>0</t>
        </is>
      </c>
      <c r="X124" s="30" t="inlineStr">
        <is>
          <t>N/M</t>
        </is>
      </c>
      <c r="Y124" s="30" t="inlineStr">
        <is>
          <t>Business LOC + Term Loans 'simple documentation' (no stated no-tax-return policy); SBA PLP full-doc</t>
        </is>
      </c>
      <c r="Z124" s="30" t="inlineStr">
        <is>
          <t>N/M</t>
        </is>
      </c>
      <c r="AA124" s="30" t="inlineStr">
        <is>
          <t>Not a card source</t>
        </is>
      </c>
      <c r="AB124" s="30" t="inlineStr">
        <is>
          <t>MasterCard DEBIT only (no credit card; no CFPB agreement)</t>
        </is>
      </c>
      <c r="AC124" s="30" t="inlineStr">
        <is>
          <t>SoCal / Orange County</t>
        </is>
      </c>
      <c r="AD124" s="30" t="inlineStr">
        <is>
          <t>Garden Grove</t>
        </is>
      </c>
      <c r="AE124" s="30" t="inlineStr">
        <is>
          <t>48</t>
        </is>
      </c>
      <c r="AF124" s="30" t="inlineStr">
        <is>
          <t>HIGH no-card (own nav, no CFPB agreement). 2026-05-28</t>
        </is>
      </c>
      <c r="AG124" s="30" t="inlineStr">
        <is>
          <t>usmetrobank.com/banking-services + /business-loans; consumerfinance.gov (no agreement)</t>
        </is>
      </c>
    </row>
    <row r="125" ht="15.75" customHeight="1">
      <c r="A125" s="30" t="inlineStr">
        <is>
          <t>124</t>
        </is>
      </c>
      <c r="C125" s="53" t="inlineStr">
        <is>
          <t>Frontwave Credit Union</t>
        </is>
      </c>
      <c r="D125" s="39" t="inlineStr">
        <is>
          <t>Credit Union</t>
        </is>
      </c>
      <c r="E125" s="30" t="inlineStr">
        <is>
          <t>★ Core SoCal</t>
        </is>
      </c>
      <c r="F125" s="54" t="inlineStr">
        <is>
          <t>1/4  ✗SUW ✗Onl ✓SoCal ✗Card</t>
        </is>
      </c>
      <c r="G125" s="30" t="inlineStr">
        <is>
          <t>No card</t>
        </is>
      </c>
      <c r="H125" s="30" t="inlineStr">
        <is>
          <t>—</t>
        </is>
      </c>
      <c r="I125" s="30" t="inlineStr">
        <is>
          <t>~$1.5B</t>
        </is>
      </c>
      <c r="J125" s="30" t="inlineStr">
        <is>
          <t>—</t>
        </is>
      </c>
      <c r="K125" s="30" t="inlineStr">
        <is>
          <t>HQ Oceanside; ~$1.5B (post Community Valley Bank acq 2025); ~13 branches; North County SD + IE; ex-Pacific Marine CU</t>
        </is>
      </c>
      <c r="L125" s="30" t="inlineStr">
        <is>
          <t>CA-HQ'd</t>
        </is>
      </c>
      <c r="M125" s="30" t="inlineStr">
        <is>
          <t>—</t>
        </is>
      </c>
      <c r="N125" s="30" t="inlineStr">
        <is>
          <t>❌ No BUSINESS card (consumer Visa only; business = loans/LOC)</t>
        </is>
      </c>
      <c r="O125" s="34" t="inlineStr">
        <is>
          <t>Self (consumer cards; no business card)</t>
        </is>
      </c>
      <c r="P125" s="30" t="inlineStr">
        <is>
          <t>No</t>
        </is>
      </c>
      <c r="Q125" s="30" t="inlineStr">
        <is>
          <t>— (no business card)</t>
        </is>
      </c>
      <c r="R125" s="30" t="inlineStr">
        <is>
          <t>https://www.frontwavecu.com</t>
        </is>
      </c>
      <c r="S125" s="30" t="inlineStr">
        <is>
          <t>—</t>
        </is>
      </c>
      <c r="T125" s="30" t="inlineStr">
        <is>
          <t>N/M</t>
        </is>
      </c>
      <c r="U125" s="30" t="inlineStr">
        <is>
          <t>N/M</t>
        </is>
      </c>
      <c r="V125" s="30" t="inlineStr">
        <is>
          <t>Consumer-only Visa (Classic/Platinum/Signature Rewards/Secured). No business credit card found.</t>
        </is>
      </c>
      <c r="W125" s="30" t="inlineStr">
        <is>
          <t>0</t>
        </is>
      </c>
      <c r="X125" s="30" t="inlineStr">
        <is>
          <t>N/M</t>
        </is>
      </c>
      <c r="Y125" s="30" t="inlineStr">
        <is>
          <t>Unsecured Business LOC $5K-$250K (collateral-free, but NOT no-doc) + secured BLOC/equipment/CRE</t>
        </is>
      </c>
      <c r="Z125" s="30" t="inlineStr">
        <is>
          <t>Membership required (San Diego/Riverside/San Bernardino[/Imperial] counties + family; military/community; NO nationwide path; business acct in-person, $1,500 min)</t>
        </is>
      </c>
      <c r="AA125" s="30" t="inlineStr">
        <is>
          <t>Not a card source</t>
        </is>
      </c>
      <c r="AB125" s="30" t="inlineStr">
        <is>
          <t>Consumer Visa only; business = loans/LOC (incl. unsecured BLOC $5K-$250K)</t>
        </is>
      </c>
      <c r="AC125" s="30" t="inlineStr">
        <is>
          <t>SoCal / San Diego (+ Inland Empire)</t>
        </is>
      </c>
      <c r="AD125" s="30" t="inlineStr">
        <is>
          <t>Oceanside</t>
        </is>
      </c>
      <c r="AE125" s="30" t="inlineStr">
        <is>
          <t>CU</t>
        </is>
      </c>
      <c r="AF125" s="30" t="inlineStr">
        <is>
          <t>MED-HIGH no business CARD (consumer-only; site PDFs Cloudflare-blocked); unsecured BLOC $5K-$250K noted. 2026-05-29</t>
        </is>
      </c>
      <c r="AG125" s="30" t="inlineStr">
        <is>
          <t>frontwavecu.com/business-banking + /Business/Borrow/Business-Line-of-Credit; en.wikipedia.org</t>
        </is>
      </c>
    </row>
    <row r="126" ht="15.75" customHeight="1">
      <c r="A126" s="30" t="inlineStr">
        <is>
          <t>125</t>
        </is>
      </c>
      <c r="C126" s="53" t="inlineStr">
        <is>
          <t>Malaga Bank F.S.B.</t>
        </is>
      </c>
      <c r="D126" s="43" t="inlineStr">
        <is>
          <t>CA Bank</t>
        </is>
      </c>
      <c r="E126" s="30" t="inlineStr">
        <is>
          <t>★ Core SoCal</t>
        </is>
      </c>
      <c r="F126" s="54" t="inlineStr">
        <is>
          <t>1/4  ✗SUW ✗Onl ✓SoCal ✗Card</t>
        </is>
      </c>
      <c r="G126" s="30" t="inlineStr">
        <is>
          <t>No card</t>
        </is>
      </c>
      <c r="H126" s="30" t="inlineStr">
        <is>
          <t>—</t>
        </is>
      </c>
      <c r="I126" s="30" t="inlineStr">
        <is>
          <t>$1.44B</t>
        </is>
      </c>
      <c r="J126" s="30" t="inlineStr">
        <is>
          <t>$0.94B</t>
        </is>
      </c>
      <c r="K126" s="30" t="inlineStr">
        <is>
          <t>South Bay Los Angeles since 1985</t>
        </is>
      </c>
      <c r="L126" s="30" t="inlineStr">
        <is>
          <t>CA-HQ'd</t>
        </is>
      </c>
      <c r="M126" s="30" t="inlineStr">
        <is>
          <t>—</t>
        </is>
      </c>
      <c r="N126" s="30" t="inlineStr">
        <is>
          <t>❌ No card (CRE thrift; debit only)</t>
        </is>
      </c>
      <c r="O126" s="54" t="inlineStr">
        <is>
          <t>None</t>
        </is>
      </c>
      <c r="P126" s="30" t="inlineStr">
        <is>
          <t>No</t>
        </is>
      </c>
      <c r="Q126" s="30" t="inlineStr">
        <is>
          <t>— (no business card)</t>
        </is>
      </c>
      <c r="R126" s="30" t="inlineStr">
        <is>
          <t>https://www.malagabank.com</t>
        </is>
      </c>
      <c r="S126" s="30" t="inlineStr">
        <is>
          <t>—</t>
        </is>
      </c>
      <c r="T126" s="30" t="inlineStr">
        <is>
          <t>N/M</t>
        </is>
      </c>
      <c r="U126" s="30" t="inlineStr">
        <is>
          <t>N/M</t>
        </is>
      </c>
      <c r="V126" s="30" t="inlineStr">
        <is>
          <t>N/M</t>
        </is>
      </c>
      <c r="W126" s="30" t="inlineStr">
        <is>
          <t>0</t>
        </is>
      </c>
      <c r="X126" s="30" t="inlineStr">
        <is>
          <t>N/M</t>
        </is>
      </c>
      <c r="Y126" s="30" t="inlineStr">
        <is>
          <t>Secured lending $10K-$2M+ (working capital/equipment/CRE); doc reqs undisclosed; no-doc not advertised</t>
        </is>
      </c>
      <c r="Z126" s="30" t="inlineStr">
        <is>
          <t>N/M</t>
        </is>
      </c>
      <c r="AA126" s="30" t="inlineStr">
        <is>
          <t>Not a card source</t>
        </is>
      </c>
      <c r="AB126" s="30" t="inlineStr">
        <is>
          <t>Business Visa DEBIT only</t>
        </is>
      </c>
      <c r="AC126" s="30" t="inlineStr">
        <is>
          <t>SoCal / LA (South Bay)</t>
        </is>
      </c>
      <c r="AD126" s="30" t="inlineStr">
        <is>
          <t>Palos Verdes Peninsula</t>
        </is>
      </c>
      <c r="AE126" s="30" t="inlineStr">
        <is>
          <t>49</t>
        </is>
      </c>
      <c r="AF126" s="30" t="inlineStr">
        <is>
          <t>HIGH no-card (CRE thrift, debit-only). 2026-05-28</t>
        </is>
      </c>
      <c r="AG126" s="30" t="inlineStr">
        <is>
          <t>malagabank.com/business-banking-services + /business-loans</t>
        </is>
      </c>
    </row>
    <row r="127" ht="15.75" customHeight="1">
      <c r="A127" s="30" t="inlineStr">
        <is>
          <t>126</t>
        </is>
      </c>
      <c r="C127" s="53" t="inlineStr">
        <is>
          <t>The Bank of New York Mellon Trust Company, N.A.</t>
        </is>
      </c>
      <c r="D127" s="43" t="inlineStr">
        <is>
          <t>CA Bank</t>
        </is>
      </c>
      <c r="E127" s="30" t="inlineStr">
        <is>
          <t>★ Core SoCal</t>
        </is>
      </c>
      <c r="F127" s="54" t="inlineStr">
        <is>
          <t>1/4  ✗SUW ✗Onl ✓SoCal ✗Card</t>
        </is>
      </c>
      <c r="G127" s="30" t="inlineStr">
        <is>
          <t>No card</t>
        </is>
      </c>
      <c r="H127" s="30" t="inlineStr">
        <is>
          <t>—</t>
        </is>
      </c>
      <c r="I127" s="30" t="inlineStr">
        <is>
          <t>$1.39B</t>
        </is>
      </c>
      <c r="J127" s="30" t="inlineStr">
        <is>
          <t>N/M</t>
        </is>
      </c>
      <c r="K127" s="30" t="inlineStr">
        <is>
          <t>HQ 333 S Hope St, LA; OCC-chartered trust/custody bank; trust offices, not retail branches</t>
        </is>
      </c>
      <c r="L127" s="30" t="inlineStr">
        <is>
          <t>CA-HQ'd</t>
        </is>
      </c>
      <c r="M127" s="30" t="inlineStr">
        <is>
          <t>—</t>
        </is>
      </c>
      <c r="N127" s="30" t="inlineStr">
        <is>
          <t>❌ No card (corporate trust/custody charter; no public lending)</t>
        </is>
      </c>
      <c r="O127" s="54" t="inlineStr">
        <is>
          <t>None</t>
        </is>
      </c>
      <c r="P127" s="30" t="inlineStr">
        <is>
          <t>No</t>
        </is>
      </c>
      <c r="Q127" s="30" t="inlineStr">
        <is>
          <t>— (no business card)</t>
        </is>
      </c>
      <c r="R127" s="30" t="inlineStr">
        <is>
          <t>https://www.bnymellon.com</t>
        </is>
      </c>
      <c r="S127" s="30" t="inlineStr">
        <is>
          <t>—</t>
        </is>
      </c>
      <c r="T127" s="30" t="inlineStr">
        <is>
          <t>N/M</t>
        </is>
      </c>
      <c r="U127" s="30" t="inlineStr">
        <is>
          <t>N/M</t>
        </is>
      </c>
      <c r="V127" s="30" t="inlineStr">
        <is>
          <t>N/M (fiduciary/securitization-trustee entity, not a card issuer)</t>
        </is>
      </c>
      <c r="W127" s="30" t="inlineStr">
        <is>
          <t>0</t>
        </is>
      </c>
      <c r="X127" s="30" t="inlineStr">
        <is>
          <t>N/M</t>
        </is>
      </c>
      <c r="Y127" s="30" t="inlineStr">
        <is>
          <t>None (no public-facing lending of any kind)</t>
        </is>
      </c>
      <c r="Z127" s="30" t="inlineStr">
        <is>
          <t>N/M</t>
        </is>
      </c>
      <c r="AA127" s="30" t="inlineStr">
        <is>
          <t>Not a card source</t>
        </is>
      </c>
      <c r="AB127" s="30" t="inlineStr">
        <is>
          <t>None (corporate trust / custody / indenture-trustee services)</t>
        </is>
      </c>
      <c r="AC127" s="30" t="inlineStr">
        <is>
          <t>SoCal / LA</t>
        </is>
      </c>
      <c r="AD127" s="30" t="inlineStr">
        <is>
          <t>Los Angeles</t>
        </is>
      </c>
      <c r="AE127" s="30" t="inlineStr">
        <is>
          <t>52</t>
        </is>
      </c>
      <c r="AF127" s="30" t="inlineStr">
        <is>
          <t>HIGH no-card (limited-purpose trust charter; LA HQ). 2026-05-29</t>
        </is>
      </c>
      <c r="AG127" s="30" t="inlineStr">
        <is>
          <t>FDIC cert 23472; ffiec.gov NPW profile 398668; bankbranchlocator.com (LA office)</t>
        </is>
      </c>
    </row>
    <row r="128" ht="15.75" customHeight="1">
      <c r="A128" s="30" t="inlineStr">
        <is>
          <t>127</t>
        </is>
      </c>
      <c r="C128" s="53" t="inlineStr">
        <is>
          <t>Column National Association</t>
        </is>
      </c>
      <c r="D128" s="43" t="inlineStr">
        <is>
          <t>CA Bank</t>
        </is>
      </c>
      <c r="E128" s="30" t="inlineStr">
        <is>
          <t>Other — NorCal</t>
        </is>
      </c>
      <c r="F128" s="54" t="inlineStr">
        <is>
          <t>0/4  ✗SUW ✗Onl ✗SoCal ✗Card</t>
        </is>
      </c>
      <c r="G128" s="30" t="inlineStr">
        <is>
          <t>No card</t>
        </is>
      </c>
      <c r="H128" s="30" t="inlineStr">
        <is>
          <t>—</t>
        </is>
      </c>
      <c r="I128" s="30" t="inlineStr">
        <is>
          <t>$1.39B</t>
        </is>
      </c>
      <c r="J128" s="30" t="inlineStr">
        <is>
          <t>N/M</t>
        </is>
      </c>
      <c r="K128" s="30" t="inlineStr">
        <is>
          <t>HQ Chico; nationally-chartered BaaS bank (founded 2021 by Plaid co-founder); no retail branches</t>
        </is>
      </c>
      <c r="L128" s="30" t="inlineStr">
        <is>
          <t>CA-HQ'd</t>
        </is>
      </c>
      <c r="M128" s="30" t="inlineStr">
        <is>
          <t>—</t>
        </is>
      </c>
      <c r="N128" s="30" t="inlineStr">
        <is>
          <t>❌ No card (BaaS sponsor bank; serves fintechs, not end-businesses)</t>
        </is>
      </c>
      <c r="O128" s="54" t="inlineStr">
        <is>
          <t>None (sponsors fintech card programs; not a direct issuer to businesses)</t>
        </is>
      </c>
      <c r="P128" s="30" t="inlineStr">
        <is>
          <t>No</t>
        </is>
      </c>
      <c r="Q128" s="30" t="inlineStr">
        <is>
          <t>— (no business card)</t>
        </is>
      </c>
      <c r="R128" s="30" t="inlineStr">
        <is>
          <t>https://column.com</t>
        </is>
      </c>
      <c r="S128" s="30" t="inlineStr">
        <is>
          <t>—</t>
        </is>
      </c>
      <c r="T128" s="30" t="inlineStr">
        <is>
          <t>N/M</t>
        </is>
      </c>
      <c r="U128" s="30" t="inlineStr">
        <is>
          <t>N/M</t>
        </is>
      </c>
      <c r="V128" s="30" t="inlineStr">
        <is>
          <t>N/M (developer-infrastructure / banking-as-a-service)</t>
        </is>
      </c>
      <c r="W128" s="30" t="inlineStr">
        <is>
          <t>0</t>
        </is>
      </c>
      <c r="X128" s="30" t="inlineStr">
        <is>
          <t>N/M</t>
        </is>
      </c>
      <c r="Y128" s="30" t="inlineStr">
        <is>
          <t>None direct (provides lending/issuing rails to fintech partners e.g. Mercury/Brex/Ramp — those are partner products)</t>
        </is>
      </c>
      <c r="Z128" s="30" t="inlineStr">
        <is>
          <t>N/M</t>
        </is>
      </c>
      <c r="AA128" s="30" t="inlineStr">
        <is>
          <t>Not a card source</t>
        </is>
      </c>
      <c r="AB128" s="30" t="inlineStr">
        <is>
          <t>None to end-businesses (BaaS rails: accounts, ACH/wire/FedNow, card-issuing infrastructure for fintechs)</t>
        </is>
      </c>
      <c r="AC128" s="30" t="inlineStr">
        <is>
          <t>NorCal / Sacramento (Chico)</t>
        </is>
      </c>
      <c r="AD128" s="30" t="inlineStr">
        <is>
          <t>Chico</t>
        </is>
      </c>
      <c r="AE128" s="30" t="inlineStr">
        <is>
          <t>53</t>
        </is>
      </c>
      <c r="AF128" s="30" t="inlineStr">
        <is>
          <t>HIGH no direct-to-business card (BaaS sponsor model). 2026-05-29</t>
        </is>
      </c>
      <c r="AG128" s="30" t="inlineStr">
        <is>
          <t>column.com; FDIC cert 58224; sacra.com/c/column; bankingembedded.com</t>
        </is>
      </c>
    </row>
    <row r="129" ht="15.75" customHeight="1">
      <c r="A129" s="30" t="inlineStr">
        <is>
          <t>128</t>
        </is>
      </c>
      <c r="C129" s="53" t="inlineStr">
        <is>
          <t>Bank of the Orient</t>
        </is>
      </c>
      <c r="D129" s="43" t="inlineStr">
        <is>
          <t>CA Bank</t>
        </is>
      </c>
      <c r="E129" s="30" t="inlineStr">
        <is>
          <t>Other — NorCal</t>
        </is>
      </c>
      <c r="F129" s="54" t="inlineStr">
        <is>
          <t>0/4  ✗SUW ✗Onl ✗SoCal ✗Card</t>
        </is>
      </c>
      <c r="G129" s="30" t="inlineStr">
        <is>
          <t>No card</t>
        </is>
      </c>
      <c r="H129" s="30" t="inlineStr">
        <is>
          <t>—</t>
        </is>
      </c>
      <c r="I129" s="30" t="inlineStr">
        <is>
          <t>$1.16B</t>
        </is>
      </c>
      <c r="J129" s="30" t="inlineStr">
        <is>
          <t>N/M</t>
        </is>
      </c>
      <c r="K129" s="30" t="inlineStr">
        <is>
          <t>~6 CA branches (NorCal); SF HQ + Xiamen China; Asian-American/trade focus</t>
        </is>
      </c>
      <c r="L129" s="30" t="inlineStr">
        <is>
          <t>CA-HQ'd</t>
        </is>
      </c>
      <c r="M129" s="30" t="inlineStr">
        <is>
          <t>—</t>
        </is>
      </c>
      <c r="N129" s="30" t="inlineStr">
        <is>
          <t>❌ No card (debit + commercial lending only)</t>
        </is>
      </c>
      <c r="O129" s="54" t="inlineStr">
        <is>
          <t>None</t>
        </is>
      </c>
      <c r="P129" s="30" t="inlineStr">
        <is>
          <t>No</t>
        </is>
      </c>
      <c r="Q129" s="30" t="inlineStr">
        <is>
          <t>— (no business card)</t>
        </is>
      </c>
      <c r="R129" s="30" t="inlineStr">
        <is>
          <t>https://www.bankorient.com</t>
        </is>
      </c>
      <c r="S129" s="30" t="inlineStr">
        <is>
          <t>—</t>
        </is>
      </c>
      <c r="T129" s="30" t="inlineStr">
        <is>
          <t>N/M</t>
        </is>
      </c>
      <c r="U129" s="30" t="inlineStr">
        <is>
          <t>N/M</t>
        </is>
      </c>
      <c r="V129" s="30" t="inlineStr">
        <is>
          <t>N/M</t>
        </is>
      </c>
      <c r="W129" s="30" t="inlineStr">
        <is>
          <t>0</t>
        </is>
      </c>
      <c r="X129" s="30" t="inlineStr">
        <is>
          <t>N/M</t>
        </is>
      </c>
      <c r="Y129" s="30" t="inlineStr">
        <is>
          <t>None (term/LOC/SBA conventional underwriting)</t>
        </is>
      </c>
      <c r="Z129" s="30" t="inlineStr">
        <is>
          <t>N/M</t>
        </is>
      </c>
      <c r="AA129" s="30" t="inlineStr">
        <is>
          <t>Not a card source</t>
        </is>
      </c>
      <c r="AB129" s="30" t="inlineStr">
        <is>
          <t>None (debit cards + commercial lending only)</t>
        </is>
      </c>
      <c r="AC129" s="30" t="inlineStr">
        <is>
          <t>NorCal / SF</t>
        </is>
      </c>
      <c r="AD129" s="30" t="inlineStr">
        <is>
          <t>San Francisco</t>
        </is>
      </c>
      <c r="AE129" s="30" t="inlineStr">
        <is>
          <t>57</t>
        </is>
      </c>
      <c r="AF129" s="30" t="inlineStr">
        <is>
          <t>HIGH no-card (own site nav; debit only). 2026-05-29</t>
        </is>
      </c>
      <c r="AG129" s="30" t="inlineStr">
        <is>
          <t>bankorient.com (site nav, Business Solutions, Debit Cards); dfpi.ca.gov</t>
        </is>
      </c>
    </row>
    <row r="130" ht="15.75" customHeight="1">
      <c r="A130" s="30" t="inlineStr">
        <is>
          <t>129</t>
        </is>
      </c>
      <c r="C130" s="53" t="inlineStr">
        <is>
          <t>Pacific Coast Bankers' Bank (PCBB)</t>
        </is>
      </c>
      <c r="D130" s="43" t="inlineStr">
        <is>
          <t>CA Bank</t>
        </is>
      </c>
      <c r="E130" s="30" t="inlineStr">
        <is>
          <t>Other — NorCal</t>
        </is>
      </c>
      <c r="F130" s="54" t="inlineStr">
        <is>
          <t>0/4  ✗SUW ✗Onl ✗SoCal ✗Card</t>
        </is>
      </c>
      <c r="G130" s="30" t="inlineStr">
        <is>
          <t>No card</t>
        </is>
      </c>
      <c r="H130" s="30" t="inlineStr">
        <is>
          <t>—</t>
        </is>
      </c>
      <c r="I130" s="30" t="inlineStr">
        <is>
          <t>$1.08B</t>
        </is>
      </c>
      <c r="J130" s="30" t="inlineStr">
        <is>
          <t>N/M</t>
        </is>
      </c>
      <c r="K130" s="30" t="inlineStr">
        <is>
          <t>Bankers'-bank (wholesale 'bank for banks'); national FI clientele; no retail/business channel</t>
        </is>
      </c>
      <c r="L130" s="30" t="inlineStr">
        <is>
          <t>CA-HQ'd</t>
        </is>
      </c>
      <c r="M130" s="30" t="inlineStr">
        <is>
          <t>—</t>
        </is>
      </c>
      <c r="N130" s="30" t="inlineStr">
        <is>
          <t>❌ No card (bankers' bank — serves financial institutions, not businesses)</t>
        </is>
      </c>
      <c r="O130" s="54" t="inlineStr">
        <is>
          <t>None</t>
        </is>
      </c>
      <c r="P130" s="30" t="inlineStr">
        <is>
          <t>No</t>
        </is>
      </c>
      <c r="Q130" s="30" t="inlineStr">
        <is>
          <t>— (no business card)</t>
        </is>
      </c>
      <c r="R130" s="30" t="inlineStr">
        <is>
          <t>https://www.pcbb.com</t>
        </is>
      </c>
      <c r="S130" s="30" t="inlineStr">
        <is>
          <t>—</t>
        </is>
      </c>
      <c r="T130" s="30" t="inlineStr">
        <is>
          <t>N/M</t>
        </is>
      </c>
      <c r="U130" s="30" t="inlineStr">
        <is>
          <t>N/M</t>
        </is>
      </c>
      <c r="V130" s="30" t="inlineStr">
        <is>
          <t>N/M ('will never compete for your customers')</t>
        </is>
      </c>
      <c r="W130" s="30" t="inlineStr">
        <is>
          <t>0</t>
        </is>
      </c>
      <c r="X130" s="30" t="inlineStr">
        <is>
          <t>N/M</t>
        </is>
      </c>
      <c r="Y130" s="30" t="inlineStr">
        <is>
          <t>None (correspondent/inter-bank services only: loan hedging, participations, cash mgmt)</t>
        </is>
      </c>
      <c r="Z130" s="30" t="inlineStr">
        <is>
          <t>N/M</t>
        </is>
      </c>
      <c r="AA130" s="30" t="inlineStr">
        <is>
          <t>Not a card source</t>
        </is>
      </c>
      <c r="AB130" s="30" t="inlineStr">
        <is>
          <t>None (advisory, international banking, cash management, lending services — all inter-bank)</t>
        </is>
      </c>
      <c r="AC130" s="30" t="inlineStr">
        <is>
          <t>NorCal / SF-East Bay</t>
        </is>
      </c>
      <c r="AD130" s="30" t="inlineStr">
        <is>
          <t>Walnut Creek</t>
        </is>
      </c>
      <c r="AE130" s="30" t="inlineStr">
        <is>
          <t>60</t>
        </is>
      </c>
      <c r="AF130" s="30" t="inlineStr">
        <is>
          <t>HIGH no-card (bankers'-bank model; no public card product at all). 2026-05-29</t>
        </is>
      </c>
      <c r="AG130" s="30" t="inlineStr">
        <is>
          <t>pcbb.com/products; pcbb.com/company; FDIC cert 34252</t>
        </is>
      </c>
    </row>
    <row r="131" ht="15.75" customHeight="1">
      <c r="A131" s="30" t="inlineStr">
        <is>
          <t>130</t>
        </is>
      </c>
      <c r="C131" s="53" t="inlineStr">
        <is>
          <t>Summit State Bank</t>
        </is>
      </c>
      <c r="D131" s="43" t="inlineStr">
        <is>
          <t>CA Bank</t>
        </is>
      </c>
      <c r="E131" s="30" t="inlineStr">
        <is>
          <t>Other — NorCal</t>
        </is>
      </c>
      <c r="F131" s="54" t="inlineStr">
        <is>
          <t>0/4  ✗SUW ✗Onl ✗SoCal ✗Card</t>
        </is>
      </c>
      <c r="G131" s="30" t="inlineStr">
        <is>
          <t>No card</t>
        </is>
      </c>
      <c r="H131" s="30" t="inlineStr">
        <is>
          <t>—</t>
        </is>
      </c>
      <c r="I131" s="30" t="inlineStr">
        <is>
          <t>$1.00B</t>
        </is>
      </c>
      <c r="J131" s="30" t="inlineStr">
        <is>
          <t>$0.89B</t>
        </is>
      </c>
      <c r="K131" s="30" t="inlineStr">
        <is>
          <t>CA-only; Sonoma County (Santa Rosa, Healdsburg, Rohnert Park, Petaluma); Nasdaq: SSBI</t>
        </is>
      </c>
      <c r="L131" s="30" t="inlineStr">
        <is>
          <t>CA-HQ'd</t>
        </is>
      </c>
      <c r="M131" s="30" t="inlineStr">
        <is>
          <t>—</t>
        </is>
      </c>
      <c r="N131" s="30" t="inlineStr">
        <is>
          <t>❌ No card (debit only; commercial lending)</t>
        </is>
      </c>
      <c r="O131" s="54" t="inlineStr">
        <is>
          <t>None</t>
        </is>
      </c>
      <c r="P131" s="30" t="inlineStr">
        <is>
          <t>No</t>
        </is>
      </c>
      <c r="Q131" s="30" t="inlineStr">
        <is>
          <t>— (no business card)</t>
        </is>
      </c>
      <c r="R131" s="30" t="inlineStr">
        <is>
          <t>https://summitstatebank.com</t>
        </is>
      </c>
      <c r="S131" s="30" t="inlineStr">
        <is>
          <t>—</t>
        </is>
      </c>
      <c r="T131" s="30" t="inlineStr">
        <is>
          <t>N/M</t>
        </is>
      </c>
      <c r="U131" s="30" t="inlineStr">
        <is>
          <t>N/M</t>
        </is>
      </c>
      <c r="V131" s="30" t="inlineStr">
        <is>
          <t>N/M</t>
        </is>
      </c>
      <c r="W131" s="30" t="inlineStr">
        <is>
          <t>0</t>
        </is>
      </c>
      <c r="X131" s="30" t="inlineStr">
        <is>
          <t>N/M</t>
        </is>
      </c>
      <c r="Y131" s="30" t="inlineStr">
        <is>
          <t>None (LOC/SBA/CRE/equipment full-doc; small-biz loans up to ~$150K)</t>
        </is>
      </c>
      <c r="Z131" s="30" t="inlineStr">
        <is>
          <t>N/M</t>
        </is>
      </c>
      <c r="AA131" s="30" t="inlineStr">
        <is>
          <t>Not a card source</t>
        </is>
      </c>
      <c r="AB131" s="30" t="inlineStr">
        <is>
          <t>Debit Mastercard only (no credit card)</t>
        </is>
      </c>
      <c r="AC131" s="30" t="inlineStr">
        <is>
          <t>NorCal / SF (Sonoma)</t>
        </is>
      </c>
      <c r="AD131" s="30" t="inlineStr">
        <is>
          <t>Santa Rosa</t>
        </is>
      </c>
      <c r="AE131" s="30" t="inlineStr">
        <is>
          <t>61</t>
        </is>
      </c>
      <c r="AF131" s="30" t="inlineStr">
        <is>
          <t>HIGH no-card (4 product pages confirm debit-only). 2026-05-29</t>
        </is>
      </c>
      <c r="AG131" s="30" t="inlineStr">
        <is>
          <t>summitstatebank.com (business-banking, business-lending, merchant-services); FDIC cert 32203</t>
        </is>
      </c>
    </row>
    <row r="132" ht="15.75" customHeight="1">
      <c r="A132" s="30" t="inlineStr">
        <is>
          <t>131</t>
        </is>
      </c>
      <c r="C132" s="53" t="inlineStr">
        <is>
          <t>Golden State Bank</t>
        </is>
      </c>
      <c r="D132" s="43" t="inlineStr">
        <is>
          <t>CA Bank</t>
        </is>
      </c>
      <c r="E132" s="30" t="inlineStr">
        <is>
          <t>★ Core SoCal</t>
        </is>
      </c>
      <c r="F132" s="54" t="inlineStr">
        <is>
          <t>1/4  ✗SUW ✗Onl ✓SoCal ✗Card</t>
        </is>
      </c>
      <c r="G132" s="30" t="inlineStr">
        <is>
          <t>No card</t>
        </is>
      </c>
      <c r="H132" s="30" t="inlineStr">
        <is>
          <t>—</t>
        </is>
      </c>
      <c r="I132" s="30" t="inlineStr">
        <is>
          <t>$0.97B</t>
        </is>
      </c>
      <c r="J132" s="30" t="inlineStr">
        <is>
          <t>N/M</t>
        </is>
      </c>
      <c r="K132" s="30" t="inlineStr">
        <is>
          <t>CA-only; Glendale HQ + Upland; serves LA/OC/Riverside/SD/Ventura/San Bernardino; founded 2003</t>
        </is>
      </c>
      <c r="L132" s="30" t="inlineStr">
        <is>
          <t>CA-HQ'd</t>
        </is>
      </c>
      <c r="M132" s="30" t="inlineStr">
        <is>
          <t>—</t>
        </is>
      </c>
      <c r="N132" s="30" t="inlineStr">
        <is>
          <t>❌ No card (business debit only; relationship commercial lending)</t>
        </is>
      </c>
      <c r="O132" s="54" t="inlineStr">
        <is>
          <t>None</t>
        </is>
      </c>
      <c r="P132" s="30" t="inlineStr">
        <is>
          <t>No</t>
        </is>
      </c>
      <c r="Q132" s="30" t="inlineStr">
        <is>
          <t>— (no business card)</t>
        </is>
      </c>
      <c r="R132" s="30" t="inlineStr">
        <is>
          <t>https://www.goldenstatebank.com</t>
        </is>
      </c>
      <c r="S132" s="30" t="inlineStr">
        <is>
          <t>—</t>
        </is>
      </c>
      <c r="T132" s="30" t="inlineStr">
        <is>
          <t>N/M</t>
        </is>
      </c>
      <c r="U132" s="30" t="inlineStr">
        <is>
          <t>N/M</t>
        </is>
      </c>
      <c r="V132" s="30" t="inlineStr">
        <is>
          <t>N/M</t>
        </is>
      </c>
      <c r="W132" s="30" t="inlineStr">
        <is>
          <t>0</t>
        </is>
      </c>
      <c r="X132" s="30" t="inlineStr">
        <is>
          <t>N/M</t>
        </is>
      </c>
      <c r="Y132" s="30" t="inlineStr">
        <is>
          <t>None (working capital/equipment/CRE/construction/bridge/LOC full-doc)</t>
        </is>
      </c>
      <c r="Z132" s="30" t="inlineStr">
        <is>
          <t>N/M</t>
        </is>
      </c>
      <c r="AA132" s="30" t="inlineStr">
        <is>
          <t>Not a card source</t>
        </is>
      </c>
      <c r="AB132" s="30" t="inlineStr">
        <is>
          <t>Mastercard Business DEBIT only (no credit card)</t>
        </is>
      </c>
      <c r="AC132" s="30" t="inlineStr">
        <is>
          <t>SoCal / LA (Glendale)</t>
        </is>
      </c>
      <c r="AD132" s="30" t="inlineStr">
        <is>
          <t>Glendale</t>
        </is>
      </c>
      <c r="AE132" s="30" t="inlineStr">
        <is>
          <t>62</t>
        </is>
      </c>
      <c r="AF132" s="30" t="inlineStr">
        <is>
          <t>HIGH no-card (full site nav; debit only). Latest verified assets ~$918M (6/30/25). 2026-05-29</t>
        </is>
      </c>
      <c r="AG132" s="30" t="inlineStr">
        <is>
          <t>goldenstatebank.com (cash-management, debit-card, company-overview); FDIC cert 57585</t>
        </is>
      </c>
    </row>
    <row r="133" ht="15.75" customHeight="1">
      <c r="A133" s="30" t="inlineStr">
        <is>
          <t>132</t>
        </is>
      </c>
      <c r="C133" s="53" t="inlineStr">
        <is>
          <t>First City Credit Union</t>
        </is>
      </c>
      <c r="D133" s="39" t="inlineStr">
        <is>
          <t>Credit Union</t>
        </is>
      </c>
      <c r="E133" s="30" t="inlineStr">
        <is>
          <t>★ Core SoCal</t>
        </is>
      </c>
      <c r="F133" s="54" t="inlineStr">
        <is>
          <t>1/4  ✗SUW ✗Onl ✓SoCal ✗Card</t>
        </is>
      </c>
      <c r="G133" s="30" t="inlineStr">
        <is>
          <t>No card</t>
        </is>
      </c>
      <c r="H133" s="30" t="inlineStr">
        <is>
          <t>—</t>
        </is>
      </c>
      <c r="I133" s="30" t="inlineStr">
        <is>
          <t>~$0.90B</t>
        </is>
      </c>
      <c r="J133" s="30" t="inlineStr">
        <is>
          <t>—</t>
        </is>
      </c>
      <c r="K133" s="30" t="inlineStr">
        <is>
          <t>HQ Altadena (LA County); ~$0.90B; ~7 LA County branches; est 1937 (LA County employees)</t>
        </is>
      </c>
      <c r="L133" s="30" t="inlineStr">
        <is>
          <t>CA-HQ'd</t>
        </is>
      </c>
      <c r="M133" s="30" t="inlineStr">
        <is>
          <t>—</t>
        </is>
      </c>
      <c r="N133" s="30" t="inlineStr">
        <is>
          <t>❌ No BUSINESS card (consumer Visa only)</t>
        </is>
      </c>
      <c r="O133" s="51" t="inlineStr">
        <is>
          <t>N/M (consumer card; issuer unverified; lone 'Elan' hit unconfirmed)</t>
        </is>
      </c>
      <c r="P133" s="30" t="inlineStr">
        <is>
          <t>No</t>
        </is>
      </c>
      <c r="Q133" s="30" t="inlineStr">
        <is>
          <t>— (no business card)</t>
        </is>
      </c>
      <c r="R133" s="30" t="inlineStr">
        <is>
          <t>https://www.firstcitycu.org/loans-credit/credit-cards</t>
        </is>
      </c>
      <c r="S133" s="30" t="inlineStr">
        <is>
          <t>—</t>
        </is>
      </c>
      <c r="T133" s="30" t="inlineStr">
        <is>
          <t>N/M</t>
        </is>
      </c>
      <c r="U133" s="30" t="inlineStr">
        <is>
          <t>N/M</t>
        </is>
      </c>
      <c r="V133" s="30" t="inlineStr">
        <is>
          <t>Consumer-only Visa (2.99% intro 6 cycles; $0 BT/CA fees). No business card; not in CFPB agreement DB.</t>
        </is>
      </c>
      <c r="W133" s="30" t="inlineStr">
        <is>
          <t>0</t>
        </is>
      </c>
      <c r="X133" s="30" t="inlineStr">
        <is>
          <t>N/M</t>
        </is>
      </c>
      <c r="Y133" s="30" t="inlineStr">
        <is>
          <t>None (business/commercial banking + merchant services referenced; no no-doc product)</t>
        </is>
      </c>
      <c r="Z133" s="30" t="inlineStr">
        <is>
          <t>Membership required (LA County depts/orgs + 72 LA + 9 San Bernardino + 3 Kern + 1 Ventura communities + family; NO nationwide path)</t>
        </is>
      </c>
      <c r="AA133" s="30" t="inlineStr">
        <is>
          <t>Not a card source</t>
        </is>
      </c>
      <c r="AB133" s="30" t="inlineStr">
        <is>
          <t>Consumer Visa only (no business card)</t>
        </is>
      </c>
      <c r="AC133" s="30" t="inlineStr">
        <is>
          <t>SoCal / LA</t>
        </is>
      </c>
      <c r="AD133" s="30" t="inlineStr">
        <is>
          <t>Altadena</t>
        </is>
      </c>
      <c r="AE133" s="30" t="inlineStr">
        <is>
          <t>CU</t>
        </is>
      </c>
      <c r="AF133" s="30" t="inlineStr">
        <is>
          <t>MED-HIGH no business card (consumer-only; CFPB DB 404; site Cloudflare-blocked). SoCal-restricted FOM. 2026-05-29</t>
        </is>
      </c>
      <c r="AG133" s="30" t="inlineStr">
        <is>
          <t>firstcitycu.org/loans-credit/credit-cards + /about/how-to-join; ncuso.org; consumerfinance.gov (no agreement)</t>
        </is>
      </c>
    </row>
    <row r="134" ht="15.75" customHeight="1">
      <c r="A134" s="30" t="inlineStr">
        <is>
          <t>133</t>
        </is>
      </c>
      <c r="C134" s="53" t="inlineStr">
        <is>
          <t>C3bank, N.A.</t>
        </is>
      </c>
      <c r="D134" s="43" t="inlineStr">
        <is>
          <t>CA Bank</t>
        </is>
      </c>
      <c r="E134" s="30" t="inlineStr">
        <is>
          <t>★ Core SoCal</t>
        </is>
      </c>
      <c r="F134" s="54" t="inlineStr">
        <is>
          <t>1/4  ✗SUW ✗Onl ✓SoCal ✗Card</t>
        </is>
      </c>
      <c r="G134" s="30" t="inlineStr">
        <is>
          <t>No card</t>
        </is>
      </c>
      <c r="H134" s="30" t="inlineStr">
        <is>
          <t>—</t>
        </is>
      </c>
      <c r="I134" s="30" t="inlineStr">
        <is>
          <t>$0.88B</t>
        </is>
      </c>
      <c r="J134" s="30" t="inlineStr">
        <is>
          <t>N/M</t>
        </is>
      </c>
      <c r="K134" s="30" t="inlineStr">
        <is>
          <t>Encinitas HQ (San Diego County) + San Marcos, Riverside, Nashville TN; OCC national charter</t>
        </is>
      </c>
      <c r="L134" s="30" t="inlineStr">
        <is>
          <t>CA-HQ'd</t>
        </is>
      </c>
      <c r="M134" s="30" t="inlineStr">
        <is>
          <t>—</t>
        </is>
      </c>
      <c r="N134" s="30" t="inlineStr">
        <is>
          <t>❌ No card (commercial/CRE/SBA bank; business debit only)</t>
        </is>
      </c>
      <c r="O134" s="54" t="inlineStr">
        <is>
          <t>None</t>
        </is>
      </c>
      <c r="P134" s="30" t="inlineStr">
        <is>
          <t>No</t>
        </is>
      </c>
      <c r="Q134" s="30" t="inlineStr">
        <is>
          <t>— (no business card)</t>
        </is>
      </c>
      <c r="R134" s="30" t="inlineStr">
        <is>
          <t>https://www.c3bank.com</t>
        </is>
      </c>
      <c r="S134" s="30" t="inlineStr">
        <is>
          <t>—</t>
        </is>
      </c>
      <c r="T134" s="30" t="inlineStr">
        <is>
          <t>N/M</t>
        </is>
      </c>
      <c r="U134" s="30" t="inlineStr">
        <is>
          <t>N/M</t>
        </is>
      </c>
      <c r="V134" s="30" t="inlineStr">
        <is>
          <t>N/M</t>
        </is>
      </c>
      <c r="W134" s="30" t="inlineStr">
        <is>
          <t>0</t>
        </is>
      </c>
      <c r="X134" s="30" t="inlineStr">
        <is>
          <t>N/M</t>
        </is>
      </c>
      <c r="Y134" s="30" t="inlineStr">
        <is>
          <t>None (commercial/CRE/SBA 504/7(a)/term/LOC full-doc)</t>
        </is>
      </c>
      <c r="Z134" s="30" t="inlineStr">
        <is>
          <t>N/M</t>
        </is>
      </c>
      <c r="AA134" s="30" t="inlineStr">
        <is>
          <t>Not a card source</t>
        </is>
      </c>
      <c r="AB134" s="30" t="inlineStr">
        <is>
          <t>Business debit card only (no credit card)</t>
        </is>
      </c>
      <c r="AC134" s="30" t="inlineStr">
        <is>
          <t>SoCal / San Diego</t>
        </is>
      </c>
      <c r="AD134" s="30" t="inlineStr">
        <is>
          <t>Encinitas</t>
        </is>
      </c>
      <c r="AE134" s="30" t="inlineStr">
        <is>
          <t>66</t>
        </is>
      </c>
      <c r="AF134" s="30" t="inlineStr">
        <is>
          <t>HIGH no-card (site product menu = deposits/loans/SBA only). 2026-05-29</t>
        </is>
      </c>
      <c r="AG134" s="30" t="inlineStr">
        <is>
          <t>c3bank.com (business-loans, business-checking, locations); FDIC cert 25249</t>
        </is>
      </c>
    </row>
    <row r="135" ht="15.75" customHeight="1">
      <c r="A135" s="30" t="inlineStr">
        <is>
          <t>134</t>
        </is>
      </c>
      <c r="C135" s="53" t="inlineStr">
        <is>
          <t>Nano Banc</t>
        </is>
      </c>
      <c r="D135" s="43" t="inlineStr">
        <is>
          <t>CA Bank</t>
        </is>
      </c>
      <c r="E135" s="30" t="inlineStr">
        <is>
          <t>★ Core SoCal</t>
        </is>
      </c>
      <c r="F135" s="54" t="inlineStr">
        <is>
          <t>1/4  ✗SUW ✗Onl ✓SoCal ✗Card</t>
        </is>
      </c>
      <c r="G135" s="30" t="inlineStr">
        <is>
          <t>No card</t>
        </is>
      </c>
      <c r="H135" s="30" t="inlineStr">
        <is>
          <t>—</t>
        </is>
      </c>
      <c r="I135" s="30" t="inlineStr">
        <is>
          <t>$0.87B</t>
        </is>
      </c>
      <c r="J135" s="30" t="inlineStr">
        <is>
          <t>N/M</t>
        </is>
      </c>
      <c r="K135" s="30" t="inlineStr">
        <is>
          <t>Single-branch (Irvine, OC); historically Murrieta/Temecula (Riverside); SBA</t>
        </is>
      </c>
      <c r="L135" s="30" t="inlineStr">
        <is>
          <t>CA-HQ'd</t>
        </is>
      </c>
      <c r="M135" s="30" t="inlineStr">
        <is>
          <t>—</t>
        </is>
      </c>
      <c r="N135" s="30" t="inlineStr">
        <is>
          <t>❌ No card (commercial lender + deposit/treasury; debit only)</t>
        </is>
      </c>
      <c r="O135" s="54" t="inlineStr">
        <is>
          <t>None</t>
        </is>
      </c>
      <c r="P135" s="30" t="inlineStr">
        <is>
          <t>No</t>
        </is>
      </c>
      <c r="Q135" s="30" t="inlineStr">
        <is>
          <t>— (no business card)</t>
        </is>
      </c>
      <c r="R135" s="30" t="inlineStr">
        <is>
          <t>https://www.nanobanc.com</t>
        </is>
      </c>
      <c r="S135" s="30" t="inlineStr">
        <is>
          <t>—</t>
        </is>
      </c>
      <c r="T135" s="30" t="inlineStr">
        <is>
          <t>N/M</t>
        </is>
      </c>
      <c r="U135" s="30" t="inlineStr">
        <is>
          <t>N/M</t>
        </is>
      </c>
      <c r="V135" s="30" t="inlineStr">
        <is>
          <t>N/M</t>
        </is>
      </c>
      <c r="W135" s="30" t="inlineStr">
        <is>
          <t>0</t>
        </is>
      </c>
      <c r="X135" s="30" t="inlineStr">
        <is>
          <t>N/M</t>
        </is>
      </c>
      <c r="Y135" s="30" t="inlineStr">
        <is>
          <t>None (C&amp;I/CRE/equipment/working-capital/LOC full-doc)</t>
        </is>
      </c>
      <c r="Z135" s="30" t="inlineStr">
        <is>
          <t>N/M</t>
        </is>
      </c>
      <c r="AA135" s="30" t="inlineStr">
        <is>
          <t>Not a card source</t>
        </is>
      </c>
      <c r="AB135" s="30" t="inlineStr">
        <is>
          <t>None (business deposits + treasury mgmt + commercial lending; debit cards only)</t>
        </is>
      </c>
      <c r="AC135" s="30" t="inlineStr">
        <is>
          <t>SoCal / Orange County</t>
        </is>
      </c>
      <c r="AD135" s="30" t="inlineStr">
        <is>
          <t>Irvine</t>
        </is>
      </c>
      <c r="AE135" s="30" t="inlineStr">
        <is>
          <t>68</t>
        </is>
      </c>
      <c r="AF135" s="30" t="inlineStr">
        <is>
          <t>HIGH no business card (homepage/business/treasury/lending pages all card-free). 2026-05-29</t>
        </is>
      </c>
      <c r="AG135" s="30" t="inlineStr">
        <is>
          <t>nanobanc.com (business-accounts, lending, ci-lending); FDIC cert 58590</t>
        </is>
      </c>
    </row>
    <row r="136" ht="15.75" customHeight="1">
      <c r="A136" s="30" t="inlineStr">
        <is>
          <t>135</t>
        </is>
      </c>
      <c r="C136" s="53" t="inlineStr">
        <is>
          <t>First Commercial Bank (USA)</t>
        </is>
      </c>
      <c r="D136" s="43" t="inlineStr">
        <is>
          <t>CA Bank</t>
        </is>
      </c>
      <c r="E136" s="30" t="inlineStr">
        <is>
          <t>★ Core SoCal</t>
        </is>
      </c>
      <c r="F136" s="54" t="inlineStr">
        <is>
          <t>1/4  ✗SUW ✗Onl ✓SoCal ✗Card</t>
        </is>
      </c>
      <c r="G136" s="30" t="inlineStr">
        <is>
          <t>No card</t>
        </is>
      </c>
      <c r="H136" s="30" t="inlineStr">
        <is>
          <t>—</t>
        </is>
      </c>
      <c r="I136" s="30" t="inlineStr">
        <is>
          <t>$0.87B</t>
        </is>
      </c>
      <c r="J136" s="30" t="inlineStr">
        <is>
          <t>N/M</t>
        </is>
      </c>
      <c r="K136" s="30" t="inlineStr">
        <is>
          <t>8 branches; Alhambra HQ; subsidiary of First Commercial Bank (Taiwan); Taiwanese/Chinese-American (est 1997)</t>
        </is>
      </c>
      <c r="L136" s="30" t="inlineStr">
        <is>
          <t>CA-HQ'd</t>
        </is>
      </c>
      <c r="M136" s="30" t="inlineStr">
        <is>
          <t>—</t>
        </is>
      </c>
      <c r="N136" s="30" t="inlineStr">
        <is>
          <t>❌ No card (deposit + commercial/SBA lending; debit likely)</t>
        </is>
      </c>
      <c r="O136" s="54" t="inlineStr">
        <is>
          <t>None (NOTE: an 'Elan' search hit is a MISATTRIBUTION to IL 'FCB Banks' — not this bank)</t>
        </is>
      </c>
      <c r="P136" s="30" t="inlineStr">
        <is>
          <t>No</t>
        </is>
      </c>
      <c r="Q136" s="30" t="inlineStr">
        <is>
          <t>— (no business card)</t>
        </is>
      </c>
      <c r="R136" s="30" t="inlineStr">
        <is>
          <t>https://www.bankfcb.com</t>
        </is>
      </c>
      <c r="S136" s="30" t="inlineStr">
        <is>
          <t>—</t>
        </is>
      </c>
      <c r="T136" s="30" t="inlineStr">
        <is>
          <t>N/M</t>
        </is>
      </c>
      <c r="U136" s="30" t="inlineStr">
        <is>
          <t>N/M</t>
        </is>
      </c>
      <c r="V136" s="30" t="inlineStr">
        <is>
          <t>N/M</t>
        </is>
      </c>
      <c r="W136" s="30" t="inlineStr">
        <is>
          <t>0</t>
        </is>
      </c>
      <c r="X136" s="30" t="inlineStr">
        <is>
          <t>N/M</t>
        </is>
      </c>
      <c r="Y136" s="30" t="inlineStr">
        <is>
          <t>None for business ('reduced-doc' program is RESIDENTIAL mortgage, not business; commercial/SBA/ABL full-doc)</t>
        </is>
      </c>
      <c r="Z136" s="30" t="inlineStr">
        <is>
          <t>N/M</t>
        </is>
      </c>
      <c r="AA136" s="30" t="inlineStr">
        <is>
          <t>Not a card source</t>
        </is>
      </c>
      <c r="AB136" s="30" t="inlineStr">
        <is>
          <t>None identified (deposit accounts + commercial/SBA/RE/mortgage loans; debit only)</t>
        </is>
      </c>
      <c r="AC136" s="30" t="inlineStr">
        <is>
          <t>SoCal / LA (San Gabriel Valley)</t>
        </is>
      </c>
      <c r="AD136" s="30" t="inlineStr">
        <is>
          <t>Alhambra</t>
        </is>
      </c>
      <c r="AE136" s="30" t="inlineStr">
        <is>
          <t>67</t>
        </is>
      </c>
      <c r="AF136" s="30" t="inlineStr">
        <is>
          <t>MED-HIGH no marketed credit card (all 3 product pages checked); Elan hit excluded as misattribution. 2026-05-29</t>
        </is>
      </c>
      <c r="AG136" s="30" t="inlineStr">
        <is>
          <t>bankfcb.com (Commercial, Personal, Loans pages); FDIC cert 34496; dfpi.ca.gov</t>
        </is>
      </c>
    </row>
    <row r="137" ht="15.75" customHeight="1">
      <c r="A137" s="30" t="inlineStr">
        <is>
          <t>136</t>
        </is>
      </c>
      <c r="C137" s="53" t="inlineStr">
        <is>
          <t>Pacific Valley Bank</t>
        </is>
      </c>
      <c r="D137" s="43" t="inlineStr">
        <is>
          <t>CA Bank</t>
        </is>
      </c>
      <c r="E137" s="30" t="inlineStr">
        <is>
          <t>Other — Central Coast</t>
        </is>
      </c>
      <c r="F137" s="54" t="inlineStr">
        <is>
          <t>0/4  ✗SUW ✗Onl ✗SoCal ✗Card</t>
        </is>
      </c>
      <c r="G137" s="30" t="inlineStr">
        <is>
          <t>No card</t>
        </is>
      </c>
      <c r="H137" s="30" t="inlineStr">
        <is>
          <t>—</t>
        </is>
      </c>
      <c r="I137" s="30" t="inlineStr">
        <is>
          <t>$0.63B</t>
        </is>
      </c>
      <c r="J137" s="30" t="inlineStr">
        <is>
          <t>N/M</t>
        </is>
      </c>
      <c r="K137" s="30" t="inlineStr">
        <is>
          <t>Monterey County; Salinas, King City, Monterey + Santa Cruz expansion</t>
        </is>
      </c>
      <c r="L137" s="30" t="inlineStr">
        <is>
          <t>CA-HQ'd</t>
        </is>
      </c>
      <c r="M137" s="30" t="inlineStr">
        <is>
          <t>—</t>
        </is>
      </c>
      <c r="N137" s="30" t="inlineStr">
        <is>
          <t>❌ No card (commercial/ag lender; debit Mastercard only)</t>
        </is>
      </c>
      <c r="O137" s="54" t="inlineStr">
        <is>
          <t>None</t>
        </is>
      </c>
      <c r="P137" s="30" t="inlineStr">
        <is>
          <t>No</t>
        </is>
      </c>
      <c r="Q137" s="30" t="inlineStr">
        <is>
          <t>— (no business card)</t>
        </is>
      </c>
      <c r="R137" s="30" t="inlineStr">
        <is>
          <t>https://www.pacificvalleybank.com</t>
        </is>
      </c>
      <c r="S137" s="30" t="inlineStr">
        <is>
          <t>—</t>
        </is>
      </c>
      <c r="T137" s="30" t="inlineStr">
        <is>
          <t>N/M</t>
        </is>
      </c>
      <c r="U137" s="30" t="inlineStr">
        <is>
          <t>N/M</t>
        </is>
      </c>
      <c r="V137" s="30" t="inlineStr">
        <is>
          <t>N/M</t>
        </is>
      </c>
      <c r="W137" s="30" t="inlineStr">
        <is>
          <t>0</t>
        </is>
      </c>
      <c r="X137" s="30" t="inlineStr">
        <is>
          <t>N/M</t>
        </is>
      </c>
      <c r="Y137" s="30" t="inlineStr">
        <is>
          <t>None (commercial/ag LOC/term/construction/SBA/USDA/FSA/Farmer Mac full-doc; PDF apply→branch)</t>
        </is>
      </c>
      <c r="Z137" s="30" t="inlineStr">
        <is>
          <t>N/M</t>
        </is>
      </c>
      <c r="AA137" s="30" t="inlineStr">
        <is>
          <t>Not a card source</t>
        </is>
      </c>
      <c r="AB137" s="30" t="inlineStr">
        <is>
          <t>Debit Mastercard only (no credit card)</t>
        </is>
      </c>
      <c r="AC137" s="30" t="inlineStr">
        <is>
          <t>Central Coast / Salinas Valley</t>
        </is>
      </c>
      <c r="AD137" s="30" t="inlineStr">
        <is>
          <t>Salinas</t>
        </is>
      </c>
      <c r="AE137" s="30" t="inlineStr">
        <is>
          <t>75</t>
        </is>
      </c>
      <c r="AF137" s="30" t="inlineStr">
        <is>
          <t>HIGH no-card (4 site pages confirm debit-only). 2026-05-29</t>
        </is>
      </c>
      <c r="AG137" s="30" t="inlineStr">
        <is>
          <t>pacificvalleybank.com (business-banking, products-services, business-loans); FDIC cert 57740</t>
        </is>
      </c>
    </row>
    <row r="138" ht="15.75" customHeight="1">
      <c r="A138" s="30" t="inlineStr">
        <is>
          <t>137</t>
        </is>
      </c>
      <c r="C138" s="53" t="inlineStr">
        <is>
          <t>Pacific Enterprise Bank</t>
        </is>
      </c>
      <c r="D138" s="36" t="inlineStr">
        <is>
          <t>Regional</t>
        </is>
      </c>
      <c r="E138" s="30" t="inlineStr">
        <is>
          <t>★ Core SoCal</t>
        </is>
      </c>
      <c r="F138" s="54" t="inlineStr">
        <is>
          <t>1/4  ✗SUW ✗Onl ✓SoCal ✗Card</t>
        </is>
      </c>
      <c r="G138" s="30" t="inlineStr">
        <is>
          <t>No card</t>
        </is>
      </c>
      <c r="H138" s="30" t="inlineStr">
        <is>
          <t>—</t>
        </is>
      </c>
      <c r="I138" s="30" t="inlineStr">
        <is>
          <t>~$0.52B (at close)</t>
        </is>
      </c>
      <c r="J138" s="30" t="inlineStr">
        <is>
          <t>—</t>
        </is>
      </c>
      <c r="K138" s="30" t="inlineStr">
        <is>
          <t>HQ Irvine (OC); DEFUNCT 2022-02-02 (now United Business Bank); was SBA lender, no card</t>
        </is>
      </c>
      <c r="L138" s="30" t="inlineStr">
        <is>
          <t>N/M</t>
        </is>
      </c>
      <c r="M138" s="30" t="inlineStr">
        <is>
          <t>—</t>
        </is>
      </c>
      <c r="N138" s="30" t="inlineStr">
        <is>
          <t>❌ DEFUNCT — merged into United Business Bank (Feb 2022); never issued a card (SBA lender + merchant processing only)</t>
        </is>
      </c>
      <c r="O138" s="54" t="inlineStr">
        <is>
          <t>None</t>
        </is>
      </c>
      <c r="P138" s="30" t="inlineStr">
        <is>
          <t>No</t>
        </is>
      </c>
      <c r="Q138" s="30" t="inlineStr">
        <is>
          <t>— (no business card)</t>
        </is>
      </c>
      <c r="R138" s="30" t="inlineStr">
        <is>
          <t>https://www.pacificenterprisebank.com/home/business</t>
        </is>
      </c>
      <c r="S138" s="30" t="inlineStr">
        <is>
          <t>—</t>
        </is>
      </c>
      <c r="T138" s="30" t="inlineStr">
        <is>
          <t>N/M</t>
        </is>
      </c>
      <c r="U138" s="30" t="inlineStr">
        <is>
          <t>N/M</t>
        </is>
      </c>
      <c r="V138" s="30" t="inlineStr">
        <is>
          <t>Defunct 2022-02-02; now United Business Bank. Was SBA lender; no card ever issued.</t>
        </is>
      </c>
      <c r="W138" s="30" t="inlineStr">
        <is>
          <t>0</t>
        </is>
      </c>
      <c r="X138" s="30" t="inlineStr">
        <is>
          <t>N/M</t>
        </is>
      </c>
      <c r="Y138" s="30" t="inlineStr">
        <is>
          <t>None (was SBA/CRE full-doc lender)</t>
        </is>
      </c>
      <c r="Z138" s="30" t="inlineStr">
        <is>
          <t>N/M</t>
        </is>
      </c>
      <c r="AA138" s="30" t="inlineStr">
        <is>
          <t>Not a card source</t>
        </is>
      </c>
      <c r="AB138" s="30" t="inlineStr">
        <is>
          <t>None (SBA loans + merchant card processing; no issued card)</t>
        </is>
      </c>
      <c r="AC138" s="30" t="inlineStr">
        <is>
          <t>SoCal / Orange County (Irvine) — DEFUNCT</t>
        </is>
      </c>
      <c r="AD138" s="30" t="inlineStr">
        <is>
          <t>Irvine, CA</t>
        </is>
      </c>
      <c r="AE138" s="30" t="inlineStr">
        <is>
          <t>Reg</t>
        </is>
      </c>
      <c r="AF138" s="30" t="inlineStr">
        <is>
          <t>HIGH defunct + never issued a card. Now United Business Bank. 2026-05-28</t>
        </is>
      </c>
      <c r="AG138" s="30" t="inlineStr">
        <is>
          <t>FDIC cert 58415 (inactive); businesswire (BayCom merger); pacificenterprisebank.com loan/business pages</t>
        </is>
      </c>
    </row>
    <row r="139" ht="15.75" customHeight="1">
      <c r="A139" s="30" t="inlineStr">
        <is>
          <t>138</t>
        </is>
      </c>
      <c r="C139" s="53" t="inlineStr">
        <is>
          <t>New OMNI Bank, N.A.</t>
        </is>
      </c>
      <c r="D139" s="43" t="inlineStr">
        <is>
          <t>CA Bank</t>
        </is>
      </c>
      <c r="E139" s="30" t="inlineStr">
        <is>
          <t>★ Core SoCal</t>
        </is>
      </c>
      <c r="F139" s="54" t="inlineStr">
        <is>
          <t>1/4  ✗SUW ✗Onl ✓SoCal ✗Card</t>
        </is>
      </c>
      <c r="G139" s="30" t="inlineStr">
        <is>
          <t>No card</t>
        </is>
      </c>
      <c r="H139" s="30" t="inlineStr">
        <is>
          <t>—</t>
        </is>
      </c>
      <c r="I139" s="30" t="inlineStr">
        <is>
          <t>$0.52B</t>
        </is>
      </c>
      <c r="J139" s="30" t="inlineStr">
        <is>
          <t>N/M</t>
        </is>
      </c>
      <c r="K139" s="30" t="inlineStr">
        <is>
          <t>4 SoCal branches (Alhambra, Arcadia, Rowland Heights, Irvine); est 1979 Monterey Park; Asian-American</t>
        </is>
      </c>
      <c r="L139" s="30" t="inlineStr">
        <is>
          <t>CA-HQ'd</t>
        </is>
      </c>
      <c r="M139" s="30" t="inlineStr">
        <is>
          <t>—</t>
        </is>
      </c>
      <c r="N139" s="30" t="inlineStr">
        <is>
          <t>❌ No card (commercial/SBA lender; debit only)</t>
        </is>
      </c>
      <c r="O139" s="54" t="inlineStr">
        <is>
          <t>None</t>
        </is>
      </c>
      <c r="P139" s="30" t="inlineStr">
        <is>
          <t>No</t>
        </is>
      </c>
      <c r="Q139" s="30" t="inlineStr">
        <is>
          <t>— (no business card)</t>
        </is>
      </c>
      <c r="R139" s="30" t="inlineStr">
        <is>
          <t>https://newomnibank.com</t>
        </is>
      </c>
      <c r="S139" s="30" t="inlineStr">
        <is>
          <t>—</t>
        </is>
      </c>
      <c r="T139" s="30" t="inlineStr">
        <is>
          <t>N/M</t>
        </is>
      </c>
      <c r="U139" s="30" t="inlineStr">
        <is>
          <t>N/M</t>
        </is>
      </c>
      <c r="V139" s="30" t="inlineStr">
        <is>
          <t>N/M</t>
        </is>
      </c>
      <c r="W139" s="30" t="inlineStr">
        <is>
          <t>0</t>
        </is>
      </c>
      <c r="X139" s="30" t="inlineStr">
        <is>
          <t>N/M</t>
        </is>
      </c>
      <c r="Y139" s="30" t="inlineStr">
        <is>
          <t>None (CRE/construction/C&amp;I/SBA/trade finance full-doc)</t>
        </is>
      </c>
      <c r="Z139" s="30" t="inlineStr">
        <is>
          <t>N/M</t>
        </is>
      </c>
      <c r="AA139" s="30" t="inlineStr">
        <is>
          <t>Not a card source</t>
        </is>
      </c>
      <c r="AB139" s="30" t="inlineStr">
        <is>
          <t>None (business deposits + commercial lending; no card)</t>
        </is>
      </c>
      <c r="AC139" s="30" t="inlineStr">
        <is>
          <t>SoCal / LA (San Gabriel Valley)</t>
        </is>
      </c>
      <c r="AD139" s="30" t="inlineStr">
        <is>
          <t>Alhambra</t>
        </is>
      </c>
      <c r="AE139" s="30" t="inlineStr">
        <is>
          <t>79</t>
        </is>
      </c>
      <c r="AF139" s="30" t="inlineStr">
        <is>
          <t>HIGH no business card (all product pages card-free). 2026-05-29</t>
        </is>
      </c>
      <c r="AG139" s="30" t="inlineStr">
        <is>
          <t>newomnibank.com (business/deposit, locations); FDIC cert 23086</t>
        </is>
      </c>
    </row>
    <row r="140" ht="15.75" customHeight="1">
      <c r="A140" s="30" t="inlineStr">
        <is>
          <t>139</t>
        </is>
      </c>
      <c r="C140" s="53" t="inlineStr">
        <is>
          <t>First Credit Bank</t>
        </is>
      </c>
      <c r="D140" s="43" t="inlineStr">
        <is>
          <t>CA Bank</t>
        </is>
      </c>
      <c r="E140" s="30" t="inlineStr">
        <is>
          <t>★ Core SoCal</t>
        </is>
      </c>
      <c r="F140" s="54" t="inlineStr">
        <is>
          <t>1/4  ✗SUW ✗Onl ✓SoCal ✗Card</t>
        </is>
      </c>
      <c r="G140" s="30" t="inlineStr">
        <is>
          <t>No card</t>
        </is>
      </c>
      <c r="H140" s="30" t="inlineStr">
        <is>
          <t>—</t>
        </is>
      </c>
      <c r="I140" s="30" t="inlineStr">
        <is>
          <t>$0.51B</t>
        </is>
      </c>
      <c r="J140" s="30" t="inlineStr">
        <is>
          <t>N/M</t>
        </is>
      </c>
      <c r="K140" s="30" t="inlineStr">
        <is>
          <t>Single branch (9255 W Sunset Blvd, West Hollywood); est 1983; niche CRE lender. ⚠️ calfcb.com is a confirmed fraud site (DFPI alert)</t>
        </is>
      </c>
      <c r="L140" s="30" t="inlineStr">
        <is>
          <t>CA-HQ'd</t>
        </is>
      </c>
      <c r="M140" s="30" t="inlineStr">
        <is>
          <t>—</t>
        </is>
      </c>
      <c r="N140" s="30" t="inlineStr">
        <is>
          <t>⚠️ No card (single-branch CRE/commercial lender; no website)</t>
        </is>
      </c>
      <c r="O140" s="54" t="inlineStr">
        <is>
          <t>None</t>
        </is>
      </c>
      <c r="P140" s="30" t="inlineStr">
        <is>
          <t>No</t>
        </is>
      </c>
      <c r="Q140" s="30" t="inlineStr">
        <is>
          <t>— (no business card)</t>
        </is>
      </c>
      <c r="R140" s="30" t="inlineStr">
        <is>
          <t>N/M (bank does not operate a website; calfcb.com is a DFPI-flagged FRAUD imposter)</t>
        </is>
      </c>
      <c r="S140" s="30" t="inlineStr">
        <is>
          <t>—</t>
        </is>
      </c>
      <c r="T140" s="30" t="inlineStr">
        <is>
          <t>N/M</t>
        </is>
      </c>
      <c r="U140" s="30" t="inlineStr">
        <is>
          <t>N/M</t>
        </is>
      </c>
      <c r="V140" s="30" t="inlineStr">
        <is>
          <t>N/M</t>
        </is>
      </c>
      <c r="W140" s="30" t="inlineStr">
        <is>
          <t>0</t>
        </is>
      </c>
      <c r="X140" s="30" t="inlineStr">
        <is>
          <t>N/M</t>
        </is>
      </c>
      <c r="Y140" s="30" t="inlineStr">
        <is>
          <t>None (CRE/construction/business term/LOC full-doc)</t>
        </is>
      </c>
      <c r="Z140" s="30" t="inlineStr">
        <is>
          <t>N/M</t>
        </is>
      </c>
      <c r="AA140" s="30" t="inlineStr">
        <is>
          <t>Not a card source</t>
        </is>
      </c>
      <c r="AB140" s="30" t="inlineStr">
        <is>
          <t>None (CRE/commercial lending; no card; no website)</t>
        </is>
      </c>
      <c r="AC140" s="30" t="inlineStr">
        <is>
          <t>SoCal / LA</t>
        </is>
      </c>
      <c r="AD140" s="30" t="inlineStr">
        <is>
          <t>Los Angeles (West Hollywood)</t>
        </is>
      </c>
      <c r="AE140" s="30" t="inlineStr">
        <is>
          <t>81</t>
        </is>
      </c>
      <c r="AF140" s="30" t="inlineStr">
        <is>
          <t>HIGH commercial-only/no-card/no-website (FDIC single-branch CRE + DFPI 'does not operate a website'). 2026-05-29</t>
        </is>
      </c>
      <c r="AG140" s="30" t="inlineStr">
        <is>
          <t>FDIC cert 24332; dfpi.ca.gov (First Credit Bank + calfcb.com fraud alert)</t>
        </is>
      </c>
    </row>
    <row r="141" ht="15.75" customHeight="1">
      <c r="A141" s="30" t="inlineStr">
        <is>
          <t>140</t>
        </is>
      </c>
      <c r="C141" s="53" t="inlineStr">
        <is>
          <t>Chino Commercial Bank, N.A.</t>
        </is>
      </c>
      <c r="D141" s="43" t="inlineStr">
        <is>
          <t>CA Bank</t>
        </is>
      </c>
      <c r="E141" s="30" t="inlineStr">
        <is>
          <t>★ Core SoCal</t>
        </is>
      </c>
      <c r="F141" s="54" t="inlineStr">
        <is>
          <t>1/4  ✗SUW ✗Onl ✓SoCal ✗Card</t>
        </is>
      </c>
      <c r="G141" s="30" t="inlineStr">
        <is>
          <t>No card</t>
        </is>
      </c>
      <c r="H141" s="30" t="inlineStr">
        <is>
          <t>—</t>
        </is>
      </c>
      <c r="I141" s="30" t="inlineStr">
        <is>
          <t>$0.47B</t>
        </is>
      </c>
      <c r="J141" s="30" t="inlineStr">
        <is>
          <t>N/M</t>
        </is>
      </c>
      <c r="K141" s="30" t="inlineStr">
        <is>
          <t>3 branches Inland Empire (Chino, Upland, Ontario, Rancho Cucamonga, Corona); San Bernardino County</t>
        </is>
      </c>
      <c r="L141" s="30" t="inlineStr">
        <is>
          <t>CA-HQ'd</t>
        </is>
      </c>
      <c r="M141" s="30" t="inlineStr">
        <is>
          <t>—</t>
        </is>
      </c>
      <c r="N141" s="30" t="inlineStr">
        <is>
          <t>❌ No BUSINESS card — the 'third-party' card is CONSUMER-framed ('manage your personal finances'); Unsecured Business LOC $10K-$100K instead</t>
        </is>
      </c>
      <c r="O141" s="54" t="inlineStr">
        <is>
          <t>None for business (consumer card via undisclosed third party)</t>
        </is>
      </c>
      <c r="P141" s="30" t="inlineStr">
        <is>
          <t>No</t>
        </is>
      </c>
      <c r="Q141" s="30" t="inlineStr">
        <is>
          <t>— (no business card)</t>
        </is>
      </c>
      <c r="R141" s="30" t="inlineStr">
        <is>
          <t>https://www.chinocommercialbank.com</t>
        </is>
      </c>
      <c r="S141" s="30" t="inlineStr">
        <is>
          <t>—</t>
        </is>
      </c>
      <c r="T141" s="30" t="inlineStr">
        <is>
          <t>N/M</t>
        </is>
      </c>
      <c r="U141" s="30" t="inlineStr">
        <is>
          <t>N/M</t>
        </is>
      </c>
      <c r="V141" s="30" t="inlineStr">
        <is>
          <t>Re-verified 2026-05-29: card copy is consumer ('manage your personal finances'); no online app, no issuer disclosed. Not a business card.</t>
        </is>
      </c>
      <c r="W141" s="30" t="inlineStr">
        <is>
          <t>0</t>
        </is>
      </c>
      <c r="X141" s="30" t="inlineStr">
        <is>
          <t>N/M</t>
        </is>
      </c>
      <c r="Y141" s="30" t="inlineStr">
        <is>
          <t>Unsecured Business LOC $10K-$100K ('quick decisions' marketing; no stated no-doc; PG + financials likely)</t>
        </is>
      </c>
      <c r="Z141" s="30" t="inlineStr">
        <is>
          <t>N/M</t>
        </is>
      </c>
      <c r="AA141" s="30" t="inlineStr">
        <is>
          <t>Not a card source</t>
        </is>
      </c>
      <c r="AB141" s="30" t="inlineStr">
        <is>
          <t>Consumer third-party card (NOT business); Unsecured Business LOC $10K-$100K</t>
        </is>
      </c>
      <c r="AC141" s="30" t="inlineStr">
        <is>
          <t>SoCal / Inland Empire</t>
        </is>
      </c>
      <c r="AD141" s="30" t="inlineStr">
        <is>
          <t>Chino</t>
        </is>
      </c>
      <c r="AE141" s="30" t="inlineStr">
        <is>
          <t>83</t>
        </is>
      </c>
      <c r="AF141" s="30" t="inlineStr">
        <is>
          <t>HIGH re-verify: no BUSINESS card (consumer copy); the $10K-$100K LOC is the only business funding. 2026-05-29</t>
        </is>
      </c>
      <c r="AG141" s="30" t="inlineStr">
        <is>
          <t>chinocommercialbank.com/business-banking/business-services (consumer copy) + /business-loans (LOC); FDIC cert 35366</t>
        </is>
      </c>
    </row>
    <row r="142" ht="15.75" customHeight="1">
      <c r="A142" s="30" t="inlineStr">
        <is>
          <t>141</t>
        </is>
      </c>
      <c r="C142" s="53" t="inlineStr">
        <is>
          <t>Pacific Alliance Bank</t>
        </is>
      </c>
      <c r="D142" s="43" t="inlineStr">
        <is>
          <t>CA Bank</t>
        </is>
      </c>
      <c r="E142" s="30" t="inlineStr">
        <is>
          <t>★ Core SoCal</t>
        </is>
      </c>
      <c r="F142" s="54" t="inlineStr">
        <is>
          <t>1/4  ✗SUW ✗Onl ✓SoCal ✗Card</t>
        </is>
      </c>
      <c r="G142" s="30" t="inlineStr">
        <is>
          <t>No card</t>
        </is>
      </c>
      <c r="H142" s="30" t="inlineStr">
        <is>
          <t>—</t>
        </is>
      </c>
      <c r="I142" s="30" t="inlineStr">
        <is>
          <t>$0.45B</t>
        </is>
      </c>
      <c r="J142" s="30" t="inlineStr">
        <is>
          <t>N/M</t>
        </is>
      </c>
      <c r="K142" s="30" t="inlineStr">
        <is>
          <t>SoCal community bank; San Gabriel/LA; Asian-American; est 2006; ticker PFBN</t>
        </is>
      </c>
      <c r="L142" s="30" t="inlineStr">
        <is>
          <t>CA-HQ'd</t>
        </is>
      </c>
      <c r="M142" s="30" t="inlineStr">
        <is>
          <t>—</t>
        </is>
      </c>
      <c r="N142" s="30" t="inlineStr">
        <is>
          <t>❌ No card (commercial/SBA lender; Visa debit only)</t>
        </is>
      </c>
      <c r="O142" s="54" t="inlineStr">
        <is>
          <t>None</t>
        </is>
      </c>
      <c r="P142" s="30" t="inlineStr">
        <is>
          <t>No</t>
        </is>
      </c>
      <c r="Q142" s="30" t="inlineStr">
        <is>
          <t>— (no business card)</t>
        </is>
      </c>
      <c r="R142" s="30" t="inlineStr">
        <is>
          <t>https://www.pacificalliancebank.com</t>
        </is>
      </c>
      <c r="S142" s="30" t="inlineStr">
        <is>
          <t>—</t>
        </is>
      </c>
      <c r="T142" s="30" t="inlineStr">
        <is>
          <t>N/M</t>
        </is>
      </c>
      <c r="U142" s="30" t="inlineStr">
        <is>
          <t>N/M</t>
        </is>
      </c>
      <c r="V142" s="30" t="inlineStr">
        <is>
          <t>N/M</t>
        </is>
      </c>
      <c r="W142" s="30" t="inlineStr">
        <is>
          <t>0</t>
        </is>
      </c>
      <c r="X142" s="30" t="inlineStr">
        <is>
          <t>N/M</t>
        </is>
      </c>
      <c r="Y142" s="30" t="inlineStr">
        <is>
          <t>None (SBA 7(a)/504/CRE/construction/term/LOC full-doc)</t>
        </is>
      </c>
      <c r="Z142" s="30" t="inlineStr">
        <is>
          <t>N/M</t>
        </is>
      </c>
      <c r="AA142" s="30" t="inlineStr">
        <is>
          <t>Not a card source</t>
        </is>
      </c>
      <c r="AB142" s="30" t="inlineStr">
        <is>
          <t>Visa DEBIT only (no credit card)</t>
        </is>
      </c>
      <c r="AC142" s="30" t="inlineStr">
        <is>
          <t>SoCal / LA (San Gabriel Valley)</t>
        </is>
      </c>
      <c r="AD142" s="30" t="inlineStr">
        <is>
          <t>San Gabriel</t>
        </is>
      </c>
      <c r="AE142" s="30" t="inlineStr">
        <is>
          <t>84</t>
        </is>
      </c>
      <c r="AF142" s="30" t="inlineStr">
        <is>
          <t>HIGH no-card (homepage + commercial-loans confirm debit-only). 2026-05-29</t>
        </is>
      </c>
      <c r="AG142" s="30" t="inlineStr">
        <is>
          <t>pacificalliancebank.com (Commercial-Loans, Other-Services); FDIC cert 58234</t>
        </is>
      </c>
    </row>
    <row r="143" ht="15.75" customHeight="1">
      <c r="A143" s="30" t="inlineStr">
        <is>
          <t>142</t>
        </is>
      </c>
      <c r="C143" s="53" t="inlineStr">
        <is>
          <t>Community Commerce Bank</t>
        </is>
      </c>
      <c r="D143" s="43" t="inlineStr">
        <is>
          <t>CA Bank</t>
        </is>
      </c>
      <c r="E143" s="30" t="inlineStr">
        <is>
          <t>★ Core SoCal</t>
        </is>
      </c>
      <c r="F143" s="54" t="inlineStr">
        <is>
          <t>1/4  ✗SUW ✗Onl ✓SoCal ✗Card</t>
        </is>
      </c>
      <c r="G143" s="30" t="inlineStr">
        <is>
          <t>No card</t>
        </is>
      </c>
      <c r="H143" s="30" t="inlineStr">
        <is>
          <t>—</t>
        </is>
      </c>
      <c r="I143" s="30" t="inlineStr">
        <is>
          <t>$0.41B</t>
        </is>
      </c>
      <c r="J143" s="30" t="inlineStr">
        <is>
          <t>N/M</t>
        </is>
      </c>
      <c r="K143" s="30" t="inlineStr">
        <is>
          <t>3 LA-County branches (Claremont, Monterey Park, Tarzana); TELACU family; est 1976</t>
        </is>
      </c>
      <c r="L143" s="30" t="inlineStr">
        <is>
          <t>CA-HQ'd</t>
        </is>
      </c>
      <c r="M143" s="30" t="inlineStr">
        <is>
          <t>—</t>
        </is>
      </c>
      <c r="N143" s="30" t="inlineStr">
        <is>
          <t>❌ No card (CRE/SBA lender; explicitly 'no unsecured products')</t>
        </is>
      </c>
      <c r="O143" s="54" t="inlineStr">
        <is>
          <t>None</t>
        </is>
      </c>
      <c r="P143" s="30" t="inlineStr">
        <is>
          <t>No</t>
        </is>
      </c>
      <c r="Q143" s="30" t="inlineStr">
        <is>
          <t>— (no business card)</t>
        </is>
      </c>
      <c r="R143" s="30" t="inlineStr">
        <is>
          <t>https://ccombank.com</t>
        </is>
      </c>
      <c r="S143" s="30" t="inlineStr">
        <is>
          <t>—</t>
        </is>
      </c>
      <c r="T143" s="30" t="inlineStr">
        <is>
          <t>N/M</t>
        </is>
      </c>
      <c r="U143" s="30" t="inlineStr">
        <is>
          <t>N/M</t>
        </is>
      </c>
      <c r="V143" s="30" t="inlineStr">
        <is>
          <t>N/M (FAQ: 'we do not have any checking or unsecured line of credit products')</t>
        </is>
      </c>
      <c r="W143" s="30" t="inlineStr">
        <is>
          <t>0</t>
        </is>
      </c>
      <c r="X143" s="30" t="inlineStr">
        <is>
          <t>N/M</t>
        </is>
      </c>
      <c r="Y143" s="30" t="inlineStr">
        <is>
          <t>None (CRE/SBA 7(a)/house-of-worship/non-owner-occ residential full-doc)</t>
        </is>
      </c>
      <c r="Z143" s="30" t="inlineStr">
        <is>
          <t>N/M</t>
        </is>
      </c>
      <c r="AA143" s="30" t="inlineStr">
        <is>
          <t>Not a card source</t>
        </is>
      </c>
      <c r="AB143" s="30" t="inlineStr">
        <is>
          <t>None (CRE + SBA lending; no unsecured/card products by own statement)</t>
        </is>
      </c>
      <c r="AC143" s="30" t="inlineStr">
        <is>
          <t>SoCal / LA (Claremont)</t>
        </is>
      </c>
      <c r="AD143" s="30" t="inlineStr">
        <is>
          <t>Claremont</t>
        </is>
      </c>
      <c r="AE143" s="30" t="inlineStr">
        <is>
          <t>85</t>
        </is>
      </c>
      <c r="AF143" s="30" t="inlineStr">
        <is>
          <t>HIGH no-card (own FAQ disclaims unsecured/card products). 2026-05-29</t>
        </is>
      </c>
      <c r="AG143" s="30" t="inlineStr">
        <is>
          <t>ccombank.com/faq + /loans + /about; FDIC cert 26363</t>
        </is>
      </c>
    </row>
    <row r="144" ht="15.75" customHeight="1">
      <c r="A144" s="30" t="inlineStr">
        <is>
          <t>143</t>
        </is>
      </c>
      <c r="C144" s="53" t="inlineStr">
        <is>
          <t>Balboa Thrift and Loan Association</t>
        </is>
      </c>
      <c r="D144" s="43" t="inlineStr">
        <is>
          <t>CA Bank</t>
        </is>
      </c>
      <c r="E144" s="30" t="inlineStr">
        <is>
          <t>★ Core SoCal</t>
        </is>
      </c>
      <c r="F144" s="54" t="inlineStr">
        <is>
          <t>1/4  ✗SUW ✗Onl ✓SoCal ✗Card</t>
        </is>
      </c>
      <c r="G144" s="30" t="inlineStr">
        <is>
          <t>No card</t>
        </is>
      </c>
      <c r="H144" s="30" t="inlineStr">
        <is>
          <t>—</t>
        </is>
      </c>
      <c r="I144" s="30" t="inlineStr">
        <is>
          <t>$0.41B</t>
        </is>
      </c>
      <c r="J144" s="30" t="inlineStr">
        <is>
          <t>N/M</t>
        </is>
      </c>
      <c r="K144" s="30" t="inlineStr">
        <is>
          <t>San Diego (Chula Vista HQ) + Claremont, La Quinta, Fresno; industrial loan co. (est 1980)</t>
        </is>
      </c>
      <c r="L144" s="30" t="inlineStr">
        <is>
          <t>CA-HQ'd</t>
        </is>
      </c>
      <c r="M144" s="30" t="inlineStr">
        <is>
          <t>—</t>
        </is>
      </c>
      <c r="N144" s="30" t="inlineStr">
        <is>
          <t>❌ No card (auto + CRE thrift &amp; loan; FDIC-insured deposits)</t>
        </is>
      </c>
      <c r="O144" s="54" t="inlineStr">
        <is>
          <t>None</t>
        </is>
      </c>
      <c r="P144" s="30" t="inlineStr">
        <is>
          <t>No</t>
        </is>
      </c>
      <c r="Q144" s="30" t="inlineStr">
        <is>
          <t>— (no business card)</t>
        </is>
      </c>
      <c r="R144" s="30" t="inlineStr">
        <is>
          <t>https://www.balboathrift.com</t>
        </is>
      </c>
      <c r="S144" s="30" t="inlineStr">
        <is>
          <t>—</t>
        </is>
      </c>
      <c r="T144" s="30" t="inlineStr">
        <is>
          <t>N/M</t>
        </is>
      </c>
      <c r="U144" s="30" t="inlineStr">
        <is>
          <t>N/M</t>
        </is>
      </c>
      <c r="V144" s="30" t="inlineStr">
        <is>
          <t>N/M (auto via dealers/RouteOne; CRE via brokers)</t>
        </is>
      </c>
      <c r="W144" s="30" t="inlineStr">
        <is>
          <t>0</t>
        </is>
      </c>
      <c r="X144" s="30" t="inlineStr">
        <is>
          <t>N/M</t>
        </is>
      </c>
      <c r="Y144" s="30" t="inlineStr">
        <is>
          <t>None (auto ~75% + CRE ~25%, collateral/full-doc)</t>
        </is>
      </c>
      <c r="Z144" s="30" t="inlineStr">
        <is>
          <t>N/M</t>
        </is>
      </c>
      <c r="AA144" s="30" t="inlineStr">
        <is>
          <t>Not a card source</t>
        </is>
      </c>
      <c r="AB144" s="30" t="inlineStr">
        <is>
          <t>None (auto finance + CRE lending; deposits/CDs; no card)</t>
        </is>
      </c>
      <c r="AC144" s="30" t="inlineStr">
        <is>
          <t>SoCal / San Diego</t>
        </is>
      </c>
      <c r="AD144" s="30" t="inlineStr">
        <is>
          <t>Chula Vista</t>
        </is>
      </c>
      <c r="AE144" s="30" t="inlineStr">
        <is>
          <t>86</t>
        </is>
      </c>
      <c r="AF144" s="30" t="inlineStr">
        <is>
          <t>MED-HIGH no-card (auto+CRE lender; own site stale, third-party-corroborated). 2026-05-29</t>
        </is>
      </c>
      <c r="AG144" s="30" t="inlineStr">
        <is>
          <t>sdbj.com (auto/CRE focus); dfpi.ca.gov; FDIC cert 26704</t>
        </is>
      </c>
    </row>
    <row r="145" ht="15.75" customHeight="1">
      <c r="A145" s="30" t="inlineStr">
        <is>
          <t>144</t>
        </is>
      </c>
      <c r="C145" s="53" t="inlineStr">
        <is>
          <t>Liberty Bank, N.A. (Irvine, CA)</t>
        </is>
      </c>
      <c r="D145" s="43" t="inlineStr">
        <is>
          <t>CA Bank</t>
        </is>
      </c>
      <c r="E145" s="30" t="inlineStr">
        <is>
          <t>★ Core SoCal</t>
        </is>
      </c>
      <c r="F145" s="54" t="inlineStr">
        <is>
          <t>1/4  ✗SUW ✗Onl ✓SoCal ✗Card</t>
        </is>
      </c>
      <c r="G145" s="30" t="inlineStr">
        <is>
          <t>No card</t>
        </is>
      </c>
      <c r="H145" s="30" t="inlineStr">
        <is>
          <t>—</t>
        </is>
      </c>
      <c r="I145" s="30" t="inlineStr">
        <is>
          <t>$0.40B</t>
        </is>
      </c>
      <c r="J145" s="30" t="inlineStr">
        <is>
          <t>N/M</t>
        </is>
      </c>
      <c r="K145" s="30" t="inlineStr">
        <is>
          <t>4 CA branches; Irvine HQ (OC) + LA + SF Bay Area (Millbrae/Boulder Creek/Felton/S.SF); DMG Bancshares; est 2001</t>
        </is>
      </c>
      <c r="L145" s="30" t="inlineStr">
        <is>
          <t>CA-HQ'd</t>
        </is>
      </c>
      <c r="M145" s="30" t="inlineStr">
        <is>
          <t>—</t>
        </is>
      </c>
      <c r="N145" s="30" t="inlineStr">
        <is>
          <t>❌ No card (commercial bank; deposits + relationship lending)</t>
        </is>
      </c>
      <c r="O145" s="54" t="inlineStr">
        <is>
          <t>None (NOTE: Elan card data online belongs to Liberty Bank of CT — different entity)</t>
        </is>
      </c>
      <c r="P145" s="30" t="inlineStr">
        <is>
          <t>No</t>
        </is>
      </c>
      <c r="Q145" s="30" t="inlineStr">
        <is>
          <t>— (no business card)</t>
        </is>
      </c>
      <c r="R145" s="30" t="inlineStr">
        <is>
          <t>https://www.libertybk.com</t>
        </is>
      </c>
      <c r="S145" s="30" t="inlineStr">
        <is>
          <t>—</t>
        </is>
      </c>
      <c r="T145" s="30" t="inlineStr">
        <is>
          <t>N/M</t>
        </is>
      </c>
      <c r="U145" s="30" t="inlineStr">
        <is>
          <t>N/M</t>
        </is>
      </c>
      <c r="V145" s="30" t="inlineStr">
        <is>
          <t>N/M</t>
        </is>
      </c>
      <c r="W145" s="30" t="inlineStr">
        <is>
          <t>0</t>
        </is>
      </c>
      <c r="X145" s="30" t="inlineStr">
        <is>
          <t>N/M</t>
        </is>
      </c>
      <c r="Y145" s="30" t="inlineStr">
        <is>
          <t>None (term/LOC/commercial credit/CRE construction-to-perm full-doc)</t>
        </is>
      </c>
      <c r="Z145" s="30" t="inlineStr">
        <is>
          <t>N/M</t>
        </is>
      </c>
      <c r="AA145" s="30" t="inlineStr">
        <is>
          <t>Not a card source</t>
        </is>
      </c>
      <c r="AB145" s="30" t="inlineStr">
        <is>
          <t>None (deposits + commercial lending; no card)</t>
        </is>
      </c>
      <c r="AC145" s="30" t="inlineStr">
        <is>
          <t>SoCal / Orange County</t>
        </is>
      </c>
      <c r="AD145" s="30" t="inlineStr">
        <is>
          <t>Irvine</t>
        </is>
      </c>
      <c r="AE145" s="30" t="inlineStr">
        <is>
          <t>89</t>
        </is>
      </c>
      <c r="AF145" s="30" t="inlineStr">
        <is>
          <t>HIGH no-card for cert 35331 (own site; NOT Liberty Bank of CT which uses Elan). 2026-05-29</t>
        </is>
      </c>
      <c r="AG145" s="30" t="inlineStr">
        <is>
          <t>libertybk.com (businessbanking, lending); FDIC cert 35331</t>
        </is>
      </c>
    </row>
    <row r="146" ht="15.75" customHeight="1">
      <c r="A146" s="30" t="inlineStr">
        <is>
          <t>145</t>
        </is>
      </c>
      <c r="C146" s="53" t="inlineStr">
        <is>
          <t>American Continental Bank</t>
        </is>
      </c>
      <c r="D146" s="43" t="inlineStr">
        <is>
          <t>CA Bank</t>
        </is>
      </c>
      <c r="E146" s="30" t="inlineStr">
        <is>
          <t>★ Core SoCal</t>
        </is>
      </c>
      <c r="F146" s="54" t="inlineStr">
        <is>
          <t>1/4  ✗SUW ✗Onl ✓SoCal ✗Card</t>
        </is>
      </c>
      <c r="G146" s="30" t="inlineStr">
        <is>
          <t>No card</t>
        </is>
      </c>
      <c r="H146" s="30" t="inlineStr">
        <is>
          <t>—</t>
        </is>
      </c>
      <c r="I146" s="30" t="inlineStr">
        <is>
          <t>$0.38B</t>
        </is>
      </c>
      <c r="J146" s="30" t="inlineStr">
        <is>
          <t>N/M</t>
        </is>
      </c>
      <c r="K146" s="30" t="inlineStr">
        <is>
          <t>~7 branches (CA + WA); City of Industry HQ; Chinese-American; pending Taichung Bank (Taiwan) acquisition</t>
        </is>
      </c>
      <c r="L146" s="30" t="inlineStr">
        <is>
          <t>CA-HQ'd</t>
        </is>
      </c>
      <c r="M146" s="30" t="inlineStr">
        <is>
          <t>—</t>
        </is>
      </c>
      <c r="N146" s="30" t="inlineStr">
        <is>
          <t>❌ No card (commercial/SBA lender; debit/ATM only)</t>
        </is>
      </c>
      <c r="O146" s="54" t="inlineStr">
        <is>
          <t>None</t>
        </is>
      </c>
      <c r="P146" s="30" t="inlineStr">
        <is>
          <t>No</t>
        </is>
      </c>
      <c r="Q146" s="30" t="inlineStr">
        <is>
          <t>— (no business card)</t>
        </is>
      </c>
      <c r="R146" s="30" t="inlineStr">
        <is>
          <t>https://www.americancontinentalbank.com</t>
        </is>
      </c>
      <c r="S146" s="30" t="inlineStr">
        <is>
          <t>—</t>
        </is>
      </c>
      <c r="T146" s="30" t="inlineStr">
        <is>
          <t>N/M</t>
        </is>
      </c>
      <c r="U146" s="30" t="inlineStr">
        <is>
          <t>N/M</t>
        </is>
      </c>
      <c r="V146" s="30" t="inlineStr">
        <is>
          <t>N/M</t>
        </is>
      </c>
      <c r="W146" s="30" t="inlineStr">
        <is>
          <t>0</t>
        </is>
      </c>
      <c r="X146" s="30" t="inlineStr">
        <is>
          <t>N/M</t>
        </is>
      </c>
      <c r="Y146" s="30" t="inlineStr">
        <is>
          <t>None (CRE/apartment/construction/land/equipment/C&amp;I/SBA 7(a)/504 full-doc)</t>
        </is>
      </c>
      <c r="Z146" s="30" t="inlineStr">
        <is>
          <t>N/M</t>
        </is>
      </c>
      <c r="AA146" s="30" t="inlineStr">
        <is>
          <t>Not a card source</t>
        </is>
      </c>
      <c r="AB146" s="30" t="inlineStr">
        <is>
          <t>None (commercial/SBA lending; debit/ATM cards only)</t>
        </is>
      </c>
      <c r="AC146" s="30" t="inlineStr">
        <is>
          <t>SoCal / LA (San Gabriel Valley)</t>
        </is>
      </c>
      <c r="AD146" s="30" t="inlineStr">
        <is>
          <t>City of Industry</t>
        </is>
      </c>
      <c r="AE146" s="30" t="inlineStr">
        <is>
          <t>91</t>
        </is>
      </c>
      <c r="AF146" s="30" t="inlineStr">
        <is>
          <t>HIGH no-card (own Products &amp; Services = debit + commercial/SBA only). 2026-05-29</t>
        </is>
      </c>
      <c r="AG146" s="30" t="inlineStr">
        <is>
          <t>americancontinentalbank.com/Products-Services; FDIC cert 57444; en.wikipedia.org</t>
        </is>
      </c>
    </row>
    <row r="147" ht="15.75" customHeight="1">
      <c r="A147" s="30" t="inlineStr">
        <is>
          <t>146</t>
        </is>
      </c>
      <c r="C147" s="53" t="inlineStr">
        <is>
          <t>Universal Bank</t>
        </is>
      </c>
      <c r="D147" s="43" t="inlineStr">
        <is>
          <t>CA Bank</t>
        </is>
      </c>
      <c r="E147" s="30" t="inlineStr">
        <is>
          <t>★ Core SoCal</t>
        </is>
      </c>
      <c r="F147" s="54" t="inlineStr">
        <is>
          <t>1/4  ✗SUW ✗Onl ✓SoCal ✗Card</t>
        </is>
      </c>
      <c r="G147" s="30" t="inlineStr">
        <is>
          <t>No card</t>
        </is>
      </c>
      <c r="H147" s="30" t="inlineStr">
        <is>
          <t>—</t>
        </is>
      </c>
      <c r="I147" s="30" t="inlineStr">
        <is>
          <t>$0.37B</t>
        </is>
      </c>
      <c r="J147" s="30" t="inlineStr">
        <is>
          <t>N/M</t>
        </is>
      </c>
      <c r="K147" s="30" t="inlineStr">
        <is>
          <t>5 CA branches; West Covina HQ; SGV/LA thrift (est 1954)</t>
        </is>
      </c>
      <c r="L147" s="30" t="inlineStr">
        <is>
          <t>CA-HQ'd</t>
        </is>
      </c>
      <c r="M147" s="30" t="inlineStr">
        <is>
          <t>—</t>
        </is>
      </c>
      <c r="N147" s="30" t="inlineStr">
        <is>
          <t>❌ No BUSINESS card (Elan PERSONAL card only; business = deposits + commercial lending)</t>
        </is>
      </c>
      <c r="O147" s="54" t="inlineStr">
        <is>
          <t>None for business (Elan issues its personal card)</t>
        </is>
      </c>
      <c r="P147" s="30" t="inlineStr">
        <is>
          <t>No</t>
        </is>
      </c>
      <c r="Q147" s="30" t="inlineStr">
        <is>
          <t>— (no business card)</t>
        </is>
      </c>
      <c r="R147" s="30" t="inlineStr">
        <is>
          <t>https://www.universalbank.com</t>
        </is>
      </c>
      <c r="S147" s="30" t="inlineStr">
        <is>
          <t>—</t>
        </is>
      </c>
      <c r="T147" s="30" t="inlineStr">
        <is>
          <t>N/M</t>
        </is>
      </c>
      <c r="U147" s="30" t="inlineStr">
        <is>
          <t>N/M</t>
        </is>
      </c>
      <c r="V147" s="30" t="inlineStr">
        <is>
          <t>N/M (no business card; personal Elan card exists)</t>
        </is>
      </c>
      <c r="W147" s="30" t="inlineStr">
        <is>
          <t>0</t>
        </is>
      </c>
      <c r="X147" s="30" t="inlineStr">
        <is>
          <t>N/M</t>
        </is>
      </c>
      <c r="Y147" s="30" t="inlineStr">
        <is>
          <t>None (commercial lending relationship-underwritten)</t>
        </is>
      </c>
      <c r="Z147" s="30" t="inlineStr">
        <is>
          <t>N/M</t>
        </is>
      </c>
      <c r="AA147" s="30" t="inlineStr">
        <is>
          <t>Not a card source</t>
        </is>
      </c>
      <c r="AB147" s="30" t="inlineStr">
        <is>
          <t>Personal credit card (Elan) only; business = checking/savings/CD/Solutions + commercial lending</t>
        </is>
      </c>
      <c r="AC147" s="30" t="inlineStr">
        <is>
          <t>SoCal / LA (San Gabriel Valley)</t>
        </is>
      </c>
      <c r="AD147" s="30" t="inlineStr">
        <is>
          <t>West Covina</t>
        </is>
      </c>
      <c r="AE147" s="30" t="inlineStr">
        <is>
          <t>92</t>
        </is>
      </c>
      <c r="AF147" s="30" t="inlineStr">
        <is>
          <t>HIGH no business card (own site; personal-only Elan card; business is deposit+commercial-loan). 2026-05-29</t>
        </is>
      </c>
      <c r="AG147" s="30" t="inlineStr">
        <is>
          <t>universalbank.com/Resources/All-Services (personal card 'through Elan'); FDIC cert 30722</t>
        </is>
      </c>
    </row>
    <row r="148" ht="15.75" customHeight="1">
      <c r="A148" s="30" t="inlineStr">
        <is>
          <t>147</t>
        </is>
      </c>
      <c r="C148" s="53" t="inlineStr">
        <is>
          <t>Murphy Bank</t>
        </is>
      </c>
      <c r="D148" s="43" t="inlineStr">
        <is>
          <t>CA Bank</t>
        </is>
      </c>
      <c r="E148" s="30" t="inlineStr">
        <is>
          <t>Other — Central Valley (Fresno)</t>
        </is>
      </c>
      <c r="F148" s="54" t="inlineStr">
        <is>
          <t>0/4  ✗SUW ✗Onl ✗SoCal ✗Card</t>
        </is>
      </c>
      <c r="G148" s="30" t="inlineStr">
        <is>
          <t>No card</t>
        </is>
      </c>
      <c r="H148" s="30" t="inlineStr">
        <is>
          <t>—</t>
        </is>
      </c>
      <c r="I148" s="30" t="inlineStr">
        <is>
          <t>$0.36B</t>
        </is>
      </c>
      <c r="J148" s="30" t="inlineStr">
        <is>
          <t>N/M</t>
        </is>
      </c>
      <c r="K148" s="30" t="inlineStr">
        <is>
          <t>~2 Fresno locations; specialty secured lender; est 1984 (branded 'since 1976')</t>
        </is>
      </c>
      <c r="L148" s="30" t="inlineStr">
        <is>
          <t>CA-HQ'd</t>
        </is>
      </c>
      <c r="M148" s="30" t="inlineStr">
        <is>
          <t>—</t>
        </is>
      </c>
      <c r="N148" s="30" t="inlineStr">
        <is>
          <t>❌ No card (specialty secured lender; deposits)</t>
        </is>
      </c>
      <c r="O148" s="54" t="inlineStr">
        <is>
          <t>None</t>
        </is>
      </c>
      <c r="P148" s="30" t="inlineStr">
        <is>
          <t>No</t>
        </is>
      </c>
      <c r="Q148" s="30" t="inlineStr">
        <is>
          <t>— (no business card)</t>
        </is>
      </c>
      <c r="R148" s="30" t="inlineStr">
        <is>
          <t>https://www.murphybank.com</t>
        </is>
      </c>
      <c r="S148" s="30" t="inlineStr">
        <is>
          <t>—</t>
        </is>
      </c>
      <c r="T148" s="30" t="inlineStr">
        <is>
          <t>N/M</t>
        </is>
      </c>
      <c r="U148" s="30" t="inlineStr">
        <is>
          <t>N/M</t>
        </is>
      </c>
      <c r="V148" s="30" t="inlineStr">
        <is>
          <t>N/M (Murphy USA Visa = unrelated FNBO entity)</t>
        </is>
      </c>
      <c r="W148" s="30" t="inlineStr">
        <is>
          <t>0</t>
        </is>
      </c>
      <c r="X148" s="30" t="inlineStr">
        <is>
          <t>N/M</t>
        </is>
      </c>
      <c r="Y148" s="30" t="inlineStr">
        <is>
          <t>None (collateral-based: mobile homes, farm/commercial equipment, semi-trucks, vehicles)</t>
        </is>
      </c>
      <c r="Z148" s="30" t="inlineStr">
        <is>
          <t>N/M</t>
        </is>
      </c>
      <c r="AA148" s="30" t="inlineStr">
        <is>
          <t>Not a card source</t>
        </is>
      </c>
      <c r="AB148" s="30" t="inlineStr">
        <is>
          <t>None (deposits + specialty secured financing; no card)</t>
        </is>
      </c>
      <c r="AC148" s="30" t="inlineStr">
        <is>
          <t>Central Valley (Fresno)</t>
        </is>
      </c>
      <c r="AD148" s="30" t="inlineStr">
        <is>
          <t>Fresno</t>
        </is>
      </c>
      <c r="AE148" s="30" t="inlineStr">
        <is>
          <t>93</t>
        </is>
      </c>
      <c r="AF148" s="30" t="inlineStr">
        <is>
          <t>HIGH no-card (own product nav = deposits + secured loans only). 2026-05-29</t>
        </is>
      </c>
      <c r="AG148" s="30" t="inlineStr">
        <is>
          <t>murphybank.com; FDIC cert 25726; bestcashcow.com</t>
        </is>
      </c>
    </row>
    <row r="149" ht="15.75" customHeight="1">
      <c r="A149" s="30" t="inlineStr">
        <is>
          <t>148</t>
        </is>
      </c>
      <c r="C149" s="53" t="inlineStr">
        <is>
          <t>Bank Irvine</t>
        </is>
      </c>
      <c r="D149" s="43" t="inlineStr">
        <is>
          <t>CA Bank</t>
        </is>
      </c>
      <c r="E149" s="30" t="inlineStr">
        <is>
          <t>★ Core SoCal</t>
        </is>
      </c>
      <c r="F149" s="54" t="inlineStr">
        <is>
          <t>1/4  ✗SUW ✗Onl ✓SoCal ✗Card</t>
        </is>
      </c>
      <c r="G149" s="30" t="inlineStr">
        <is>
          <t>No card</t>
        </is>
      </c>
      <c r="H149" s="30" t="inlineStr">
        <is>
          <t>—</t>
        </is>
      </c>
      <c r="I149" s="30" t="inlineStr">
        <is>
          <t>$0.31B</t>
        </is>
      </c>
      <c r="J149" s="30" t="inlineStr">
        <is>
          <t>N/M</t>
        </is>
      </c>
      <c r="K149" s="30" t="inlineStr">
        <is>
          <t>Single office (Irvine, OC); target OC + LA County; de novo est Oct 2022. NOT a Commercial Bank of CA rebrand</t>
        </is>
      </c>
      <c r="L149" s="30" t="inlineStr">
        <is>
          <t>CA-HQ'd</t>
        </is>
      </c>
      <c r="M149" s="30" t="inlineStr">
        <is>
          <t>—</t>
        </is>
      </c>
      <c r="N149" s="30" t="inlineStr">
        <is>
          <t>❌ No card (de novo commercial bank; Mastercard debit only)</t>
        </is>
      </c>
      <c r="O149" s="54" t="inlineStr">
        <is>
          <t>None</t>
        </is>
      </c>
      <c r="P149" s="30" t="inlineStr">
        <is>
          <t>No</t>
        </is>
      </c>
      <c r="Q149" s="30" t="inlineStr">
        <is>
          <t>— (no business card)</t>
        </is>
      </c>
      <c r="R149" s="30" t="inlineStr">
        <is>
          <t>https://www.bankirvine.com</t>
        </is>
      </c>
      <c r="S149" s="30" t="inlineStr">
        <is>
          <t>—</t>
        </is>
      </c>
      <c r="T149" s="30" t="inlineStr">
        <is>
          <t>N/M</t>
        </is>
      </c>
      <c r="U149" s="30" t="inlineStr">
        <is>
          <t>N/M</t>
        </is>
      </c>
      <c r="V149" s="30" t="inlineStr">
        <is>
          <t>N/M</t>
        </is>
      </c>
      <c r="W149" s="30" t="inlineStr">
        <is>
          <t>0</t>
        </is>
      </c>
      <c r="X149" s="30" t="inlineStr">
        <is>
          <t>N/M</t>
        </is>
      </c>
      <c r="Y149" s="30" t="inlineStr">
        <is>
          <t>None (C&amp;I/CRE/multifamily/SBA full-doc)</t>
        </is>
      </c>
      <c r="Z149" s="30" t="inlineStr">
        <is>
          <t>N/M</t>
        </is>
      </c>
      <c r="AA149" s="30" t="inlineStr">
        <is>
          <t>Not a card source</t>
        </is>
      </c>
      <c r="AB149" s="30" t="inlineStr">
        <is>
          <t>Mastercard business/personal DEBIT only (no credit card)</t>
        </is>
      </c>
      <c r="AC149" s="30" t="inlineStr">
        <is>
          <t>SoCal / Orange County</t>
        </is>
      </c>
      <c r="AD149" s="30" t="inlineStr">
        <is>
          <t>Irvine</t>
        </is>
      </c>
      <c r="AE149" s="30" t="inlineStr">
        <is>
          <t>94</t>
        </is>
      </c>
      <c r="AF149" s="30" t="inlineStr">
        <is>
          <t>HIGH no-card (own business pages = C&amp;I/CRE/SBA + debit only). 2026-05-29</t>
        </is>
      </c>
      <c r="AG149" s="30" t="inlineStr">
        <is>
          <t>bankirvine.com/business-banking + /debit-card; FDIC cert 59296</t>
        </is>
      </c>
    </row>
    <row r="150" ht="15.75" customHeight="1">
      <c r="A150" s="30" t="inlineStr">
        <is>
          <t>149</t>
        </is>
      </c>
      <c r="C150" s="53" t="inlineStr">
        <is>
          <t>Monterey County Bank</t>
        </is>
      </c>
      <c r="D150" s="43" t="inlineStr">
        <is>
          <t>CA Bank</t>
        </is>
      </c>
      <c r="E150" s="30" t="inlineStr">
        <is>
          <t>Other — Central Coast (Monterey County)</t>
        </is>
      </c>
      <c r="F150" s="54" t="inlineStr">
        <is>
          <t>0/4  ✗SUW ✗Onl ✗SoCal ✗Card</t>
        </is>
      </c>
      <c r="G150" s="30" t="inlineStr">
        <is>
          <t>No card</t>
        </is>
      </c>
      <c r="H150" s="30" t="inlineStr">
        <is>
          <t>—</t>
        </is>
      </c>
      <c r="I150" s="30" t="inlineStr">
        <is>
          <t>$0.30B</t>
        </is>
      </c>
      <c r="J150" s="30" t="inlineStr">
        <is>
          <t>N/M</t>
        </is>
      </c>
      <c r="K150" s="30" t="inlineStr">
        <is>
          <t>Monterey/Carmel/Pacific Grove/Salinas; est 1977; 2023 recap reported</t>
        </is>
      </c>
      <c r="L150" s="30" t="inlineStr">
        <is>
          <t>CA-HQ'd</t>
        </is>
      </c>
      <c r="M150" s="30" t="inlineStr">
        <is>
          <t>—</t>
        </is>
      </c>
      <c r="N150" s="30" t="inlineStr">
        <is>
          <t>❌ No BUSINESS card (legacy consumer subprime 'Emblem' MC only; SBA/commercial lender)</t>
        </is>
      </c>
      <c r="O150" s="54" t="inlineStr">
        <is>
          <t>None for business (legacy Emblem run by Jefferson Capital)</t>
        </is>
      </c>
      <c r="P150" s="30" t="inlineStr">
        <is>
          <t>No</t>
        </is>
      </c>
      <c r="Q150" s="30" t="inlineStr">
        <is>
          <t>— (no business card)</t>
        </is>
      </c>
      <c r="R150" s="30" t="inlineStr">
        <is>
          <t>https://montereycountybank.com</t>
        </is>
      </c>
      <c r="S150" s="30" t="inlineStr">
        <is>
          <t>—</t>
        </is>
      </c>
      <c r="T150" s="30" t="inlineStr">
        <is>
          <t>N/M</t>
        </is>
      </c>
      <c r="U150" s="30" t="inlineStr">
        <is>
          <t>N/M</t>
        </is>
      </c>
      <c r="V150" s="30" t="inlineStr">
        <is>
          <t>N/M (Emblem = consumer subprime credit-builder, not business; not on bank site)</t>
        </is>
      </c>
      <c r="W150" s="30" t="inlineStr">
        <is>
          <t>0</t>
        </is>
      </c>
      <c r="X150" s="30" t="inlineStr">
        <is>
          <t>N/M</t>
        </is>
      </c>
      <c r="Y150" s="30" t="inlineStr">
        <is>
          <t>None (SBA 7(a)/CRE/C&amp;I full-doc; #1 SBA 7(a) lender in Monterey County)</t>
        </is>
      </c>
      <c r="Z150" s="30" t="inlineStr">
        <is>
          <t>N/M</t>
        </is>
      </c>
      <c r="AA150" s="30" t="inlineStr">
        <is>
          <t>Not a card source</t>
        </is>
      </c>
      <c r="AB150" s="30" t="inlineStr">
        <is>
          <t>None for business (debit + Elavon merchant; legacy consumer Emblem MC via Jefferson Capital)</t>
        </is>
      </c>
      <c r="AC150" s="30" t="inlineStr">
        <is>
          <t>Central Coast (Monterey County)</t>
        </is>
      </c>
      <c r="AD150" s="30" t="inlineStr">
        <is>
          <t>Monterey</t>
        </is>
      </c>
      <c r="AE150" s="30" t="inlineStr">
        <is>
          <t>95</t>
        </is>
      </c>
      <c r="AF150" s="30" t="inlineStr">
        <is>
          <t>HIGH no business card (site = debit + merchant only; Emblem is consumer-only legacy). 2026-05-29</t>
        </is>
      </c>
      <c r="AG150" s="30" t="inlineStr">
        <is>
          <t>montereycountybank.com (Debit-Card, Merchant-Services); FDIC cert 22460; creditcardchaser.com (legacy Emblem)</t>
        </is>
      </c>
    </row>
    <row r="151" ht="15.75" customHeight="1">
      <c r="A151" s="30" t="inlineStr">
        <is>
          <t>150</t>
        </is>
      </c>
      <c r="C151" s="53" t="inlineStr">
        <is>
          <t>Gateway Bank, F.S.B.</t>
        </is>
      </c>
      <c r="D151" s="43" t="inlineStr">
        <is>
          <t>CA Bank</t>
        </is>
      </c>
      <c r="E151" s="30" t="inlineStr">
        <is>
          <t>Other — NorCal</t>
        </is>
      </c>
      <c r="F151" s="54" t="inlineStr">
        <is>
          <t>0/4  ✗SUW ✗Onl ✗SoCal ✗Card</t>
        </is>
      </c>
      <c r="G151" s="30" t="inlineStr">
        <is>
          <t>No card</t>
        </is>
      </c>
      <c r="H151" s="30" t="inlineStr">
        <is>
          <t>—</t>
        </is>
      </c>
      <c r="I151" s="30" t="inlineStr">
        <is>
          <t>$0.29B</t>
        </is>
      </c>
      <c r="J151" s="30" t="inlineStr">
        <is>
          <t>N/M</t>
        </is>
      </c>
      <c r="K151" s="30" t="inlineStr">
        <is>
          <t>Oakland + Walnut Creek; federal savings bank (thrift); est 1990. NOT AZ/AR same-name banks</t>
        </is>
      </c>
      <c r="L151" s="30" t="inlineStr">
        <is>
          <t>CA-HQ'd</t>
        </is>
      </c>
      <c r="M151" s="30" t="inlineStr">
        <is>
          <t>—</t>
        </is>
      </c>
      <c r="N151" s="30" t="inlineStr">
        <is>
          <t>❌ No card (thrift; MoneyPass debit; collateral-based CRE lending)</t>
        </is>
      </c>
      <c r="O151" s="54" t="inlineStr">
        <is>
          <t>None</t>
        </is>
      </c>
      <c r="P151" s="30" t="inlineStr">
        <is>
          <t>No</t>
        </is>
      </c>
      <c r="Q151" s="30" t="inlineStr">
        <is>
          <t>— (no business card)</t>
        </is>
      </c>
      <c r="R151" s="30" t="inlineStr">
        <is>
          <t>https://www.gatewayfsb.com</t>
        </is>
      </c>
      <c r="S151" s="30" t="inlineStr">
        <is>
          <t>—</t>
        </is>
      </c>
      <c r="T151" s="30" t="inlineStr">
        <is>
          <t>N/M</t>
        </is>
      </c>
      <c r="U151" s="30" t="inlineStr">
        <is>
          <t>N/M</t>
        </is>
      </c>
      <c r="V151" s="30" t="inlineStr">
        <is>
          <t>N/M</t>
        </is>
      </c>
      <c r="W151" s="30" t="inlineStr">
        <is>
          <t>0</t>
        </is>
      </c>
      <c r="X151" s="30" t="inlineStr">
        <is>
          <t>N/M</t>
        </is>
      </c>
      <c r="Y151" s="30" t="inlineStr">
        <is>
          <t>None (real-estate-collateral CRE/LOC/term full-doc)</t>
        </is>
      </c>
      <c r="Z151" s="30" t="inlineStr">
        <is>
          <t>N/M</t>
        </is>
      </c>
      <c r="AA151" s="30" t="inlineStr">
        <is>
          <t>Not a card source</t>
        </is>
      </c>
      <c r="AB151" s="30" t="inlineStr">
        <is>
          <t>None (deposits + treasury + collateral CRE loans; MoneyPass debit only)</t>
        </is>
      </c>
      <c r="AC151" s="30" t="inlineStr">
        <is>
          <t>NorCal / SF-East Bay</t>
        </is>
      </c>
      <c r="AD151" s="30" t="inlineStr">
        <is>
          <t>Oakland</t>
        </is>
      </c>
      <c r="AE151" s="30" t="inlineStr">
        <is>
          <t>96</t>
        </is>
      </c>
      <c r="AF151" s="30" t="inlineStr">
        <is>
          <t>HIGH no-card (own home + commercial-loans pages; debit only; assets verified $286.5M). 2026-05-29</t>
        </is>
      </c>
      <c r="AG151" s="30" t="inlineStr">
        <is>
          <t>gatewayfsb.com + /commercial-loans; FDIC cert 33103 ($286.53M)</t>
        </is>
      </c>
    </row>
    <row r="152" ht="15.75" customHeight="1">
      <c r="A152" s="30" t="inlineStr">
        <is>
          <t>151</t>
        </is>
      </c>
      <c r="C152" s="53" t="inlineStr">
        <is>
          <t>Mission National Bank</t>
        </is>
      </c>
      <c r="D152" s="43" t="inlineStr">
        <is>
          <t>CA Bank</t>
        </is>
      </c>
      <c r="E152" s="30" t="inlineStr">
        <is>
          <t>Other — NorCal</t>
        </is>
      </c>
      <c r="F152" s="54" t="inlineStr">
        <is>
          <t>0/4  ✗SUW ✗Onl ✗SoCal ✗Card</t>
        </is>
      </c>
      <c r="G152" s="30" t="inlineStr">
        <is>
          <t>No card</t>
        </is>
      </c>
      <c r="H152" s="30" t="inlineStr">
        <is>
          <t>—</t>
        </is>
      </c>
      <c r="I152" s="30" t="inlineStr">
        <is>
          <t>$0.25B</t>
        </is>
      </c>
      <c r="J152" s="30" t="inlineStr">
        <is>
          <t>N/M</t>
        </is>
      </c>
      <c r="K152" s="30" t="inlineStr">
        <is>
          <t>Single SF office (Mission District); ~42 yrs; CA-only</t>
        </is>
      </c>
      <c r="L152" s="30" t="inlineStr">
        <is>
          <t>CA-HQ'd</t>
        </is>
      </c>
      <c r="M152" s="30" t="inlineStr">
        <is>
          <t>—</t>
        </is>
      </c>
      <c r="N152" s="30" t="inlineStr">
        <is>
          <t>❌ No card (community bank; Visa debit only)</t>
        </is>
      </c>
      <c r="O152" s="54" t="inlineStr">
        <is>
          <t>None</t>
        </is>
      </c>
      <c r="P152" s="30" t="inlineStr">
        <is>
          <t>No</t>
        </is>
      </c>
      <c r="Q152" s="30" t="inlineStr">
        <is>
          <t>— (no business card)</t>
        </is>
      </c>
      <c r="R152" s="30" t="inlineStr">
        <is>
          <t>https://mnbsf.com</t>
        </is>
      </c>
      <c r="S152" s="30" t="inlineStr">
        <is>
          <t>—</t>
        </is>
      </c>
      <c r="T152" s="30" t="inlineStr">
        <is>
          <t>N/M</t>
        </is>
      </c>
      <c r="U152" s="30" t="inlineStr">
        <is>
          <t>N/M</t>
        </is>
      </c>
      <c r="V152" s="30" t="inlineStr">
        <is>
          <t>N/M (Prelim portal = deposit account opening, not cards)</t>
        </is>
      </c>
      <c r="W152" s="30" t="inlineStr">
        <is>
          <t>0</t>
        </is>
      </c>
      <c r="X152" s="30" t="inlineStr">
        <is>
          <t>N/M</t>
        </is>
      </c>
      <c r="Y152" s="30" t="inlineStr">
        <is>
          <t>None (term/LOC/CRE/letters-of-credit full-doc)</t>
        </is>
      </c>
      <c r="Z152" s="30" t="inlineStr">
        <is>
          <t>N/M</t>
        </is>
      </c>
      <c r="AA152" s="30" t="inlineStr">
        <is>
          <t>Not a card source</t>
        </is>
      </c>
      <c r="AB152" s="30" t="inlineStr">
        <is>
          <t>Visa DEBIT only (no credit card)</t>
        </is>
      </c>
      <c r="AC152" s="30" t="inlineStr">
        <is>
          <t>NorCal / SF</t>
        </is>
      </c>
      <c r="AD152" s="30" t="inlineStr">
        <is>
          <t>San Francisco</t>
        </is>
      </c>
      <c r="AE152" s="30" t="inlineStr">
        <is>
          <t>99</t>
        </is>
      </c>
      <c r="AF152" s="30" t="inlineStr">
        <is>
          <t>HIGH no-card (site nav = debit + commercial lending only). 2026-05-29</t>
        </is>
      </c>
      <c r="AG152" s="30" t="inlineStr">
        <is>
          <t>mnbsf.com (home, Contact-Us); FDIC cert 23749</t>
        </is>
      </c>
    </row>
    <row r="153" ht="15.75" customHeight="1">
      <c r="A153" s="30" t="inlineStr">
        <is>
          <t>152</t>
        </is>
      </c>
      <c r="C153" s="53" t="inlineStr">
        <is>
          <t>Neighborhood National Bank</t>
        </is>
      </c>
      <c r="D153" s="43" t="inlineStr">
        <is>
          <t>CA Bank</t>
        </is>
      </c>
      <c r="E153" s="30" t="inlineStr">
        <is>
          <t>★ Core SoCal</t>
        </is>
      </c>
      <c r="F153" s="54" t="inlineStr">
        <is>
          <t>1/4  ✗SUW ✗Onl ✓SoCal ✗Card</t>
        </is>
      </c>
      <c r="G153" s="30" t="inlineStr">
        <is>
          <t>No card</t>
        </is>
      </c>
      <c r="H153" s="30" t="inlineStr">
        <is>
          <t>—</t>
        </is>
      </c>
      <c r="I153" s="30" t="inlineStr">
        <is>
          <t>$0.23B</t>
        </is>
      </c>
      <c r="J153" s="30" t="inlineStr">
        <is>
          <t>N/M</t>
        </is>
      </c>
      <c r="K153" s="30" t="inlineStr">
        <is>
          <t>San Diego County (El Cajon HQ, National City); first national bank designated a CDFI; est 1997</t>
        </is>
      </c>
      <c r="L153" s="30" t="inlineStr">
        <is>
          <t>CA-HQ'd</t>
        </is>
      </c>
      <c r="M153" s="30" t="inlineStr">
        <is>
          <t>—</t>
        </is>
      </c>
      <c r="N153" s="30" t="inlineStr">
        <is>
          <t>❌ No card (CDFI community bank; business debit + merchant services only)</t>
        </is>
      </c>
      <c r="O153" s="54" t="inlineStr">
        <is>
          <t>None</t>
        </is>
      </c>
      <c r="P153" s="30" t="inlineStr">
        <is>
          <t>No</t>
        </is>
      </c>
      <c r="Q153" s="30" t="inlineStr">
        <is>
          <t>— (no business card)</t>
        </is>
      </c>
      <c r="R153" s="30" t="inlineStr">
        <is>
          <t>https://www.mynnb.com</t>
        </is>
      </c>
      <c r="S153" s="30" t="inlineStr">
        <is>
          <t>—</t>
        </is>
      </c>
      <c r="T153" s="30" t="inlineStr">
        <is>
          <t>N/M</t>
        </is>
      </c>
      <c r="U153" s="30" t="inlineStr">
        <is>
          <t>N/M</t>
        </is>
      </c>
      <c r="V153" s="30" t="inlineStr">
        <is>
          <t>N/M</t>
        </is>
      </c>
      <c r="W153" s="30" t="inlineStr">
        <is>
          <t>0</t>
        </is>
      </c>
      <c r="X153" s="30" t="inlineStr">
        <is>
          <t>N/M</t>
        </is>
      </c>
      <c r="Y153" s="30" t="inlineStr">
        <is>
          <t>None (term/revolving LOC/CRE/SBA 7(a)/504/Express/construction full-doc)</t>
        </is>
      </c>
      <c r="Z153" s="30" t="inlineStr">
        <is>
          <t>N/M</t>
        </is>
      </c>
      <c r="AA153" s="30" t="inlineStr">
        <is>
          <t>Not a card source</t>
        </is>
      </c>
      <c r="AB153" s="30" t="inlineStr">
        <is>
          <t>Business DEBIT + merchant card services only (no issued credit card)</t>
        </is>
      </c>
      <c r="AC153" s="30" t="inlineStr">
        <is>
          <t>SoCal / San Diego</t>
        </is>
      </c>
      <c r="AD153" s="30" t="inlineStr">
        <is>
          <t>El Cajon</t>
        </is>
      </c>
      <c r="AE153" s="30" t="inlineStr">
        <is>
          <t>101</t>
        </is>
      </c>
      <c r="AF153" s="30" t="inlineStr">
        <is>
          <t>HIGH no-card (home/lending/nav = debit + merchant + commercial lending only). 2026-05-29</t>
        </is>
      </c>
      <c r="AG153" s="30" t="inlineStr">
        <is>
          <t>mynnb.com (lending/business-loans, merchant-card-services); FDIC cert 34548</t>
        </is>
      </c>
    </row>
    <row r="154" ht="15.75" customHeight="1">
      <c r="A154" s="30" t="inlineStr">
        <is>
          <t>153</t>
        </is>
      </c>
      <c r="C154" s="53" t="inlineStr">
        <is>
          <t>Capital Bank and Trust Company</t>
        </is>
      </c>
      <c r="D154" s="43" t="inlineStr">
        <is>
          <t>CA Bank</t>
        </is>
      </c>
      <c r="E154" s="30" t="inlineStr">
        <is>
          <t>★ Core SoCal</t>
        </is>
      </c>
      <c r="F154" s="54" t="inlineStr">
        <is>
          <t>1/4  ✗SUW ✗Onl ✓SoCal ✗Card</t>
        </is>
      </c>
      <c r="G154" s="30" t="inlineStr">
        <is>
          <t>No card</t>
        </is>
      </c>
      <c r="H154" s="30" t="inlineStr">
        <is>
          <t>—</t>
        </is>
      </c>
      <c r="I154" s="30" t="inlineStr">
        <is>
          <t>$0.23B</t>
        </is>
      </c>
      <c r="J154" s="30" t="inlineStr">
        <is>
          <t>N/M</t>
        </is>
      </c>
      <c r="K154" s="30" t="inlineStr">
        <is>
          <t>Captive trust bank of Capital Group (American Funds); Irvine HQ; savings-bank charter; 2 offices</t>
        </is>
      </c>
      <c r="L154" s="30" t="inlineStr">
        <is>
          <t>CA-HQ'd</t>
        </is>
      </c>
      <c r="M154" s="30" t="inlineStr">
        <is>
          <t>—</t>
        </is>
      </c>
      <c r="N154" s="30" t="inlineStr">
        <is>
          <t>❌ No card (Capital Group / American Funds captive trust &amp; custody bank)</t>
        </is>
      </c>
      <c r="O154" s="54" t="inlineStr">
        <is>
          <t>None</t>
        </is>
      </c>
      <c r="P154" s="30" t="inlineStr">
        <is>
          <t>No</t>
        </is>
      </c>
      <c r="Q154" s="30" t="inlineStr">
        <is>
          <t>— (no business card)</t>
        </is>
      </c>
      <c r="R154" s="30" t="inlineStr">
        <is>
          <t>https://www.americanfunds.com</t>
        </is>
      </c>
      <c r="S154" s="30" t="inlineStr">
        <is>
          <t>—</t>
        </is>
      </c>
      <c r="T154" s="30" t="inlineStr">
        <is>
          <t>N/M</t>
        </is>
      </c>
      <c r="U154" s="30" t="inlineStr">
        <is>
          <t>N/M</t>
        </is>
      </c>
      <c r="V154" s="30" t="inlineStr">
        <is>
          <t>N/M (directed-trustee/custodial for American Funds retirement plans + IRAs)</t>
        </is>
      </c>
      <c r="W154" s="30" t="inlineStr">
        <is>
          <t>0</t>
        </is>
      </c>
      <c r="X154" s="30" t="inlineStr">
        <is>
          <t>N/M</t>
        </is>
      </c>
      <c r="Y154" s="30" t="inlineStr">
        <is>
          <t>None (no commercial lending or card; retirement custody only)</t>
        </is>
      </c>
      <c r="Z154" s="30" t="inlineStr">
        <is>
          <t>N/M</t>
        </is>
      </c>
      <c r="AA154" s="30" t="inlineStr">
        <is>
          <t>Not a card source</t>
        </is>
      </c>
      <c r="AB154" s="30" t="inlineStr">
        <is>
          <t>None (directed trustee + custodial services for retirement plans/IRAs)</t>
        </is>
      </c>
      <c r="AC154" s="30" t="inlineStr">
        <is>
          <t>SoCal / Orange County</t>
        </is>
      </c>
      <c r="AD154" s="30" t="inlineStr">
        <is>
          <t>Irvine</t>
        </is>
      </c>
      <c r="AE154" s="30" t="inlineStr">
        <is>
          <t>102</t>
        </is>
      </c>
      <c r="AF154" s="30" t="inlineStr">
        <is>
          <t>HIGH no-card (captive American Funds trust/custody bank; FDIC WEBADDR=americanfunds.com). 2026-05-29</t>
        </is>
      </c>
      <c r="AG154" s="30" t="inlineStr">
        <is>
          <t>FDIC cert 35164 (WEBADDR americanfunds.com); en.wikipedia.org/wiki/Capital_Group</t>
        </is>
      </c>
    </row>
    <row r="155" ht="15.75" customHeight="1">
      <c r="A155" s="30" t="inlineStr">
        <is>
          <t>154</t>
        </is>
      </c>
      <c r="C155" s="53" t="inlineStr">
        <is>
          <t>United Pacific Bank</t>
        </is>
      </c>
      <c r="D155" s="43" t="inlineStr">
        <is>
          <t>CA Bank</t>
        </is>
      </c>
      <c r="E155" s="30" t="inlineStr">
        <is>
          <t>★ Core SoCal</t>
        </is>
      </c>
      <c r="F155" s="54" t="inlineStr">
        <is>
          <t>1/4  ✗SUW ✗Onl ✓SoCal ✗Card</t>
        </is>
      </c>
      <c r="G155" s="30" t="inlineStr">
        <is>
          <t>No card</t>
        </is>
      </c>
      <c r="H155" s="30" t="inlineStr">
        <is>
          <t>—</t>
        </is>
      </c>
      <c r="I155" s="30" t="inlineStr">
        <is>
          <t>$0.19B</t>
        </is>
      </c>
      <c r="J155" s="30" t="inlineStr">
        <is>
          <t>N/M</t>
        </is>
      </c>
      <c r="K155" s="30" t="inlineStr">
        <is>
          <t>City of Industry HQ + Monterey Park; Asian-American; est 1982</t>
        </is>
      </c>
      <c r="L155" s="30" t="inlineStr">
        <is>
          <t>CA-HQ'd</t>
        </is>
      </c>
      <c r="M155" s="30" t="inlineStr">
        <is>
          <t>—</t>
        </is>
      </c>
      <c r="N155" s="30" t="inlineStr">
        <is>
          <t>⚠️ TCM CONSUMER card only; NO business card marketed</t>
        </is>
      </c>
      <c r="O155" s="49" t="inlineStr">
        <is>
          <t>TCM Bank, N.A. (consumer card)</t>
        </is>
      </c>
      <c r="P155" s="30" t="inlineStr">
        <is>
          <t>No</t>
        </is>
      </c>
      <c r="Q155" s="30" t="inlineStr">
        <is>
          <t>— (no business card)</t>
        </is>
      </c>
      <c r="R155" s="30" t="inlineStr">
        <is>
          <t>https://www.upbnet.com</t>
        </is>
      </c>
      <c r="S155" s="30" t="inlineStr">
        <is>
          <t>—</t>
        </is>
      </c>
      <c r="T155" s="30" t="inlineStr">
        <is>
          <t>N/M (TCM)</t>
        </is>
      </c>
      <c r="U155" s="30" t="inlineStr">
        <is>
          <t>N/M</t>
        </is>
      </c>
      <c r="V155" s="30" t="inlineStr">
        <is>
          <t>N/M (only a 'Consumer Credit Card' page; no business card published)</t>
        </is>
      </c>
      <c r="W155" s="30" t="inlineStr">
        <is>
          <t>0</t>
        </is>
      </c>
      <c r="X155" s="30" t="inlineStr">
        <is>
          <t>N/M</t>
        </is>
      </c>
      <c r="Y155" s="30" t="inlineStr">
        <is>
          <t>None (business loans/LOC/SBA/CRE/truck full-doc)</t>
        </is>
      </c>
      <c r="Z155" s="30" t="inlineStr">
        <is>
          <t>N/M</t>
        </is>
      </c>
      <c r="AA155" s="30" t="inlineStr">
        <is>
          <t>Not a card source</t>
        </is>
      </c>
      <c r="AB155" s="30" t="inlineStr">
        <is>
          <t>Consumer Credit Card (TCM) only; no business credit card</t>
        </is>
      </c>
      <c r="AC155" s="30" t="inlineStr">
        <is>
          <t>SoCal / LA (San Gabriel Valley)</t>
        </is>
      </c>
      <c r="AD155" s="30" t="inlineStr">
        <is>
          <t>City of Industry</t>
        </is>
      </c>
      <c r="AE155" s="30" t="inlineStr">
        <is>
          <t>104</t>
        </is>
      </c>
      <c r="AF155" s="30" t="inlineStr">
        <is>
          <t>MED-HIGH no BUSINESS card (only TCM consumer card published); issuer=TCM. 2026-05-29</t>
        </is>
      </c>
      <c r="AG155" s="30" t="inlineStr">
        <is>
          <t>upbnet.com/Consumer-Credit-Card (TCM); FDIC cert 23805</t>
        </is>
      </c>
    </row>
    <row r="156" ht="15.75" customHeight="1">
      <c r="A156" s="30" t="inlineStr">
        <is>
          <t>155</t>
        </is>
      </c>
      <c r="C156" s="53" t="inlineStr">
        <is>
          <t>Hatch Bank</t>
        </is>
      </c>
      <c r="D156" s="43" t="inlineStr">
        <is>
          <t>CA Bank</t>
        </is>
      </c>
      <c r="E156" s="30" t="inlineStr">
        <is>
          <t>★ Core SoCal</t>
        </is>
      </c>
      <c r="F156" s="54" t="inlineStr">
        <is>
          <t>1/4  ✗SUW ✗Onl ✓SoCal ✗Card</t>
        </is>
      </c>
      <c r="G156" s="30" t="inlineStr">
        <is>
          <t>No card</t>
        </is>
      </c>
      <c r="H156" s="30" t="inlineStr">
        <is>
          <t>—</t>
        </is>
      </c>
      <c r="I156" s="30" t="inlineStr">
        <is>
          <t>$0.19B</t>
        </is>
      </c>
      <c r="J156" s="30" t="inlineStr">
        <is>
          <t>N/M</t>
        </is>
      </c>
      <c r="K156" s="30" t="inlineStr">
        <is>
          <t>San Marcos (SD County); BaaS/sponsor bank (ex-Rancho Santa Fe Thrift, renamed 2019); 1 branch</t>
        </is>
      </c>
      <c r="L156" s="30" t="inlineStr">
        <is>
          <t>CA-HQ'd</t>
        </is>
      </c>
      <c r="M156" s="30" t="inlineStr">
        <is>
          <t>—</t>
        </is>
      </c>
      <c r="N156" s="30" t="inlineStr">
        <is>
          <t>❌ No direct-to-business card (BaaS/fintech-sponsor bank)</t>
        </is>
      </c>
      <c r="O156" s="54" t="inlineStr">
        <is>
          <t>None (sponsor bank for fintech card programs; not direct issuer to businesses)</t>
        </is>
      </c>
      <c r="P156" s="30" t="inlineStr">
        <is>
          <t>No</t>
        </is>
      </c>
      <c r="Q156" s="30" t="inlineStr">
        <is>
          <t>— (no business card)</t>
        </is>
      </c>
      <c r="R156" s="30" t="inlineStr">
        <is>
          <t>https://www.hatchbank.com</t>
        </is>
      </c>
      <c r="S156" s="30" t="inlineStr">
        <is>
          <t>—</t>
        </is>
      </c>
      <c r="T156" s="30" t="inlineStr">
        <is>
          <t>N/M</t>
        </is>
      </c>
      <c r="U156" s="30" t="inlineStr">
        <is>
          <t>N/M</t>
        </is>
      </c>
      <c r="V156" s="30" t="inlineStr">
        <is>
          <t>N/M (B2B partner onboarding only; 'Talk to Hatch')</t>
        </is>
      </c>
      <c r="W156" s="30" t="inlineStr">
        <is>
          <t>0</t>
        </is>
      </c>
      <c r="X156" s="30" t="inlineStr">
        <is>
          <t>N/M</t>
        </is>
      </c>
      <c r="Y156" s="30" t="inlineStr">
        <is>
          <t>None direct (embedded lending/card-issuing rails for fintech partners e.g. Enfin/Sungage)</t>
        </is>
      </c>
      <c r="Z156" s="30" t="inlineStr">
        <is>
          <t>N/M</t>
        </is>
      </c>
      <c r="AA156" s="30" t="inlineStr">
        <is>
          <t>Not a card source</t>
        </is>
      </c>
      <c r="AB156" s="30" t="inlineStr">
        <is>
          <t>None to end-businesses (BaaS: card issuing, embedded lending, deposit rails for fintechs). NOT the unrelated 'Hatch Card' fintech</t>
        </is>
      </c>
      <c r="AC156" s="30" t="inlineStr">
        <is>
          <t>SoCal / San Diego</t>
        </is>
      </c>
      <c r="AD156" s="30" t="inlineStr">
        <is>
          <t>San Marcos</t>
        </is>
      </c>
      <c r="AE156" s="30" t="inlineStr">
        <is>
          <t>105</t>
        </is>
      </c>
      <c r="AF156" s="30" t="inlineStr">
        <is>
          <t>HIGH no direct-to-business card (BaaS sponsor model). 2026-05-29</t>
        </is>
      </c>
      <c r="AG156" s="30" t="inlineStr">
        <is>
          <t>hatchbank.com/solutions; FDIC cert 25803; dfpi.ca.gov</t>
        </is>
      </c>
    </row>
    <row r="157" ht="15.75" customHeight="1">
      <c r="A157" s="30" t="inlineStr">
        <is>
          <t>156</t>
        </is>
      </c>
      <c r="C157" s="53" t="inlineStr">
        <is>
          <t>Beacon Business Bank, N.A.</t>
        </is>
      </c>
      <c r="D157" s="43" t="inlineStr">
        <is>
          <t>CA Bank</t>
        </is>
      </c>
      <c r="E157" s="30" t="inlineStr">
        <is>
          <t>Other — NorCal</t>
        </is>
      </c>
      <c r="F157" s="54" t="inlineStr">
        <is>
          <t>0/4  ✗SUW ✗Onl ✗SoCal ✗Card</t>
        </is>
      </c>
      <c r="G157" s="30" t="inlineStr">
        <is>
          <t>No card</t>
        </is>
      </c>
      <c r="H157" s="30" t="inlineStr">
        <is>
          <t>—</t>
        </is>
      </c>
      <c r="I157" s="30" t="inlineStr">
        <is>
          <t>$0.17B</t>
        </is>
      </c>
      <c r="J157" s="30" t="inlineStr">
        <is>
          <t>N/M</t>
        </is>
      </c>
      <c r="K157" s="30" t="inlineStr">
        <is>
          <t>SF Financial District + San Mateo (Peninsula); NorCal only; est 1984 (ex-Trans Pacific National Bank)</t>
        </is>
      </c>
      <c r="L157" s="30" t="inlineStr">
        <is>
          <t>CA-HQ'd</t>
        </is>
      </c>
      <c r="M157" s="30" t="inlineStr">
        <is>
          <t>—</t>
        </is>
      </c>
      <c r="N157" s="30" t="inlineStr">
        <is>
          <t>❌ No card (Visa debit only; SBA/commercial lender)</t>
        </is>
      </c>
      <c r="O157" s="54" t="inlineStr">
        <is>
          <t>None</t>
        </is>
      </c>
      <c r="P157" s="30" t="inlineStr">
        <is>
          <t>No</t>
        </is>
      </c>
      <c r="Q157" s="30" t="inlineStr">
        <is>
          <t>— (no business card)</t>
        </is>
      </c>
      <c r="R157" s="30" t="inlineStr">
        <is>
          <t>https://www.beaconbusinessbank.com</t>
        </is>
      </c>
      <c r="S157" s="30" t="inlineStr">
        <is>
          <t>—</t>
        </is>
      </c>
      <c r="T157" s="30" t="inlineStr">
        <is>
          <t>N/M</t>
        </is>
      </c>
      <c r="U157" s="30" t="inlineStr">
        <is>
          <t>N/M</t>
        </is>
      </c>
      <c r="V157" s="30" t="inlineStr">
        <is>
          <t>N/M (formerly Trans Pacific National Bank, NOT Pan American)</t>
        </is>
      </c>
      <c r="W157" s="30" t="inlineStr">
        <is>
          <t>0</t>
        </is>
      </c>
      <c r="X157" s="30" t="inlineStr">
        <is>
          <t>N/M</t>
        </is>
      </c>
      <c r="Y157" s="30" t="inlineStr">
        <is>
          <t>None (AR/inventory financing/CRE/LOC/construction/bridge/equipment/SBA&lt;=$5M full-doc)</t>
        </is>
      </c>
      <c r="Z157" s="30" t="inlineStr">
        <is>
          <t>N/M</t>
        </is>
      </c>
      <c r="AA157" s="30" t="inlineStr">
        <is>
          <t>Not a card source</t>
        </is>
      </c>
      <c r="AB157" s="30" t="inlineStr">
        <is>
          <t>Visa DEBIT only (no credit card)</t>
        </is>
      </c>
      <c r="AC157" s="30" t="inlineStr">
        <is>
          <t>NorCal / SF</t>
        </is>
      </c>
      <c r="AD157" s="30" t="inlineStr">
        <is>
          <t>San Francisco</t>
        </is>
      </c>
      <c r="AE157" s="30" t="inlineStr">
        <is>
          <t>107</t>
        </is>
      </c>
      <c r="AF157" s="30" t="inlineStr">
        <is>
          <t>HIGH no-card (4 site pages confirm debit-only). NOT the Elan-issuing 'Beacon Bank' (different). 2026-05-29</t>
        </is>
      </c>
      <c r="AG157" s="30" t="inlineStr">
        <is>
          <t>beaconbusinessbank.com (business-loans, debit-card, history); FDIC cert 25644</t>
        </is>
      </c>
    </row>
    <row r="158" ht="15.75" customHeight="1">
      <c r="A158" s="30" t="inlineStr">
        <is>
          <t>157</t>
        </is>
      </c>
      <c r="C158" s="53" t="inlineStr">
        <is>
          <t>Bank of Whittier, N.A.</t>
        </is>
      </c>
      <c r="D158" s="43" t="inlineStr">
        <is>
          <t>CA Bank</t>
        </is>
      </c>
      <c r="E158" s="30" t="inlineStr">
        <is>
          <t>★ Core SoCal</t>
        </is>
      </c>
      <c r="F158" s="54" t="inlineStr">
        <is>
          <t>1/4  ✗SUW ✗Onl ✓SoCal ✗Card</t>
        </is>
      </c>
      <c r="G158" s="30" t="inlineStr">
        <is>
          <t>No card</t>
        </is>
      </c>
      <c r="H158" s="30" t="inlineStr">
        <is>
          <t>—</t>
        </is>
      </c>
      <c r="I158" s="30" t="inlineStr">
        <is>
          <t>$0.16B</t>
        </is>
      </c>
      <c r="J158" s="30" t="inlineStr">
        <is>
          <t>N/M</t>
        </is>
      </c>
      <c r="K158" s="30" t="inlineStr">
        <is>
          <t>Single Whittier office (LA County); Riba-Free/interest-free community bank; est 1982</t>
        </is>
      </c>
      <c r="L158" s="30" t="inlineStr">
        <is>
          <t>CA-HQ'd</t>
        </is>
      </c>
      <c r="M158" s="30" t="inlineStr">
        <is>
          <t>—</t>
        </is>
      </c>
      <c r="N158" s="30" t="inlineStr">
        <is>
          <t>❌ No card (Riba-Free/interest-free Islamic-principle bank; RF debit only)</t>
        </is>
      </c>
      <c r="O158" s="54" t="inlineStr">
        <is>
          <t>None</t>
        </is>
      </c>
      <c r="P158" s="30" t="inlineStr">
        <is>
          <t>No</t>
        </is>
      </c>
      <c r="Q158" s="30" t="inlineStr">
        <is>
          <t>— (no business card)</t>
        </is>
      </c>
      <c r="R158" s="30" t="inlineStr">
        <is>
          <t>https://www.bankofwhittier.com</t>
        </is>
      </c>
      <c r="S158" s="30" t="inlineStr">
        <is>
          <t>—</t>
        </is>
      </c>
      <c r="T158" s="30" t="inlineStr">
        <is>
          <t>N/M</t>
        </is>
      </c>
      <c r="U158" s="30" t="inlineStr">
        <is>
          <t>N/M</t>
        </is>
      </c>
      <c r="V158" s="30" t="inlineStr">
        <is>
          <t>N/M (interest-bearing cards inconsistent with Riba-Free model)</t>
        </is>
      </c>
      <c r="W158" s="30" t="inlineStr">
        <is>
          <t>0</t>
        </is>
      </c>
      <c r="X158" s="30" t="inlineStr">
        <is>
          <t>N/M</t>
        </is>
      </c>
      <c r="Y158" s="30" t="inlineStr">
        <is>
          <t>None (RF business/commercial financing = relationship/asset-based, not no-doc)</t>
        </is>
      </c>
      <c r="Z158" s="30" t="inlineStr">
        <is>
          <t>N/M</t>
        </is>
      </c>
      <c r="AA158" s="30" t="inlineStr">
        <is>
          <t>Not a card source</t>
        </is>
      </c>
      <c r="AB158" s="30" t="inlineStr">
        <is>
          <t>RF Debit Cards only (no credit card; RF deposit + commercial financing)</t>
        </is>
      </c>
      <c r="AC158" s="30" t="inlineStr">
        <is>
          <t>SoCal / LA (Whittier)</t>
        </is>
      </c>
      <c r="AD158" s="30" t="inlineStr">
        <is>
          <t>Whittier</t>
        </is>
      </c>
      <c r="AE158" s="30" t="inlineStr">
        <is>
          <t>108</t>
        </is>
      </c>
      <c r="AF158" s="30" t="inlineStr">
        <is>
          <t>HIGH no-card (Riba-Free model structurally excludes interest cards; debit only). 2026-05-29</t>
        </is>
      </c>
      <c r="AG158" s="30" t="inlineStr">
        <is>
          <t>bankofwhittier.com (home, open-business-account); FDIC cert 24211; OCC CRA eval</t>
        </is>
      </c>
    </row>
    <row r="159" ht="15.75" customHeight="1">
      <c r="A159" s="30" t="inlineStr">
        <is>
          <t>158</t>
        </is>
      </c>
      <c r="C159" s="53" t="inlineStr">
        <is>
          <t>Eastern International Bank</t>
        </is>
      </c>
      <c r="D159" s="43" t="inlineStr">
        <is>
          <t>CA Bank</t>
        </is>
      </c>
      <c r="E159" s="30" t="inlineStr">
        <is>
          <t>★ Core SoCal</t>
        </is>
      </c>
      <c r="F159" s="54" t="inlineStr">
        <is>
          <t>1/4  ✗SUW ✗Onl ✓SoCal ✗Card</t>
        </is>
      </c>
      <c r="G159" s="30" t="inlineStr">
        <is>
          <t>No card</t>
        </is>
      </c>
      <c r="H159" s="30" t="inlineStr">
        <is>
          <t>—</t>
        </is>
      </c>
      <c r="I159" s="30" t="inlineStr">
        <is>
          <t>$0.12B</t>
        </is>
      </c>
      <c r="J159" s="30" t="inlineStr">
        <is>
          <t>N/M</t>
        </is>
      </c>
      <c r="K159" s="30" t="inlineStr">
        <is>
          <t>2 branches (LA Chinatown + Monterey Park); Chinese-American/Pacific Rim; est 1985</t>
        </is>
      </c>
      <c r="L159" s="30" t="inlineStr">
        <is>
          <t>CA-HQ'd</t>
        </is>
      </c>
      <c r="M159" s="30" t="inlineStr">
        <is>
          <t>—</t>
        </is>
      </c>
      <c r="N159" s="30" t="inlineStr">
        <is>
          <t>❌ No card (CRE lender; Visa debit only)</t>
        </is>
      </c>
      <c r="O159" s="54" t="inlineStr">
        <is>
          <t>None</t>
        </is>
      </c>
      <c r="P159" s="30" t="inlineStr">
        <is>
          <t>No</t>
        </is>
      </c>
      <c r="Q159" s="30" t="inlineStr">
        <is>
          <t>— (no business card)</t>
        </is>
      </c>
      <c r="R159" s="30" t="inlineStr">
        <is>
          <t>https://www.eibankca.com</t>
        </is>
      </c>
      <c r="S159" s="30" t="inlineStr">
        <is>
          <t>—</t>
        </is>
      </c>
      <c r="T159" s="30" t="inlineStr">
        <is>
          <t>N/M</t>
        </is>
      </c>
      <c r="U159" s="30" t="inlineStr">
        <is>
          <t>N/M</t>
        </is>
      </c>
      <c r="V159" s="30" t="inlineStr">
        <is>
          <t>N/M</t>
        </is>
      </c>
      <c r="W159" s="30" t="inlineStr">
        <is>
          <t>0</t>
        </is>
      </c>
      <c r="X159" s="30" t="inlineStr">
        <is>
          <t>N/M</t>
        </is>
      </c>
      <c r="Y159" s="30" t="inlineStr">
        <is>
          <t>None (CRE: apartments/office/retail/industrial/hospitality/mixed-use full-doc)</t>
        </is>
      </c>
      <c r="Z159" s="30" t="inlineStr">
        <is>
          <t>N/M</t>
        </is>
      </c>
      <c r="AA159" s="30" t="inlineStr">
        <is>
          <t>Not a card source</t>
        </is>
      </c>
      <c r="AB159" s="30" t="inlineStr">
        <is>
          <t>Visa DEBIT only (no credit card)</t>
        </is>
      </c>
      <c r="AC159" s="30" t="inlineStr">
        <is>
          <t>SoCal / LA (Chinatown)</t>
        </is>
      </c>
      <c r="AD159" s="30" t="inlineStr">
        <is>
          <t>Los Angeles</t>
        </is>
      </c>
      <c r="AE159" s="30" t="inlineStr">
        <is>
          <t>110</t>
        </is>
      </c>
      <c r="AF159" s="30" t="inlineStr">
        <is>
          <t>HIGH no-card (own site; CRE + debit only). 2026-05-29</t>
        </is>
      </c>
      <c r="AG159" s="30" t="inlineStr">
        <is>
          <t>eibankca.com (home, About-Us); FDIC cert 32277</t>
        </is>
      </c>
    </row>
    <row r="160" ht="15.75" customHeight="1">
      <c r="A160" s="30" t="inlineStr">
        <is>
          <t>159</t>
        </is>
      </c>
      <c r="C160" s="53" t="inlineStr">
        <is>
          <t>California Business Bank</t>
        </is>
      </c>
      <c r="D160" s="43" t="inlineStr">
        <is>
          <t>CA Bank</t>
        </is>
      </c>
      <c r="E160" s="30" t="inlineStr">
        <is>
          <t>★ Core SoCal</t>
        </is>
      </c>
      <c r="F160" s="54" t="inlineStr">
        <is>
          <t>1/4  ✗SUW ✗Onl ✓SoCal ✗Card</t>
        </is>
      </c>
      <c r="G160" s="30" t="inlineStr">
        <is>
          <t>No card</t>
        </is>
      </c>
      <c r="H160" s="30" t="inlineStr">
        <is>
          <t>—</t>
        </is>
      </c>
      <c r="I160" s="30" t="inlineStr">
        <is>
          <t>$0.12B</t>
        </is>
      </c>
      <c r="J160" s="30" t="inlineStr">
        <is>
          <t>$0.10B</t>
        </is>
      </c>
      <c r="K160" s="30" t="inlineStr">
        <is>
          <t>Single Irvine office (OC); minority-owned 'fin-tech' commercial bank; est 2005</t>
        </is>
      </c>
      <c r="L160" s="30" t="inlineStr">
        <is>
          <t>CA-HQ'd</t>
        </is>
      </c>
      <c r="M160" s="30" t="inlineStr">
        <is>
          <t>—</t>
        </is>
      </c>
      <c r="N160" s="30" t="inlineStr">
        <is>
          <t>❌ No card (deposits + commercial/SBA loans; no card or debit listed)</t>
        </is>
      </c>
      <c r="O160" s="54" t="inlineStr">
        <is>
          <t>None</t>
        </is>
      </c>
      <c r="P160" s="30" t="inlineStr">
        <is>
          <t>No</t>
        </is>
      </c>
      <c r="Q160" s="30" t="inlineStr">
        <is>
          <t>— (no business card)</t>
        </is>
      </c>
      <c r="R160" s="30" t="inlineStr">
        <is>
          <t>https://www.californiabusinessbank.com</t>
        </is>
      </c>
      <c r="S160" s="30" t="inlineStr">
        <is>
          <t>—</t>
        </is>
      </c>
      <c r="T160" s="30" t="inlineStr">
        <is>
          <t>N/M</t>
        </is>
      </c>
      <c r="U160" s="30" t="inlineStr">
        <is>
          <t>N/M</t>
        </is>
      </c>
      <c r="V160" s="30" t="inlineStr">
        <is>
          <t>N/M (no card product)</t>
        </is>
      </c>
      <c r="W160" s="30" t="inlineStr">
        <is>
          <t>0</t>
        </is>
      </c>
      <c r="X160" s="30" t="inlineStr">
        <is>
          <t>N/M</t>
        </is>
      </c>
      <c r="Y160" s="30" t="inlineStr">
        <is>
          <t>None (Streamlined SBA &lt;=$150K is lightest-touch but still documented SBA; commercial full-doc)</t>
        </is>
      </c>
      <c r="Z160" s="30" t="inlineStr">
        <is>
          <t>N/M</t>
        </is>
      </c>
      <c r="AA160" s="30" t="inlineStr">
        <is>
          <t>Not a card source</t>
        </is>
      </c>
      <c r="AB160" s="30" t="inlineStr">
        <is>
          <t>None (business deposits + commercial/SBA loans; no card)</t>
        </is>
      </c>
      <c r="AC160" s="30" t="inlineStr">
        <is>
          <t>SoCal / Orange County</t>
        </is>
      </c>
      <c r="AD160" s="30" t="inlineStr">
        <is>
          <t>Irvine</t>
        </is>
      </c>
      <c r="AE160" s="30" t="inlineStr">
        <is>
          <t>111</t>
        </is>
      </c>
      <c r="AF160" s="30" t="inlineStr">
        <is>
          <t>HIGH no-card (full site reviewed; deposits+loans only). 2026-05-29</t>
        </is>
      </c>
      <c r="AG160" s="30" t="inlineStr">
        <is>
          <t>californiabusinessbank.com (business-deposits, sba-loans); FDIC cert 58037</t>
        </is>
      </c>
    </row>
    <row r="161" ht="15.75" customHeight="1">
      <c r="A161" s="30" t="inlineStr">
        <is>
          <t>160</t>
        </is>
      </c>
      <c r="C161" s="53" t="inlineStr">
        <is>
          <t>California Pacific Bank</t>
        </is>
      </c>
      <c r="D161" s="43" t="inlineStr">
        <is>
          <t>CA Bank</t>
        </is>
      </c>
      <c r="E161" s="30" t="inlineStr">
        <is>
          <t>Other — NorCal</t>
        </is>
      </c>
      <c r="F161" s="54" t="inlineStr">
        <is>
          <t>0/4  ✗SUW ✗Onl ✗SoCal ✗Card</t>
        </is>
      </c>
      <c r="G161" s="30" t="inlineStr">
        <is>
          <t>No card</t>
        </is>
      </c>
      <c r="H161" s="30" t="inlineStr">
        <is>
          <t>—</t>
        </is>
      </c>
      <c r="I161" s="30" t="inlineStr">
        <is>
          <t>$0.10B</t>
        </is>
      </c>
      <c r="J161" s="30" t="inlineStr">
        <is>
          <t>$0.06B</t>
        </is>
      </c>
      <c r="K161" s="30" t="inlineStr">
        <is>
          <t>SF + Hayward + Fremont; NorCal Bay Area; Chinese-American merchant bank; est 1980</t>
        </is>
      </c>
      <c r="L161" s="30" t="inlineStr">
        <is>
          <t>CA-HQ'd</t>
        </is>
      </c>
      <c r="M161" s="30" t="inlineStr">
        <is>
          <t>—</t>
        </is>
      </c>
      <c r="N161" s="30" t="inlineStr">
        <is>
          <t>❌ No card (relationship merchant/commercial bank; no card published)</t>
        </is>
      </c>
      <c r="O161" s="54" t="inlineStr">
        <is>
          <t>None</t>
        </is>
      </c>
      <c r="P161" s="30" t="inlineStr">
        <is>
          <t>No</t>
        </is>
      </c>
      <c r="Q161" s="30" t="inlineStr">
        <is>
          <t>— (no business card)</t>
        </is>
      </c>
      <c r="R161" s="30" t="inlineStr">
        <is>
          <t>https://www.calpacificbank.com</t>
        </is>
      </c>
      <c r="S161" s="30" t="inlineStr">
        <is>
          <t>—</t>
        </is>
      </c>
      <c r="T161" s="30" t="inlineStr">
        <is>
          <t>N/M</t>
        </is>
      </c>
      <c r="U161" s="30" t="inlineStr">
        <is>
          <t>N/M</t>
        </is>
      </c>
      <c r="V161" s="30" t="inlineStr">
        <is>
          <t>N/M (third-party aggregator 'credit cards' mention unverified)</t>
        </is>
      </c>
      <c r="W161" s="30" t="inlineStr">
        <is>
          <t>0</t>
        </is>
      </c>
      <c r="X161" s="30" t="inlineStr">
        <is>
          <t>N/M</t>
        </is>
      </c>
      <c r="Y161" s="30" t="inlineStr">
        <is>
          <t>None ('fast commercial lending' to import/export/manufacturing/wholesale/retail; no terms/no-doc published)</t>
        </is>
      </c>
      <c r="Z161" s="30" t="inlineStr">
        <is>
          <t>N/M</t>
        </is>
      </c>
      <c r="AA161" s="30" t="inlineStr">
        <is>
          <t>Not a card source</t>
        </is>
      </c>
      <c r="AB161" s="30" t="inlineStr">
        <is>
          <t>None published (commercial/merchant lending + deposits; no card on own site)</t>
        </is>
      </c>
      <c r="AC161" s="30" t="inlineStr">
        <is>
          <t>NorCal / SF-East Bay</t>
        </is>
      </c>
      <c r="AD161" s="30" t="inlineStr">
        <is>
          <t>Hayward</t>
        </is>
      </c>
      <c r="AE161" s="30" t="inlineStr">
        <is>
          <t>113</t>
        </is>
      </c>
      <c r="AF161" s="30" t="inlineStr">
        <is>
          <t>MED-HIGH no-card (own site has no card; tiny merchant bank). 2026-05-29</t>
        </is>
      </c>
      <c r="AG161" s="30" t="inlineStr">
        <is>
          <t>calpacificbank.com (mission, location-and-contact); FDIC cert 23242</t>
        </is>
      </c>
    </row>
    <row r="162" ht="15.75" customHeight="1">
      <c r="A162" s="30" t="inlineStr">
        <is>
          <t>161</t>
        </is>
      </c>
      <c r="C162" s="53" t="inlineStr">
        <is>
          <t>California International Bank, N.A.</t>
        </is>
      </c>
      <c r="D162" s="43" t="inlineStr">
        <is>
          <t>CA Bank</t>
        </is>
      </c>
      <c r="E162" s="30" t="inlineStr">
        <is>
          <t>★ Core SoCal</t>
        </is>
      </c>
      <c r="F162" s="54" t="inlineStr">
        <is>
          <t>1/4  ✗SUW ✗Onl ✓SoCal ✗Card</t>
        </is>
      </c>
      <c r="G162" s="30" t="inlineStr">
        <is>
          <t>No card</t>
        </is>
      </c>
      <c r="H162" s="30" t="inlineStr">
        <is>
          <t>—</t>
        </is>
      </c>
      <c r="I162" s="30" t="inlineStr">
        <is>
          <t>$0.10B</t>
        </is>
      </c>
      <c r="J162" s="30" t="inlineStr">
        <is>
          <t>N/M</t>
        </is>
      </c>
      <c r="K162" s="30" t="inlineStr">
        <is>
          <t>Single Westminster office (OC); Vietnamese-American community bank; OCC national charter; est 2005</t>
        </is>
      </c>
      <c r="L162" s="30" t="inlineStr">
        <is>
          <t>CA-HQ'd</t>
        </is>
      </c>
      <c r="M162" s="30" t="inlineStr">
        <is>
          <t>—</t>
        </is>
      </c>
      <c r="N162" s="30" t="inlineStr">
        <is>
          <t>❌ No card (commercial/SBA bank; ATM/debit only)</t>
        </is>
      </c>
      <c r="O162" s="54" t="inlineStr">
        <is>
          <t>None</t>
        </is>
      </c>
      <c r="P162" s="30" t="inlineStr">
        <is>
          <t>No</t>
        </is>
      </c>
      <c r="Q162" s="30" t="inlineStr">
        <is>
          <t>— (no business card)</t>
        </is>
      </c>
      <c r="R162" s="30" t="inlineStr">
        <is>
          <t>https://www.cali.bank</t>
        </is>
      </c>
      <c r="S162" s="30" t="inlineStr">
        <is>
          <t>—</t>
        </is>
      </c>
      <c r="T162" s="30" t="inlineStr">
        <is>
          <t>N/M</t>
        </is>
      </c>
      <c r="U162" s="30" t="inlineStr">
        <is>
          <t>N/M</t>
        </is>
      </c>
      <c r="V162" s="30" t="inlineStr">
        <is>
          <t>N/M</t>
        </is>
      </c>
      <c r="W162" s="30" t="inlineStr">
        <is>
          <t>0</t>
        </is>
      </c>
      <c r="X162" s="30" t="inlineStr">
        <is>
          <t>N/M</t>
        </is>
      </c>
      <c r="Y162" s="30" t="inlineStr">
        <is>
          <t>None (working capital/asset-based/expansion/CRE + SBA full-doc)</t>
        </is>
      </c>
      <c r="Z162" s="30" t="inlineStr">
        <is>
          <t>N/M</t>
        </is>
      </c>
      <c r="AA162" s="30" t="inlineStr">
        <is>
          <t>Not a card source</t>
        </is>
      </c>
      <c r="AB162" s="30" t="inlineStr">
        <is>
          <t>ATM/debit cards only (no credit card)</t>
        </is>
      </c>
      <c r="AC162" s="30" t="inlineStr">
        <is>
          <t>SoCal / Orange County</t>
        </is>
      </c>
      <c r="AD162" s="30" t="inlineStr">
        <is>
          <t>Westminster</t>
        </is>
      </c>
      <c r="AE162" s="30" t="inlineStr">
        <is>
          <t>114</t>
        </is>
      </c>
      <c r="AF162" s="30" t="inlineStr">
        <is>
          <t>HIGH no-card (own site = deposits/loans/SBA, no credit card). 2026-05-29</t>
        </is>
      </c>
      <c r="AG162" s="30" t="inlineStr">
        <is>
          <t>cali.bank (product pages); FDIC cert 57974</t>
        </is>
      </c>
    </row>
    <row r="163" ht="15.75" customHeight="1">
      <c r="A163" s="30" t="inlineStr">
        <is>
          <t>162</t>
        </is>
      </c>
      <c r="C163" s="53" t="inlineStr">
        <is>
          <t>Tustin Community Bank</t>
        </is>
      </c>
      <c r="D163" s="43" t="inlineStr">
        <is>
          <t>CA Bank</t>
        </is>
      </c>
      <c r="E163" s="30" t="inlineStr">
        <is>
          <t>★ Core SoCal</t>
        </is>
      </c>
      <c r="F163" s="54" t="inlineStr">
        <is>
          <t>1/4  ✗SUW ✗Onl ✓SoCal ✗Card</t>
        </is>
      </c>
      <c r="G163" s="30" t="inlineStr">
        <is>
          <t>No card</t>
        </is>
      </c>
      <c r="H163" s="30" t="inlineStr">
        <is>
          <t>—</t>
        </is>
      </c>
      <c r="I163" s="30" t="inlineStr">
        <is>
          <t>$0.08B</t>
        </is>
      </c>
      <c r="J163" s="30" t="inlineStr">
        <is>
          <t>N/M</t>
        </is>
      </c>
      <c r="K163" s="30" t="inlineStr">
        <is>
          <t>Single Tustin office (OC); ex-Tustin Thrift &amp; Loan; subsidiary of Saddleback Bancorp; est 1981</t>
        </is>
      </c>
      <c r="L163" s="30" t="inlineStr">
        <is>
          <t>CA-HQ'd</t>
        </is>
      </c>
      <c r="M163" s="30" t="inlineStr">
        <is>
          <t>—</t>
        </is>
      </c>
      <c r="N163" s="30" t="inlineStr">
        <is>
          <t>❌ No card (business debit only; indirect auto + CRE lender)</t>
        </is>
      </c>
      <c r="O163" s="54" t="inlineStr">
        <is>
          <t>None</t>
        </is>
      </c>
      <c r="P163" s="30" t="inlineStr">
        <is>
          <t>No</t>
        </is>
      </c>
      <c r="Q163" s="30" t="inlineStr">
        <is>
          <t>— (no business card)</t>
        </is>
      </c>
      <c r="R163" s="30" t="inlineStr">
        <is>
          <t>https://www.tustin.bank</t>
        </is>
      </c>
      <c r="S163" s="30" t="inlineStr">
        <is>
          <t>—</t>
        </is>
      </c>
      <c r="T163" s="30" t="inlineStr">
        <is>
          <t>N/M</t>
        </is>
      </c>
      <c r="U163" s="30" t="inlineStr">
        <is>
          <t>N/M</t>
        </is>
      </c>
      <c r="V163" s="30" t="inlineStr">
        <is>
          <t>N/M</t>
        </is>
      </c>
      <c r="W163" s="30" t="inlineStr">
        <is>
          <t>0</t>
        </is>
      </c>
      <c r="X163" s="30" t="inlineStr">
        <is>
          <t>N/M</t>
        </is>
      </c>
      <c r="Y163" s="30" t="inlineStr">
        <is>
          <t>None (commercial loans secured by business assets/LOC/CRE/term/SBA full-doc)</t>
        </is>
      </c>
      <c r="Z163" s="30" t="inlineStr">
        <is>
          <t>N/M</t>
        </is>
      </c>
      <c r="AA163" s="30" t="inlineStr">
        <is>
          <t>Not a card source</t>
        </is>
      </c>
      <c r="AB163" s="30" t="inlineStr">
        <is>
          <t>Business DEBIT only (no credit card)</t>
        </is>
      </c>
      <c r="AC163" s="30" t="inlineStr">
        <is>
          <t>SoCal / Orange County</t>
        </is>
      </c>
      <c r="AD163" s="30" t="inlineStr">
        <is>
          <t>Tustin</t>
        </is>
      </c>
      <c r="AE163" s="30" t="inlineStr">
        <is>
          <t>115</t>
        </is>
      </c>
      <c r="AF163" s="30" t="inlineStr">
        <is>
          <t>HIGH no-card (own Products &amp; Services = debit only). 2026-05-29</t>
        </is>
      </c>
      <c r="AG163" s="30" t="inlineStr">
        <is>
          <t>tustin.bank/products-services; FDIC cert 32908</t>
        </is>
      </c>
    </row>
    <row r="164" ht="15.75" customHeight="1">
      <c r="A164" s="30" t="inlineStr">
        <is>
          <t>163</t>
        </is>
      </c>
      <c r="C164" s="53" t="inlineStr">
        <is>
          <t>Altos Bank</t>
        </is>
      </c>
      <c r="D164" s="43" t="inlineStr">
        <is>
          <t>CA Bank</t>
        </is>
      </c>
      <c r="E164" s="30" t="inlineStr">
        <is>
          <t>Other — NorCal</t>
        </is>
      </c>
      <c r="F164" s="54" t="inlineStr">
        <is>
          <t>0/4  ✗SUW ✗Onl ✗SoCal ✗Card</t>
        </is>
      </c>
      <c r="G164" s="30" t="inlineStr">
        <is>
          <t>No card</t>
        </is>
      </c>
      <c r="H164" s="30" t="inlineStr">
        <is>
          <t>—</t>
        </is>
      </c>
      <c r="I164" s="30" t="inlineStr">
        <is>
          <t>$0.06B</t>
        </is>
      </c>
      <c r="J164" s="30" t="inlineStr">
        <is>
          <t>N/M</t>
        </is>
      </c>
      <c r="K164" s="30" t="inlineStr">
        <is>
          <t>Single Los Altos office (Silicon Valley); de novo chartered Nov 2024, opened Mar 2025</t>
        </is>
      </c>
      <c r="L164" s="30" t="inlineStr">
        <is>
          <t>CA-HQ'd</t>
        </is>
      </c>
      <c r="M164" s="30" t="inlineStr">
        <is>
          <t>—</t>
        </is>
      </c>
      <c r="N164" s="30" t="inlineStr">
        <is>
          <t>❌ No card (de novo; business debit only; commercial/SBA lending)</t>
        </is>
      </c>
      <c r="O164" s="54" t="inlineStr">
        <is>
          <t>None</t>
        </is>
      </c>
      <c r="P164" s="30" t="inlineStr">
        <is>
          <t>No</t>
        </is>
      </c>
      <c r="Q164" s="30" t="inlineStr">
        <is>
          <t>— (no business card)</t>
        </is>
      </c>
      <c r="R164" s="30" t="inlineStr">
        <is>
          <t>https://www.altosbank.com</t>
        </is>
      </c>
      <c r="S164" s="30" t="inlineStr">
        <is>
          <t>—</t>
        </is>
      </c>
      <c r="T164" s="30" t="inlineStr">
        <is>
          <t>N/M</t>
        </is>
      </c>
      <c r="U164" s="30" t="inlineStr">
        <is>
          <t>N/M</t>
        </is>
      </c>
      <c r="V164" s="30" t="inlineStr">
        <is>
          <t>N/M (chartered Nov 2024; opened Mar 2025; product set may expand)</t>
        </is>
      </c>
      <c r="W164" s="30" t="inlineStr">
        <is>
          <t>0</t>
        </is>
      </c>
      <c r="X164" s="30" t="inlineStr">
        <is>
          <t>N/M</t>
        </is>
      </c>
      <c r="Y164" s="30" t="inlineStr">
        <is>
          <t>None (commercial/SBA 7(a)/504/investor RE/construction/equipment full-doc)</t>
        </is>
      </c>
      <c r="Z164" s="30" t="inlineStr">
        <is>
          <t>N/M</t>
        </is>
      </c>
      <c r="AA164" s="30" t="inlineStr">
        <is>
          <t>Not a card source</t>
        </is>
      </c>
      <c r="AB164" s="30" t="inlineStr">
        <is>
          <t>Business DEBIT only (no credit card)</t>
        </is>
      </c>
      <c r="AC164" s="30" t="inlineStr">
        <is>
          <t>NorCal / Silicon Valley</t>
        </is>
      </c>
      <c r="AD164" s="30" t="inlineStr">
        <is>
          <t>Los Altos</t>
        </is>
      </c>
      <c r="AE164" s="30" t="inlineStr">
        <is>
          <t>116</t>
        </is>
      </c>
      <c r="AF164" s="30" t="inlineStr">
        <is>
          <t>HIGH no-card (business/deposit/lending pages = debit only; ~6mo old). 2026-05-29</t>
        </is>
      </c>
      <c r="AG164" s="30" t="inlineStr">
        <is>
          <t>altosbank.com (business-banking, lending-solutions); FDIC cert 59339; prnewswire</t>
        </is>
      </c>
    </row>
    <row r="165" ht="15.75" customHeight="1">
      <c r="A165" s="30" t="inlineStr">
        <is>
          <t>164</t>
        </is>
      </c>
      <c r="C165" s="53" t="inlineStr">
        <is>
          <t>Asian Pacific National Bank</t>
        </is>
      </c>
      <c r="D165" s="43" t="inlineStr">
        <is>
          <t>CA Bank</t>
        </is>
      </c>
      <c r="E165" s="30" t="inlineStr">
        <is>
          <t>★ Core SoCal</t>
        </is>
      </c>
      <c r="F165" s="54" t="inlineStr">
        <is>
          <t>1/4  ✗SUW ✗Onl ✓SoCal ✗Card</t>
        </is>
      </c>
      <c r="G165" s="30" t="inlineStr">
        <is>
          <t>No card</t>
        </is>
      </c>
      <c r="H165" s="30" t="inlineStr">
        <is>
          <t>—</t>
        </is>
      </c>
      <c r="I165" s="30" t="inlineStr">
        <is>
          <t>$0.06B</t>
        </is>
      </c>
      <c r="J165" s="30" t="inlineStr">
        <is>
          <t>N/M</t>
        </is>
      </c>
      <c r="K165" s="30" t="inlineStr">
        <is>
          <t>San Gabriel HQ (LA County); Asian-American community bank; OCC charter 23006; est 1990</t>
        </is>
      </c>
      <c r="L165" s="30" t="inlineStr">
        <is>
          <t>CA-HQ'd</t>
        </is>
      </c>
      <c r="M165" s="30" t="inlineStr">
        <is>
          <t>—</t>
        </is>
      </c>
      <c r="N165" s="30" t="inlineStr">
        <is>
          <t>❌ No card (commercial bank; debit/prepaid only)</t>
        </is>
      </c>
      <c r="O165" s="54" t="inlineStr">
        <is>
          <t>None</t>
        </is>
      </c>
      <c r="P165" s="30" t="inlineStr">
        <is>
          <t>No</t>
        </is>
      </c>
      <c r="Q165" s="30" t="inlineStr">
        <is>
          <t>— (no business card)</t>
        </is>
      </c>
      <c r="R165" s="30" t="inlineStr">
        <is>
          <t>https://www.asianpacificbank.com</t>
        </is>
      </c>
      <c r="S165" s="30" t="inlineStr">
        <is>
          <t>—</t>
        </is>
      </c>
      <c r="T165" s="30" t="inlineStr">
        <is>
          <t>N/M</t>
        </is>
      </c>
      <c r="U165" s="30" t="inlineStr">
        <is>
          <t>N/M</t>
        </is>
      </c>
      <c r="V165" s="30" t="inlineStr">
        <is>
          <t>N/M (smallest CA-HQ'd bank by assets)</t>
        </is>
      </c>
      <c r="W165" s="30" t="inlineStr">
        <is>
          <t>0</t>
        </is>
      </c>
      <c r="X165" s="30" t="inlineStr">
        <is>
          <t>N/M</t>
        </is>
      </c>
      <c r="Y165" s="30" t="inlineStr">
        <is>
          <t>None (business loans/LOC/CRE/construction/SBA/hotel-motel/warehouse full-doc)</t>
        </is>
      </c>
      <c r="Z165" s="30" t="inlineStr">
        <is>
          <t>N/M</t>
        </is>
      </c>
      <c r="AA165" s="30" t="inlineStr">
        <is>
          <t>Not a card source</t>
        </is>
      </c>
      <c r="AB165" s="30" t="inlineStr">
        <is>
          <t>Debit/prepaid cards only (no credit card)</t>
        </is>
      </c>
      <c r="AC165" s="30" t="inlineStr">
        <is>
          <t>SoCal / LA (San Gabriel Valley)</t>
        </is>
      </c>
      <c r="AD165" s="30" t="inlineStr">
        <is>
          <t>San Gabriel</t>
        </is>
      </c>
      <c r="AE165" s="30" t="inlineStr">
        <is>
          <t>117</t>
        </is>
      </c>
      <c r="AF165" s="30" t="inlineStr">
        <is>
          <t>HIGH no-card (3 bank pages = no credit cards). 2026-05-29</t>
        </is>
      </c>
      <c r="AG165" s="30" t="inlineStr">
        <is>
          <t>asianpacificbank.com (Business-Banking, Banking-Services); occ.treas.gov (charter 23006); FDIC cert 33013</t>
        </is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G$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  <col width="8.710000000000001" customWidth="1" min="2" max="2"/>
  </cols>
  <sheetData>
    <row r="1">
      <c r="A1" s="55" t="inlineStr">
        <is>
          <t>COLOR LEGEND — CA No-Doc Business Funding Table</t>
        </is>
      </c>
    </row>
    <row r="3">
      <c r="A3" s="55" t="inlineStr">
        <is>
          <t>Bank-name &amp; 'Meets Gold?' color = how many of the 4 GOLD criteria it meets:</t>
        </is>
      </c>
    </row>
    <row r="4">
      <c r="A4" s="38" t="inlineStr">
        <is>
          <t>🥇 GOLD (4/4): self-underwritten + apply-online + SoCal + has a business card</t>
        </is>
      </c>
    </row>
    <row r="5">
      <c r="A5" s="33" t="inlineStr">
        <is>
          <t>Near (3 of 4)</t>
        </is>
      </c>
    </row>
    <row r="6">
      <c r="A6" s="41" t="inlineStr">
        <is>
          <t>Has a business card (0–2 of 4)</t>
        </is>
      </c>
    </row>
    <row r="7">
      <c r="A7" s="48" t="inlineStr">
        <is>
          <t>Commercial-only card (full underwriting / PG, hard to get)</t>
        </is>
      </c>
    </row>
    <row r="8">
      <c r="A8" s="54" t="inlineStr">
        <is>
          <t>No business card</t>
        </is>
      </c>
    </row>
    <row r="10">
      <c r="A10" s="55" t="inlineStr">
        <is>
          <t>CARD CATEGORY (by underwriter desirability — sort/filter this):</t>
        </is>
      </c>
    </row>
    <row r="11">
      <c r="A11" s="30" t="inlineStr">
        <is>
          <t>A — Self-UW (online)   ← best</t>
        </is>
      </c>
    </row>
    <row r="12">
      <c r="A12" s="30" t="inlineStr">
        <is>
          <t>B — Self-UW (in branch)</t>
        </is>
      </c>
    </row>
    <row r="13">
      <c r="A13" s="30" t="inlineStr">
        <is>
          <t>C — Other agent card (ServisFirst / TIB / FNBO / UMB / unknown agent)</t>
        </is>
      </c>
    </row>
    <row r="14">
      <c r="A14" s="30" t="inlineStr">
        <is>
          <t>D — TCM agent card (Experian, SBA-eligible only, no 0%)</t>
        </is>
      </c>
    </row>
    <row r="15">
      <c r="A15" s="30" t="inlineStr">
        <is>
          <t>E — Elan agent card (deprioritized per Alan)</t>
        </is>
      </c>
    </row>
    <row r="16">
      <c r="A16" s="30" t="inlineStr">
        <is>
          <t>Commercial-only / No card (not a self-serve business card)</t>
        </is>
      </c>
    </row>
    <row r="18">
      <c r="A18" s="55" t="inlineStr">
        <is>
          <t>TYPE column color:</t>
        </is>
      </c>
    </row>
    <row r="19">
      <c r="A19" s="32" t="inlineStr">
        <is>
          <t>National</t>
        </is>
      </c>
    </row>
    <row r="20">
      <c r="A20" s="36" t="inlineStr">
        <is>
          <t>Regional</t>
        </is>
      </c>
    </row>
    <row r="21" ht="15.75" customHeight="1">
      <c r="A21" s="43" t="inlineStr">
        <is>
          <t>CA Bank</t>
        </is>
      </c>
    </row>
    <row r="22" ht="15.75" customHeight="1">
      <c r="A22" s="39" t="inlineStr">
        <is>
          <t>Credit Union</t>
        </is>
      </c>
    </row>
    <row r="23" ht="15.75" customHeight="1"/>
    <row r="24" ht="15.75" customHeight="1">
      <c r="A24" s="55" t="inlineStr">
        <is>
          <t>UNDERWRITER column color (who actually decides + how they behave):</t>
        </is>
      </c>
    </row>
    <row r="25" ht="15.75" customHeight="1">
      <c r="A25" s="34" t="inlineStr">
        <is>
          <t>Self (own bank/CU decides) — the goal [Cat A/B]</t>
        </is>
      </c>
    </row>
    <row r="26" ht="15.75" customHeight="1">
      <c r="A26" s="44" t="inlineStr">
        <is>
          <t>CorServ 'account issuer' (bank self-issues on platform) [Cat A/B]</t>
        </is>
      </c>
    </row>
    <row r="27" ht="15.75" customHeight="1">
      <c r="A27" s="46" t="inlineStr">
        <is>
          <t>ServisFirst Bank (agent program; app.ccdepartment.com) — non-Elan agent [Cat C]</t>
        </is>
      </c>
    </row>
    <row r="28" ht="15.75" customHeight="1">
      <c r="A28" s="45" t="inlineStr">
        <is>
          <t>TIB (Independent BankersBank) — Experian, no 0% intro, often paper apply [Cat C]</t>
        </is>
      </c>
    </row>
    <row r="29" ht="15.75" customHeight="1">
      <c r="A29" s="52" t="inlineStr">
        <is>
          <t>UMB Bank agent [Cat C]</t>
        </is>
      </c>
    </row>
    <row r="30" ht="15.75" customHeight="1">
      <c r="A30" s="49" t="inlineStr">
        <is>
          <t>TCM Bank (ICBA) — Experian pull, SBA-eligible only, no 0% intro [Cat D]</t>
        </is>
      </c>
    </row>
    <row r="31" ht="15.75" customHeight="1">
      <c r="A31" s="50" t="inlineStr">
        <is>
          <t>Elan (US Bank agent) — deprioritized; PG, no tax returns, reports D&amp;B not personal [Cat E]</t>
        </is>
      </c>
    </row>
    <row r="32" ht="15.75" customHeight="1">
      <c r="A32" s="51" t="inlineStr">
        <is>
          <t>Unknown / not disclosed</t>
        </is>
      </c>
    </row>
    <row r="33" ht="15.75" customHeight="1">
      <c r="A33" s="54" t="inlineStr">
        <is>
          <t>None (no card issued)</t>
        </is>
      </c>
    </row>
    <row r="34" ht="15.75" customHeight="1"/>
    <row r="35" ht="15.75" customHeight="1">
      <c r="A35" s="55" t="inlineStr">
        <is>
          <t>THE 4 GOLD CRITERIA (target profile):</t>
        </is>
      </c>
    </row>
    <row r="36" ht="15.75" customHeight="1">
      <c r="A36" s="30" t="inlineStr">
        <is>
          <t>1. Self-underwritten (Self-UW? = Yes)</t>
        </is>
      </c>
    </row>
    <row r="37" ht="15.75" customHeight="1">
      <c r="A37" s="30" t="inlineStr">
        <is>
          <t>2. Apply online (Apply = Online)</t>
        </is>
      </c>
    </row>
    <row r="38" ht="15.75" customHeight="1">
      <c r="A38" s="30" t="inlineStr">
        <is>
          <t>3. Southern California (SoCal Priority = Core SoCal: LA / OC / Riverside / San Diego / Inland Empire)</t>
        </is>
      </c>
    </row>
    <row r="39" ht="15.75" customHeight="1">
      <c r="A39" s="30" t="inlineStr">
        <is>
          <t>4. Has a real business credit card (Business Card? = ✅)</t>
        </is>
      </c>
    </row>
    <row r="40" ht="15.75" customHeight="1"/>
    <row r="41" ht="15.75" customHeight="1">
      <c r="A41" s="30" t="inlineStr">
        <is>
          <t>CA PRESENCE: 'Major CA' = real branches+lending; 'Online to CA (pure card issuer)' = Amex/Capital One — approve CA online, no branch needed; '⚠ Needs local branch/account' = pulled out of CA / needs a relationship you can't get here (PNC, Truist, KeyBank, Fifth Third) → demoted to Rec Pick #26+. Pure card issuers stay top; relationship banks do not.</t>
        </is>
      </c>
    </row>
    <row r="42" ht="15.75" customHeight="1">
      <c r="A42" s="30" t="inlineStr">
        <is>
          <t>EST. CREDIT LIMIT: documented forum/issuer data points where available (source in brackets + the row's 'Approval Info &amp; Limits'); 'N/M' = no specific data point found, never a guess.</t>
        </is>
      </c>
    </row>
    <row r="43" ht="15.75" customHeight="1">
      <c r="A43" s="30" t="inlineStr">
        <is>
          <t>HOW TO APPLY: the mechanism when not a clean online flow (branch / phone / PDF→fax / appointment).</t>
        </is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6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6" customWidth="1" min="4" max="4"/>
    <col width="13" customWidth="1" min="5" max="5"/>
    <col width="7" customWidth="1" min="6" max="6"/>
    <col width="22" customWidth="1" min="7" max="7"/>
    <col width="40" customWidth="1" min="8" max="8"/>
    <col width="30" customWidth="1" min="9" max="9"/>
    <col width="13" customWidth="1" min="10" max="10"/>
    <col width="38" customWidth="1" min="12" max="12"/>
    <col width="9" customWidth="1" min="13" max="13"/>
    <col width="16" customWidth="1" min="14" max="14"/>
    <col width="14" customWidth="1" min="15" max="15"/>
    <col width="20" customWidth="1" min="16" max="16"/>
    <col width="8" customWidth="1" min="17" max="17"/>
    <col width="26" customWidth="1" min="18" max="18"/>
    <col width="12" customWidth="1" min="19" max="19"/>
    <col width="34" customWidth="1" min="20" max="20"/>
    <col width="13" customWidth="1" min="21" max="21"/>
    <col width="28" customWidth="1" min="22" max="22"/>
    <col width="13" customWidth="1" min="23" max="23"/>
    <col width="22" customWidth="1" min="24" max="24"/>
    <col width="38" customWidth="1" min="25" max="25"/>
    <col width="22" customWidth="1" min="26" max="26"/>
    <col width="26" customWidth="1" min="27" max="27"/>
    <col width="16" customWidth="1" min="28" max="28"/>
    <col width="40" customWidth="1" min="29" max="29"/>
    <col width="26" customWidth="1" min="30" max="30"/>
    <col width="30" customWidth="1" min="32" max="32"/>
    <col width="40" customWidth="1" min="33" max="33"/>
    <col width="36" customWidth="1" min="34" max="34"/>
  </cols>
  <sheetData>
    <row r="1" ht="30" customHeight="1">
      <c r="A1" s="56" t="inlineStr">
        <is>
          <t>Rec #</t>
        </is>
      </c>
      <c r="B1" s="56" t="inlineStr">
        <is>
          <t>Tier</t>
        </is>
      </c>
      <c r="C1" s="56" t="inlineStr">
        <is>
          <t>Institution</t>
        </is>
      </c>
      <c r="D1" s="56" t="inlineStr">
        <is>
          <t>Match (criteria)</t>
        </is>
      </c>
      <c r="E1" s="56" t="inlineStr">
        <is>
          <t>Type</t>
        </is>
      </c>
      <c r="F1" s="56" t="inlineStr">
        <is>
          <t>SoCal?</t>
        </is>
      </c>
      <c r="G1" s="56" t="inlineStr">
        <is>
          <t>Region</t>
        </is>
      </c>
      <c r="H1" s="56" t="inlineStr">
        <is>
          <t>CA Access / Why listed</t>
        </is>
      </c>
      <c r="I1" s="56" t="inlineStr">
        <is>
          <t>Est. Business Credit Limit</t>
        </is>
      </c>
      <c r="J1" s="56" t="inlineStr">
        <is>
          <t>Total Assets</t>
        </is>
      </c>
      <c r="K1" s="56" t="inlineStr">
        <is>
          <t>Total Deposits</t>
        </is>
      </c>
      <c r="L1" s="56" t="inlineStr">
        <is>
          <t>Footprint</t>
        </is>
      </c>
      <c r="M1" s="56" t="inlineStr">
        <is>
          <t>Rec Score</t>
        </is>
      </c>
      <c r="N1" s="56" t="inlineStr">
        <is>
          <t>City</t>
        </is>
      </c>
      <c r="O1" s="56" t="inlineStr">
        <is>
          <t>County</t>
        </is>
      </c>
      <c r="P1" s="56" t="inlineStr">
        <is>
          <t>Website</t>
        </is>
      </c>
      <c r="Q1" s="56" t="inlineStr">
        <is>
          <t>Biz card?</t>
        </is>
      </c>
      <c r="R1" s="56" t="inlineStr">
        <is>
          <t>Card page</t>
        </is>
      </c>
      <c r="S1" s="56" t="inlineStr">
        <is>
          <t>Apply</t>
        </is>
      </c>
      <c r="T1" s="56" t="inlineStr">
        <is>
          <t>How to Apply (method / link)</t>
        </is>
      </c>
      <c r="U1" s="56" t="inlineStr">
        <is>
          <t>Self-underwritten?</t>
        </is>
      </c>
      <c r="V1" s="56" t="inlineStr">
        <is>
          <t>Underwriter / Issuer</t>
        </is>
      </c>
      <c r="W1" s="56" t="inlineStr">
        <is>
          <t>Interest-bearing?</t>
        </is>
      </c>
      <c r="X1" s="56" t="inlineStr">
        <is>
          <t>0% intro?</t>
        </is>
      </c>
      <c r="Y1" s="56" t="inlineStr">
        <is>
          <t>Rate &amp; terms</t>
        </is>
      </c>
      <c r="Z1" s="56" t="inlineStr">
        <is>
          <t>Hard-pull bureau</t>
        </is>
      </c>
      <c r="AA1" s="56" t="inlineStr">
        <is>
          <t>Business bureaus reported to</t>
        </is>
      </c>
      <c r="AB1" s="56" t="inlineStr">
        <is>
          <t>Reports to personal bureau?</t>
        </is>
      </c>
      <c r="AC1" s="56" t="inlineStr">
        <is>
          <t>Approval info (limits / profile)</t>
        </is>
      </c>
      <c r="AD1" s="56" t="inlineStr">
        <is>
          <t>Approval source links</t>
        </is>
      </c>
      <c r="AE1" s="56" t="inlineStr">
        <is>
          <t>Deposit/account required?</t>
        </is>
      </c>
      <c r="AF1" s="56" t="inlineStr">
        <is>
          <t>Other no-doc business products</t>
        </is>
      </c>
      <c r="AG1" s="56" t="inlineStr">
        <is>
          <t>Confidence &amp; notes</t>
        </is>
      </c>
      <c r="AH1" s="56" t="inlineStr">
        <is>
          <t>Sources</t>
        </is>
      </c>
    </row>
    <row r="2">
      <c r="A2" s="57" t="n">
        <v>1</v>
      </c>
      <c r="B2" s="58" t="inlineStr">
        <is>
          <t>A - Self-issued, apply online</t>
        </is>
      </c>
      <c r="C2" s="59" t="inlineStr">
        <is>
          <t>Kinecta Federal Credit Union</t>
        </is>
      </c>
      <c r="D2" s="60" t="inlineStr">
        <is>
          <t>3/4 (missing: apply online)</t>
        </is>
      </c>
      <c r="E2" s="61" t="inlineStr">
        <is>
          <t>Credit Union</t>
        </is>
      </c>
      <c r="F2" s="61" t="inlineStr">
        <is>
          <t>Yes</t>
        </is>
      </c>
      <c r="G2" s="60" t="inlineStr">
        <is>
          <t>SoCal - LA County</t>
        </is>
      </c>
      <c r="H2" s="62" t="inlineStr">
        <is>
          <t>CA-HQ (Southern California)</t>
        </is>
      </c>
      <c r="I2" s="63" t="inlineStr">
        <is>
          <t>Not published (est ~$5k-$15k)</t>
        </is>
      </c>
      <c r="J2" s="60" t="inlineStr">
        <is>
          <t>~$6.5B</t>
        </is>
      </c>
      <c r="K2" s="60" t="inlineStr">
        <is>
          <t>~$5.5B (shares)</t>
        </is>
      </c>
      <c r="L2" s="60" t="inlineStr">
        <is>
          <t>LA South Bay + statewide; ~30 branches</t>
        </is>
      </c>
      <c r="M2" s="60" t="n">
        <v>170</v>
      </c>
      <c r="N2" s="60" t="inlineStr">
        <is>
          <t>Manhattan Beach</t>
        </is>
      </c>
      <c r="O2" s="60" t="inlineStr">
        <is>
          <t>Los Angeles</t>
        </is>
      </c>
      <c r="P2" s="64" t="inlineStr">
        <is>
          <t>kinecta.org</t>
        </is>
      </c>
      <c r="Q2" s="65" t="inlineStr">
        <is>
          <t>Yes</t>
        </is>
      </c>
      <c r="R2" s="64" t="inlineStr">
        <is>
          <t>kinecta.org/credit-card/mypro</t>
        </is>
      </c>
      <c r="S2" s="66" t="inlineStr">
        <is>
          <t>Partial online</t>
        </is>
      </c>
      <c r="T2" s="60" t="inlineStr">
        <is>
          <t>Book appointment kinecta.org/book-an-appointment or 800-854-9846 (no instant online app)</t>
        </is>
      </c>
      <c r="U2" s="65" t="inlineStr">
        <is>
          <t>Yes</t>
        </is>
      </c>
      <c r="V2" s="62" t="inlineStr">
        <is>
          <t>Self-issued (Kinecta FCU)</t>
        </is>
      </c>
      <c r="W2" s="57" t="inlineStr">
        <is>
          <t>Yes (revolving)</t>
        </is>
      </c>
      <c r="X2" s="67" t="inlineStr">
        <is>
          <t>No</t>
        </is>
      </c>
      <c r="Y2" s="60" t="inlineStr">
        <is>
          <t>MyPro Business MC: 13.49-18% var, $0 AF, 3% fuel/office/EV, 2% travel/dining, 1% else, +up to 20% relationship bonus, no FX</t>
        </is>
      </c>
      <c r="Z2" s="60" t="inlineStr">
        <is>
          <t>Hard pull at application; bureau not disclosed (UNKNOWN)</t>
        </is>
      </c>
      <c r="AA2" s="60" t="inlineStr">
        <is>
          <t>Unknown</t>
        </is>
      </c>
      <c r="AB2" s="60" t="inlineStr">
        <is>
          <t>Unknown</t>
        </is>
      </c>
      <c r="AC2" s="60" t="inlineStr">
        <is>
          <t>myFICO: EX pull, $10 savings to join; some no-HP for members (MyPro-specific limits not isolated)</t>
        </is>
      </c>
      <c r="AD2" s="64" t="inlineStr">
        <is>
          <t>myFICO 6571871, 6513991</t>
        </is>
      </c>
      <c r="AE2" s="60" t="inlineStr">
        <is>
          <t>Membership req (OPEN: Consumer Coop Society of Santa Monica ~$10)</t>
        </is>
      </c>
      <c r="AF2" s="60" t="inlineStr">
        <is>
          <t>Business lending separate; card is the main biz credit product</t>
        </is>
      </c>
      <c r="AG2" s="60" t="inlineStr">
        <is>
          <t>SELF-ISSUED VERIFIED (CFPB files MyPro agreement). SoCal + easy membership. Partial online.</t>
        </is>
      </c>
      <c r="AH2" s="64" t="inlineStr">
        <is>
          <t>kinecta.org/credit-card/mypro; consumerfinance.gov (Kinecta agreements)</t>
        </is>
      </c>
    </row>
    <row r="3">
      <c r="A3" s="57" t="n">
        <v>2</v>
      </c>
      <c r="B3" s="58" t="inlineStr">
        <is>
          <t>A - Self-issued, apply online</t>
        </is>
      </c>
      <c r="C3" s="59" t="inlineStr">
        <is>
          <t>Logix Federal Credit Union</t>
        </is>
      </c>
      <c r="D3" s="60" t="inlineStr">
        <is>
          <t>3/4 (missing: apply online)</t>
        </is>
      </c>
      <c r="E3" s="61" t="inlineStr">
        <is>
          <t>Credit Union</t>
        </is>
      </c>
      <c r="F3" s="61" t="inlineStr">
        <is>
          <t>Yes</t>
        </is>
      </c>
      <c r="G3" s="60" t="inlineStr">
        <is>
          <t>SoCal - LA County</t>
        </is>
      </c>
      <c r="H3" s="62" t="inlineStr">
        <is>
          <t>CA-HQ (Southern California)</t>
        </is>
      </c>
      <c r="I3" s="63" t="inlineStr">
        <is>
          <t>$5k-$25k (est; self-issued community pattern)</t>
        </is>
      </c>
      <c r="J3" s="60" t="inlineStr">
        <is>
          <t>~$9B</t>
        </is>
      </c>
      <c r="K3" s="60" t="inlineStr">
        <is>
          <t>~$7B (shares)</t>
        </is>
      </c>
      <c r="L3" s="60" t="inlineStr">
        <is>
          <t>LA (Burbank/SF Valley) + CA; biz must be within 30 mi of branch</t>
        </is>
      </c>
      <c r="M3" s="60" t="n">
        <v>164</v>
      </c>
      <c r="N3" s="60" t="inlineStr">
        <is>
          <t>Burbank</t>
        </is>
      </c>
      <c r="O3" s="60" t="inlineStr">
        <is>
          <t>Los Angeles</t>
        </is>
      </c>
      <c r="P3" s="64" t="inlineStr">
        <is>
          <t>logixbanking.com</t>
        </is>
      </c>
      <c r="Q3" s="65" t="inlineStr">
        <is>
          <t>Yes</t>
        </is>
      </c>
      <c r="R3" s="64" t="inlineStr">
        <is>
          <t>logixbanking.com/business/credit-card</t>
        </is>
      </c>
      <c r="S3" s="66" t="inlineStr">
        <is>
          <t>Partial online</t>
        </is>
      </c>
      <c r="T3" s="60" t="inlineStr">
        <is>
          <t>Schedule appointment: businessappointments.logixbanking.com or 800-328-5328 (no instant online app)</t>
        </is>
      </c>
      <c r="U3" s="65" t="inlineStr">
        <is>
          <t>Yes</t>
        </is>
      </c>
      <c r="V3" s="62" t="inlineStr">
        <is>
          <t>Self-issued (Logix FCU)</t>
        </is>
      </c>
      <c r="W3" s="57" t="inlineStr">
        <is>
          <t>Yes (revolving)</t>
        </is>
      </c>
      <c r="X3" s="66" t="inlineStr">
        <is>
          <t>Low intro: 5.99% for 6 mo (then 17.99%)</t>
        </is>
      </c>
      <c r="Y3" s="60" t="inlineStr">
        <is>
          <t>Smart Business Cashback MC: 5.99% intro 6mo then 17.99% var, $0 AF, 1.5% cashback (CA only)</t>
        </is>
      </c>
      <c r="Z3" s="60" t="inlineStr">
        <is>
          <t>Hard pull at application; bureau not disclosed (UNKNOWN)</t>
        </is>
      </c>
      <c r="AA3" s="60" t="inlineStr">
        <is>
          <t>Not disclosed (likely SBFE; INFERRED)</t>
        </is>
      </c>
      <c r="AB3" s="60" t="inlineStr">
        <is>
          <t>Unknown</t>
        </is>
      </c>
      <c r="AC3" s="60" t="inlineStr">
        <is>
          <t>None found</t>
        </is>
      </c>
      <c r="AD3" s="60" t="inlineStr">
        <is>
          <t>-</t>
        </is>
      </c>
      <c r="AE3" s="60" t="inlineStr">
        <is>
          <t>Membership req (EASY: American Consumer Council free; biz 1yr+ if not member)</t>
        </is>
      </c>
      <c r="AF3" s="60" t="inlineStr">
        <is>
          <t>Business lending separate (CA-only)</t>
        </is>
      </c>
      <c r="AG3" s="60" t="inlineStr">
        <is>
          <t>SELF-ISSUED VERIFIED ('Logix...the creditor'). SoCal + online apply. Strong template match.</t>
        </is>
      </c>
      <c r="AH3" s="64" t="inlineStr">
        <is>
          <t>logixbanking.com/business/credit-card; consumerfinance.gov (Logix agreements)</t>
        </is>
      </c>
    </row>
    <row r="4">
      <c r="A4" s="57" t="n">
        <v>3</v>
      </c>
      <c r="B4" s="58" t="inlineStr">
        <is>
          <t>A - Self-issued, apply online</t>
        </is>
      </c>
      <c r="C4" s="68" t="inlineStr">
        <is>
          <t>San Diego County Credit Union (SDCCU)</t>
        </is>
      </c>
      <c r="D4" s="60" t="inlineStr">
        <is>
          <t>GOLD 4/4 (self + online + SoCal + card)</t>
        </is>
      </c>
      <c r="E4" s="61" t="inlineStr">
        <is>
          <t>Credit Union</t>
        </is>
      </c>
      <c r="F4" s="61" t="inlineStr">
        <is>
          <t>Yes</t>
        </is>
      </c>
      <c r="G4" s="60" t="inlineStr">
        <is>
          <t>SoCal - San Diego</t>
        </is>
      </c>
      <c r="H4" s="62" t="inlineStr">
        <is>
          <t>CA-HQ (Southern California)</t>
        </is>
      </c>
      <c r="I4" s="63" t="inlineStr">
        <is>
          <t>$5k-$20k (VERIFIED published range)</t>
        </is>
      </c>
      <c r="J4" s="60" t="inlineStr">
        <is>
          <t>~$9.26B</t>
        </is>
      </c>
      <c r="K4" s="60" t="inlineStr">
        <is>
          <t>~$7.5B (shares)</t>
        </is>
      </c>
      <c r="L4" s="60" t="inlineStr">
        <is>
          <t>San Diego County + statewide; ~40 branches</t>
        </is>
      </c>
      <c r="M4" s="60" t="n">
        <v>161</v>
      </c>
      <c r="N4" s="60" t="inlineStr">
        <is>
          <t>San Diego</t>
        </is>
      </c>
      <c r="O4" s="60" t="inlineStr">
        <is>
          <t>San Diego</t>
        </is>
      </c>
      <c r="P4" s="64" t="inlineStr">
        <is>
          <t>sdccu.com</t>
        </is>
      </c>
      <c r="Q4" s="65" t="inlineStr">
        <is>
          <t>Yes</t>
        </is>
      </c>
      <c r="R4" s="64" t="inlineStr">
        <is>
          <t>sdccu.com/business/business-credit-card/</t>
        </is>
      </c>
      <c r="S4" s="65" t="inlineStr">
        <is>
          <t>Online</t>
        </is>
      </c>
      <c r="T4" s="60" t="inlineStr">
        <is>
          <t>Apply ONLINE via Internet Branch (join first), or branch, or 877-732-2848 x6200</t>
        </is>
      </c>
      <c r="U4" s="65" t="inlineStr">
        <is>
          <t>Yes</t>
        </is>
      </c>
      <c r="V4" s="62" t="inlineStr">
        <is>
          <t>Self-issued (SDCCU)</t>
        </is>
      </c>
      <c r="W4" s="57" t="inlineStr">
        <is>
          <t>Yes (revolving)</t>
        </is>
      </c>
      <c r="X4" s="67" t="inlineStr">
        <is>
          <t>No</t>
        </is>
      </c>
      <c r="Y4" s="60" t="inlineStr">
        <is>
          <t>SDCCU Visa Business: 11.74% var purchases (Prime+4.99%, floor 9.99%), $25 AF (waived &gt;$10k/yr net purchases), low-rate (no rewards)</t>
        </is>
      </c>
      <c r="Z4" s="60" t="inlineStr">
        <is>
          <t>Experian (myFICO datapoints, INFERRED-strong)</t>
        </is>
      </c>
      <c r="AA4" s="60" t="inlineStr">
        <is>
          <t>Not disclosed (likely SBFE; INFERRED)</t>
        </is>
      </c>
      <c r="AB4" s="60" t="inlineStr">
        <is>
          <t>Unknown</t>
        </is>
      </c>
      <c r="AC4" s="60" t="inlineStr">
        <is>
          <t>None found (no forum datapoints)</t>
        </is>
      </c>
      <c r="AD4" s="60" t="inlineStr">
        <is>
          <t>-</t>
        </is>
      </c>
      <c r="AE4" s="60" t="inlineStr">
        <is>
          <t>Membership req (OPEN: live/work 9 SoCal counties incl LA/OC/Riverside/SB/SD/Ventura, OR Financial Fitness Assn $8)</t>
        </is>
      </c>
      <c r="AF4" s="60" t="inlineStr">
        <is>
          <t>Business lending separate; card is main biz credit product</t>
        </is>
      </c>
      <c r="AG4" s="60" t="inlineStr">
        <is>
          <t>SELF-ISSUED VERIFIED (own rate sheet + CFPB filing). SoCal + ONLINE apply + open membership. Strong target.</t>
        </is>
      </c>
      <c r="AH4" s="64" t="inlineStr">
        <is>
          <t>sdccu.com/business/business-credit-card/; rates page; consumerfinance.gov CFPB DB</t>
        </is>
      </c>
    </row>
    <row r="5">
      <c r="A5" s="57" t="n">
        <v>4</v>
      </c>
      <c r="B5" s="58" t="inlineStr">
        <is>
          <t>A - Self-issued, apply online</t>
        </is>
      </c>
      <c r="C5" s="68" t="inlineStr">
        <is>
          <t>Montecito Bank &amp; Trust</t>
        </is>
      </c>
      <c r="D5" s="60" t="inlineStr">
        <is>
          <t>GOLD 4/4 (self + online + SoCal + card)</t>
        </is>
      </c>
      <c r="E5" s="69" t="inlineStr">
        <is>
          <t>Bank</t>
        </is>
      </c>
      <c r="F5" s="61" t="inlineStr">
        <is>
          <t>Yes</t>
        </is>
      </c>
      <c r="G5" s="60" t="inlineStr">
        <is>
          <t>SoCal - Santa Barbara/Ventura</t>
        </is>
      </c>
      <c r="H5" s="62" t="inlineStr">
        <is>
          <t>CA-HQ (Southern California)</t>
        </is>
      </c>
      <c r="I5" s="63" t="inlineStr">
        <is>
          <t>Up to $100k (VERIFIED published max)</t>
        </is>
      </c>
      <c r="J5" s="60" t="inlineStr">
        <is>
          <t>$2.09B</t>
        </is>
      </c>
      <c r="K5" s="60" t="inlineStr">
        <is>
          <t>$1.87B</t>
        </is>
      </c>
      <c r="L5" s="60" t="inlineStr">
        <is>
          <t>Santa Barbara/Ventura Central Coast; ~12 branches</t>
        </is>
      </c>
      <c r="M5" s="60" t="n">
        <v>159</v>
      </c>
      <c r="N5" s="60" t="inlineStr">
        <is>
          <t>Santa Barbara</t>
        </is>
      </c>
      <c r="O5" s="60" t="inlineStr">
        <is>
          <t>Santa Barbara</t>
        </is>
      </c>
      <c r="P5" s="64" t="inlineStr">
        <is>
          <t>montecito.bank</t>
        </is>
      </c>
      <c r="Q5" s="65" t="inlineStr">
        <is>
          <t>Yes</t>
        </is>
      </c>
      <c r="R5" s="64" t="inlineStr">
        <is>
          <t>montecito.bank/business/credit-card</t>
        </is>
      </c>
      <c r="S5" s="65" t="inlineStr">
        <is>
          <t>Online</t>
        </is>
      </c>
      <c r="T5" s="60" t="inlineStr">
        <is>
          <t>Apply ONLINE: montecito.bank/business/apply; or branch; or 805-963-7511</t>
        </is>
      </c>
      <c r="U5" s="65" t="inlineStr">
        <is>
          <t>Yes</t>
        </is>
      </c>
      <c r="V5" s="62" t="inlineStr">
        <is>
          <t>Self-issued (Montecito Bank &amp; Trust)</t>
        </is>
      </c>
      <c r="W5" s="57" t="inlineStr">
        <is>
          <t>Yes (revolving)</t>
        </is>
      </c>
      <c r="X5" s="67" t="inlineStr">
        <is>
          <t>No (no intro, no penalty APR)</t>
        </is>
      </c>
      <c r="Y5" s="60" t="inlineStr">
        <is>
          <t>Visa Business Rewards: 16.49/20.49/24.49% fixed-tier, $0 AF, 1% cash back, $250 bonus ($5k/90d)</t>
        </is>
      </c>
      <c r="Z5" s="60" t="inlineStr">
        <is>
          <t>Owner credit pulled (agreement sec.28); bureau not named (UNKNOWN)</t>
        </is>
      </c>
      <c r="AA5" s="60" t="inlineStr">
        <is>
          <t>Unknown (Fiserv-serviced; SBFE/Experian Biz common but unverified)</t>
        </is>
      </c>
      <c r="AB5" s="60" t="inlineStr">
        <is>
          <t>Yes - defaults reported to owner's personal credit (agreement sec.28)</t>
        </is>
      </c>
      <c r="AC5" s="60" t="inlineStr">
        <is>
          <t>None found (small program, low forum coverage)</t>
        </is>
      </c>
      <c r="AD5" s="60" t="inlineStr">
        <is>
          <t>-</t>
        </is>
      </c>
      <c r="AE5" s="60" t="inlineStr">
        <is>
          <t>Yes - MUST be a Montecito Bank &amp; Trust deposit customer first (agreement sec.1)</t>
        </is>
      </c>
      <c r="AF5" s="60" t="inlineStr">
        <is>
          <t>No - commercial underwritten</t>
        </is>
      </c>
      <c r="AG5" s="60" t="inlineStr">
        <is>
          <t>SELF-ISSUED VERIFIED ('we are the creditor'). Online (DocuSign). Deposit customer required.</t>
        </is>
      </c>
      <c r="AH5" s="64" t="inlineStr">
        <is>
          <t>montecito.bank/business/credit-card; business-credit-card-contract-and-pre-disclosure</t>
        </is>
      </c>
    </row>
    <row r="6">
      <c r="A6" s="57" t="n">
        <v>5</v>
      </c>
      <c r="B6" s="59" t="inlineStr">
        <is>
          <t>B - Self-issued, in-person</t>
        </is>
      </c>
      <c r="C6" s="59" t="inlineStr">
        <is>
          <t>City National Bank</t>
        </is>
      </c>
      <c r="D6" s="60" t="inlineStr">
        <is>
          <t>3/4 (missing: apply online)</t>
        </is>
      </c>
      <c r="E6" s="69" t="inlineStr">
        <is>
          <t>Bank</t>
        </is>
      </c>
      <c r="F6" s="61" t="inlineStr">
        <is>
          <t>Yes</t>
        </is>
      </c>
      <c r="G6" s="60" t="inlineStr">
        <is>
          <t>SoCal - LA County</t>
        </is>
      </c>
      <c r="H6" s="62" t="inlineStr">
        <is>
          <t>CA-HQ (Southern California)</t>
        </is>
      </c>
      <c r="I6" s="63" t="inlineStr">
        <is>
          <t>~$10k+ (personal datapoint; commercial relationship-based may run higher)</t>
        </is>
      </c>
      <c r="J6" s="60" t="inlineStr">
        <is>
          <t>$96.47B</t>
        </is>
      </c>
      <c r="K6" s="60" t="inlineStr">
        <is>
          <t>$80.22B</t>
        </is>
      </c>
      <c r="L6" s="60" t="inlineStr">
        <is>
          <t>~60-75 offices, 8 states; CA LA+SF Bay; NY, NV, TN, GA, MN, DC</t>
        </is>
      </c>
      <c r="M6" s="60" t="n">
        <v>154</v>
      </c>
      <c r="N6" s="60" t="inlineStr">
        <is>
          <t>Los Angeles</t>
        </is>
      </c>
      <c r="O6" s="60" t="inlineStr">
        <is>
          <t>Los Angeles</t>
        </is>
      </c>
      <c r="P6" s="64" t="inlineStr">
        <is>
          <t>cnb.com</t>
        </is>
      </c>
      <c r="Q6" s="65" t="inlineStr">
        <is>
          <t>Yes</t>
        </is>
      </c>
      <c r="R6" s="64" t="inlineStr">
        <is>
          <t>cnb.com/business-banking/lending/credit-cards.html</t>
        </is>
      </c>
      <c r="S6" s="70" t="inlineStr">
        <is>
          <t>In-person</t>
        </is>
      </c>
      <c r="T6" s="60" t="inlineStr">
        <is>
          <t>Relationship-based: 'Connect with us' lead form or Relationship Manager (no online app)</t>
        </is>
      </c>
      <c r="U6" s="65" t="inlineStr">
        <is>
          <t>Yes</t>
        </is>
      </c>
      <c r="V6" s="62" t="inlineStr">
        <is>
          <t>Self-issued (City National Bank)</t>
        </is>
      </c>
      <c r="W6" s="57" t="inlineStr">
        <is>
          <t>Charge card</t>
        </is>
      </c>
      <c r="X6" s="67" t="inlineStr">
        <is>
          <t>No</t>
        </is>
      </c>
      <c r="Y6" s="60" t="inlineStr">
        <is>
          <t>~15.96% fixed APR; Commercial $0 acct fee (+$50/card if Rewards); Crystal $400+$75/card</t>
        </is>
      </c>
      <c r="Z6" s="60" t="inlineStr">
        <is>
          <t>Not disclosed; commercial underwriting (UNKNOWN)</t>
        </is>
      </c>
      <c r="AA6" s="60" t="inlineStr">
        <is>
          <t>Unknown (not disclosed)</t>
        </is>
      </c>
      <c r="AB6" s="60" t="inlineStr">
        <is>
          <t>Likely No (commercial, business-purpose only; INFERRED)</t>
        </is>
      </c>
      <c r="AC6" s="60" t="inlineStr">
        <is>
          <t>Sparse for biz. Personal Crystal Visa: ~$10k start, in-branch manual UW, ~$100k+ income</t>
        </is>
      </c>
      <c r="AD6" s="64" t="inlineStr">
        <is>
          <t>ficoforums.myfico.com (Crystal Visa Infinite threads)</t>
        </is>
      </c>
      <c r="AE6" s="60" t="inlineStr">
        <is>
          <t>Yes (relationship; security interest in deposits)</t>
        </is>
      </c>
      <c r="AF6" s="60" t="inlineStr">
        <is>
          <t>No - SBA/LOC/ABL/equipment all fully underwritten (PFS req)</t>
        </is>
      </c>
      <c r="AG6" s="60" t="inlineStr">
        <is>
          <t>Issuer/terms VERIFIED (official docs). Biz-card bureau pull/report UNKNOWN.</t>
        </is>
      </c>
      <c r="AH6" s="64" t="inlineStr">
        <is>
          <t>cnb.com; Commercial Card Agreement PDF; Fee Schedule PDF</t>
        </is>
      </c>
    </row>
    <row r="7">
      <c r="A7" s="57" t="n">
        <v>6</v>
      </c>
      <c r="B7" s="59" t="inlineStr">
        <is>
          <t>B - Self-issued, in-person</t>
        </is>
      </c>
      <c r="C7" s="59" t="inlineStr">
        <is>
          <t>California Credit Union</t>
        </is>
      </c>
      <c r="D7" s="60" t="inlineStr">
        <is>
          <t>3/4 (missing: apply online)</t>
        </is>
      </c>
      <c r="E7" s="61" t="inlineStr">
        <is>
          <t>Credit Union</t>
        </is>
      </c>
      <c r="F7" s="61" t="inlineStr">
        <is>
          <t>Yes</t>
        </is>
      </c>
      <c r="G7" s="60" t="inlineStr">
        <is>
          <t>SoCal - LA County</t>
        </is>
      </c>
      <c r="H7" s="62" t="inlineStr">
        <is>
          <t>CA-HQ (Southern California)</t>
        </is>
      </c>
      <c r="I7" s="63" t="inlineStr">
        <is>
          <t>Not published (member-set; est ~$5k-$25k)</t>
        </is>
      </c>
      <c r="J7" s="60" t="inlineStr">
        <is>
          <t>~$4.9B</t>
        </is>
      </c>
      <c r="K7" s="60" t="inlineStr">
        <is>
          <t>~$4B (shares)</t>
        </is>
      </c>
      <c r="L7" s="60" t="inlineStr">
        <is>
          <t>LA (Glendale/SF Valley) + San Diego; ~20+ branches</t>
        </is>
      </c>
      <c r="M7" s="60" t="n">
        <v>153</v>
      </c>
      <c r="N7" s="60" t="inlineStr">
        <is>
          <t>Glendale</t>
        </is>
      </c>
      <c r="O7" s="60" t="inlineStr">
        <is>
          <t>Los Angeles</t>
        </is>
      </c>
      <c r="P7" s="64" t="inlineStr">
        <is>
          <t>ccu.com</t>
        </is>
      </c>
      <c r="Q7" s="65" t="inlineStr">
        <is>
          <t>Yes</t>
        </is>
      </c>
      <c r="R7" s="64" t="inlineStr">
        <is>
          <t>ccu.com/bank/business/credit-cards/</t>
        </is>
      </c>
      <c r="S7" s="70" t="inlineStr">
        <is>
          <t>In-person</t>
        </is>
      </c>
      <c r="T7" s="60" t="inlineStr">
        <is>
          <t>Business Banking 800-293-6494 or SoCal branch (no online card app)</t>
        </is>
      </c>
      <c r="U7" s="65" t="inlineStr">
        <is>
          <t>Yes</t>
        </is>
      </c>
      <c r="V7" s="62" t="inlineStr">
        <is>
          <t>Self-issued (California CU / California Federal CU)</t>
        </is>
      </c>
      <c r="W7" s="57" t="inlineStr">
        <is>
          <t>Yes (revolving)</t>
        </is>
      </c>
      <c r="X7" s="67" t="inlineStr">
        <is>
          <t>No</t>
        </is>
      </c>
      <c r="Y7" s="60" t="inlineStr">
        <is>
          <t>Business Rewards Visa: 10.50-18% var (Prime+5-13%), $0 AF, 1% rewards; Platinum = lower-rate, no rewards</t>
        </is>
      </c>
      <c r="Z7" s="60" t="inlineStr">
        <is>
          <t>Owner credit investigated; bureau not named (UNKNOWN)</t>
        </is>
      </c>
      <c r="AA7" s="60" t="inlineStr">
        <is>
          <t>Unknown</t>
        </is>
      </c>
      <c r="AB7" s="60" t="inlineStr">
        <is>
          <t>Yes - negative reporting to credit bureaus (agreement)</t>
        </is>
      </c>
      <c r="AC7" s="60" t="inlineStr">
        <is>
          <t>None found</t>
        </is>
      </c>
      <c r="AD7" s="60" t="inlineStr">
        <is>
          <t>-</t>
        </is>
      </c>
      <c r="AE7" s="60" t="inlineStr">
        <is>
          <t>Membership req (CCU; ~680 score, 2yr+ biz typical)</t>
        </is>
      </c>
      <c r="AF7" s="60" t="inlineStr">
        <is>
          <t>Business lending separate</t>
        </is>
      </c>
      <c r="AG7" s="60" t="inlineStr">
        <is>
          <t>SELF-ISSUED (VERIFIED biz card; INFERRED self - own terms, no Elan). Open membership. No online card app.</t>
        </is>
      </c>
      <c r="AH7" s="64" t="inlineStr">
        <is>
          <t>ccu.com/bank/business/credit-cards/; ccu.com/join/</t>
        </is>
      </c>
    </row>
    <row r="8">
      <c r="A8" s="57" t="n">
        <v>7</v>
      </c>
      <c r="B8" s="59" t="inlineStr">
        <is>
          <t>B - Self-issued, in-person</t>
        </is>
      </c>
      <c r="C8" s="59" t="inlineStr">
        <is>
          <t>Nuvision Credit Union</t>
        </is>
      </c>
      <c r="D8" s="60" t="inlineStr">
        <is>
          <t>3/4 (missing: apply online)</t>
        </is>
      </c>
      <c r="E8" s="61" t="inlineStr">
        <is>
          <t>Credit Union</t>
        </is>
      </c>
      <c r="F8" s="61" t="inlineStr">
        <is>
          <t>Yes</t>
        </is>
      </c>
      <c r="G8" s="60" t="inlineStr">
        <is>
          <t>SoCal - Orange County</t>
        </is>
      </c>
      <c r="H8" s="62" t="inlineStr">
        <is>
          <t>CA-HQ (Southern California)</t>
        </is>
      </c>
      <c r="I8" s="63" t="inlineStr">
        <is>
          <t>$5k-$25k (est; self-issued community pattern)</t>
        </is>
      </c>
      <c r="J8" s="60" t="inlineStr">
        <is>
          <t>~$2.8B</t>
        </is>
      </c>
      <c r="K8" s="60" t="inlineStr">
        <is>
          <t>~$2.4B (shares)</t>
        </is>
      </c>
      <c r="L8" s="60" t="inlineStr">
        <is>
          <t>OC + LA/SD/Ventura/SB; ACC membership path</t>
        </is>
      </c>
      <c r="M8" s="60" t="n">
        <v>151</v>
      </c>
      <c r="N8" s="60" t="inlineStr">
        <is>
          <t>Huntington Beach</t>
        </is>
      </c>
      <c r="O8" s="60" t="inlineStr">
        <is>
          <t>Orange</t>
        </is>
      </c>
      <c r="P8" s="64" t="inlineStr">
        <is>
          <t>nuvisionfederal.com</t>
        </is>
      </c>
      <c r="Q8" s="65" t="inlineStr">
        <is>
          <t>Yes</t>
        </is>
      </c>
      <c r="R8" s="64" t="inlineStr">
        <is>
          <t>nuvisionfederal.com/business-banking/credit-cards</t>
        </is>
      </c>
      <c r="S8" s="70" t="inlineStr">
        <is>
          <t>In-person</t>
        </is>
      </c>
      <c r="T8" s="60" t="inlineStr">
        <is>
          <t>Download paper app -&gt; fax/branch; also LoansPQ online link; 800-444-6327</t>
        </is>
      </c>
      <c r="U8" s="65" t="inlineStr">
        <is>
          <t>Yes</t>
        </is>
      </c>
      <c r="V8" s="62" t="inlineStr">
        <is>
          <t>Self-issued (inferred; Nuvision-processed)</t>
        </is>
      </c>
      <c r="W8" s="57" t="inlineStr">
        <is>
          <t>Yes (revolving)</t>
        </is>
      </c>
      <c r="X8" s="67" t="inlineStr">
        <is>
          <t>No</t>
        </is>
      </c>
      <c r="Y8" s="60" t="inlineStr">
        <is>
          <t>Business Visa Rewards: ~13-18% var (tracks consumer tier), $0 AF, 1 pt/$1</t>
        </is>
      </c>
      <c r="Z8" s="60" t="inlineStr">
        <is>
          <t>Unknown</t>
        </is>
      </c>
      <c r="AA8" s="60" t="inlineStr">
        <is>
          <t>Unknown</t>
        </is>
      </c>
      <c r="AB8" s="60" t="inlineStr">
        <is>
          <t>Unknown</t>
        </is>
      </c>
      <c r="AC8" s="60" t="inlineStr">
        <is>
          <t>None found</t>
        </is>
      </c>
      <c r="AD8" s="60" t="inlineStr">
        <is>
          <t>-</t>
        </is>
      </c>
      <c r="AE8" s="60" t="inlineStr">
        <is>
          <t>Membership req (EASY: ACC or 5 SoCal counties)</t>
        </is>
      </c>
      <c r="AF8" s="60" t="inlineStr">
        <is>
          <t>Business lending separate</t>
        </is>
      </c>
      <c r="AG8" s="60" t="inlineStr">
        <is>
          <t>SELF-issued INFERRED (consumer agreements self-filed; biz issuer not stated). PAPER app only.</t>
        </is>
      </c>
      <c r="AH8" s="64" t="inlineStr">
        <is>
          <t>nuvisionfederal.com/business-banking/credit-cards</t>
        </is>
      </c>
    </row>
    <row r="9">
      <c r="A9" s="57" t="n">
        <v>8</v>
      </c>
      <c r="B9" s="59" t="inlineStr">
        <is>
          <t>B - Self-issued, in-person</t>
        </is>
      </c>
      <c r="C9" s="59" t="inlineStr">
        <is>
          <t>Altura Credit Union</t>
        </is>
      </c>
      <c r="D9" s="60" t="inlineStr">
        <is>
          <t>3/4 (missing: apply online)</t>
        </is>
      </c>
      <c r="E9" s="61" t="inlineStr">
        <is>
          <t>Credit Union</t>
        </is>
      </c>
      <c r="F9" s="61" t="inlineStr">
        <is>
          <t>Yes</t>
        </is>
      </c>
      <c r="G9" s="60" t="inlineStr">
        <is>
          <t>SoCal - Inland Empire</t>
        </is>
      </c>
      <c r="H9" s="62" t="inlineStr">
        <is>
          <t>CA-HQ (Southern California)</t>
        </is>
      </c>
      <c r="I9" s="63" t="inlineStr">
        <is>
          <t>Up to $25k (VERIFIED published)</t>
        </is>
      </c>
      <c r="J9" s="60" t="inlineStr">
        <is>
          <t>~$2.45B</t>
        </is>
      </c>
      <c r="K9" s="60" t="inlineStr">
        <is>
          <t>~$2.1B (shares)</t>
        </is>
      </c>
      <c r="L9" s="60" t="inlineStr">
        <is>
          <t>Inland Empire (Riverside County); ~20 branches</t>
        </is>
      </c>
      <c r="M9" s="60" t="n">
        <v>151</v>
      </c>
      <c r="N9" s="60" t="inlineStr">
        <is>
          <t>Riverside</t>
        </is>
      </c>
      <c r="O9" s="60" t="inlineStr">
        <is>
          <t>Riverside</t>
        </is>
      </c>
      <c r="P9" s="64" t="inlineStr">
        <is>
          <t>alturacu.com</t>
        </is>
      </c>
      <c r="Q9" s="65" t="inlineStr">
        <is>
          <t>Yes</t>
        </is>
      </c>
      <c r="R9" s="64" t="inlineStr">
        <is>
          <t>alturacu.com/business-credit-card/</t>
        </is>
      </c>
      <c r="S9" s="70" t="inlineStr">
        <is>
          <t>In-person</t>
        </is>
      </c>
      <c r="T9" s="60" t="inlineStr">
        <is>
          <t>Branch or 888-883-7228 (no online card app)</t>
        </is>
      </c>
      <c r="U9" s="65" t="inlineStr">
        <is>
          <t>Yes</t>
        </is>
      </c>
      <c r="V9" s="62" t="inlineStr">
        <is>
          <t>Self-issued (Altura CU)</t>
        </is>
      </c>
      <c r="W9" s="57" t="inlineStr">
        <is>
          <t>Yes (revolving)</t>
        </is>
      </c>
      <c r="X9" s="67" t="inlineStr">
        <is>
          <t>No</t>
        </is>
      </c>
      <c r="Y9" s="60" t="inlineStr">
        <is>
          <t>Business Platinum: variable WSJ Prime+margin (exact not published), $0 AF, NO BT/cash-advance fee, up to $25k</t>
        </is>
      </c>
      <c r="Z9" s="60" t="inlineStr">
        <is>
          <t>Not disclosed (UNKNOWN)</t>
        </is>
      </c>
      <c r="AA9" s="60" t="inlineStr">
        <is>
          <t>Unknown (Altura notes biz-card activity MAY hit owner personal credit)</t>
        </is>
      </c>
      <c r="AB9" s="60" t="inlineStr">
        <is>
          <t>May report to owner's personal credit, esp. missed payments (Altura FAQ)</t>
        </is>
      </c>
      <c r="AC9" s="60" t="inlineStr">
        <is>
          <t>None found</t>
        </is>
      </c>
      <c r="AD9" s="60" t="inlineStr">
        <is>
          <t>-</t>
        </is>
      </c>
      <c r="AE9" s="60" t="inlineStr">
        <is>
          <t>Membership req (OPEN: live/work/worship/school Riverside County; online app)</t>
        </is>
      </c>
      <c r="AF9" s="60" t="inlineStr">
        <is>
          <t>Business lending separate</t>
        </is>
      </c>
      <c r="AG9" s="60" t="inlineStr">
        <is>
          <t>SELF-ISSUED (VERIFIED biz card; INFERRED self - own agreement, no Elan). Inland Empire. No online card app.</t>
        </is>
      </c>
      <c r="AH9" s="64" t="inlineStr">
        <is>
          <t>alturacu.com/business-credit-card/</t>
        </is>
      </c>
    </row>
    <row r="10">
      <c r="A10" s="57" t="n">
        <v>9</v>
      </c>
      <c r="B10" s="59" t="inlineStr">
        <is>
          <t>B - Self-issued, in-person</t>
        </is>
      </c>
      <c r="C10" s="59" t="inlineStr">
        <is>
          <t>Sun Community Federal Credit Union</t>
        </is>
      </c>
      <c r="D10" s="60" t="inlineStr">
        <is>
          <t>3/4 (missing: apply online)</t>
        </is>
      </c>
      <c r="E10" s="61" t="inlineStr">
        <is>
          <t>Credit Union</t>
        </is>
      </c>
      <c r="F10" s="61" t="inlineStr">
        <is>
          <t>Yes</t>
        </is>
      </c>
      <c r="G10" s="60" t="inlineStr">
        <is>
          <t>SoCal - Coachella Valley</t>
        </is>
      </c>
      <c r="H10" s="62" t="inlineStr">
        <is>
          <t>CA-HQ (Southern California)</t>
        </is>
      </c>
      <c r="I10" s="63" t="inlineStr">
        <is>
          <t>$5k-$25k (est; self-issued community pattern)</t>
        </is>
      </c>
      <c r="J10" s="60" t="inlineStr">
        <is>
          <t>~$826M</t>
        </is>
      </c>
      <c r="K10" s="60" t="inlineStr">
        <is>
          <t>~$700M (shares)</t>
        </is>
      </c>
      <c r="L10" s="60" t="inlineStr">
        <is>
          <t>Imperial County HQ; Coachella Valley branches (Coachella, Indio, Palm Springs)</t>
        </is>
      </c>
      <c r="M10" s="60" t="n">
        <v>132</v>
      </c>
      <c r="N10" s="60" t="inlineStr">
        <is>
          <t>El Centro (branches Coachella/Indio/Palm Springs)</t>
        </is>
      </c>
      <c r="O10" s="60" t="inlineStr">
        <is>
          <t>Imperial / Riverside</t>
        </is>
      </c>
      <c r="P10" s="64" t="inlineStr">
        <is>
          <t>suncommunity.com</t>
        </is>
      </c>
      <c r="Q10" s="65" t="inlineStr">
        <is>
          <t>Yes</t>
        </is>
      </c>
      <c r="R10" s="64" t="inlineStr">
        <is>
          <t>suncommunity.com/products/business-credit-card</t>
        </is>
      </c>
      <c r="S10" s="70" t="inlineStr">
        <is>
          <t>In-person</t>
        </is>
      </c>
      <c r="T10" s="60" t="inlineStr">
        <is>
          <t>Commercial Lending 760-336-8663 or commerciallending@suncommunityfcu.org (no online app)</t>
        </is>
      </c>
      <c r="U10" s="65" t="inlineStr">
        <is>
          <t>Yes</t>
        </is>
      </c>
      <c r="V10" s="62" t="inlineStr">
        <is>
          <t>Self-issued (Sun Community FCU)</t>
        </is>
      </c>
      <c r="W10" s="57" t="inlineStr">
        <is>
          <t>Yes (revolving)</t>
        </is>
      </c>
      <c r="X10" s="67" t="inlineStr">
        <is>
          <t>No</t>
        </is>
      </c>
      <c r="Y10" s="60" t="inlineStr">
        <is>
          <t>Business Rewards Mastercard (DreamPoints 1 pt/$1), $0 AF; APR not published</t>
        </is>
      </c>
      <c r="Z10" s="60" t="inlineStr">
        <is>
          <t>Unknown</t>
        </is>
      </c>
      <c r="AA10" s="60" t="inlineStr">
        <is>
          <t>Unknown</t>
        </is>
      </c>
      <c r="AB10" s="60" t="inlineStr">
        <is>
          <t>Unknown</t>
        </is>
      </c>
      <c r="AC10" s="60" t="inlineStr">
        <is>
          <t>None found</t>
        </is>
      </c>
      <c r="AD10" s="60" t="inlineStr">
        <is>
          <t>-</t>
        </is>
      </c>
      <c r="AE10" s="60" t="inlineStr">
        <is>
          <t>Membership req (live/work/worship/volunteer Imperial County; Coachella Valley branches)</t>
        </is>
      </c>
      <c r="AF10" s="60" t="inlineStr">
        <is>
          <t>Business lending separate</t>
        </is>
      </c>
      <c r="AG10" s="60" t="inlineStr">
        <is>
          <t>SELF-ISSUED (VERIFIED biz card; INFERRED self - DreamPoints, no Elan). Coachella Valley presence (lowest geo priority).</t>
        </is>
      </c>
      <c r="AH10" s="64" t="inlineStr">
        <is>
          <t>suncommunity.com/products/business-credit-card</t>
        </is>
      </c>
    </row>
    <row r="11">
      <c r="A11" s="71" t="n">
        <v>10</v>
      </c>
      <c r="B11" s="72" t="inlineStr">
        <is>
          <t>C - Agent-issued card</t>
        </is>
      </c>
      <c r="C11" s="59" t="inlineStr">
        <is>
          <t>Cathay Bank</t>
        </is>
      </c>
      <c r="D11" s="60" t="inlineStr">
        <is>
          <t>3/4 (missing: self-UW)</t>
        </is>
      </c>
      <c r="E11" s="69" t="inlineStr">
        <is>
          <t>Bank</t>
        </is>
      </c>
      <c r="F11" s="61" t="inlineStr">
        <is>
          <t>Yes</t>
        </is>
      </c>
      <c r="G11" s="60" t="inlineStr">
        <is>
          <t>SoCal - LA County</t>
        </is>
      </c>
      <c r="H11" s="62" t="inlineStr">
        <is>
          <t>CA-HQ (Southern California)</t>
        </is>
      </c>
      <c r="I11" s="73" t="inlineStr">
        <is>
          <t>$3k-$15k (est; Elan agent pattern, myFICO)</t>
        </is>
      </c>
      <c r="J11" s="60" t="inlineStr">
        <is>
          <t>$24.06B</t>
        </is>
      </c>
      <c r="K11" s="60" t="inlineStr">
        <is>
          <t>$20.54B</t>
        </is>
      </c>
      <c r="L11" s="60" t="inlineStr">
        <is>
          <t>~60-64 branches, 9 states; CA largest; NY WA TX IL MA MD NV NJ; Hong Kong</t>
        </is>
      </c>
      <c r="M11" s="60" t="n">
        <v>92</v>
      </c>
      <c r="N11" s="60" t="inlineStr">
        <is>
          <t>Los Angeles</t>
        </is>
      </c>
      <c r="O11" s="60" t="inlineStr">
        <is>
          <t>Los Angeles</t>
        </is>
      </c>
      <c r="P11" s="64" t="inlineStr">
        <is>
          <t>cathaybank.com</t>
        </is>
      </c>
      <c r="Q11" s="65" t="inlineStr">
        <is>
          <t>Yes</t>
        </is>
      </c>
      <c r="R11" s="64" t="inlineStr">
        <is>
          <t>cathaybank.com/business/credit-cards</t>
        </is>
      </c>
      <c r="S11" s="65" t="inlineStr">
        <is>
          <t>Online</t>
        </is>
      </c>
      <c r="T11" s="60" t="inlineStr">
        <is>
          <t>mycardapply.com/synindex (Elan)</t>
        </is>
      </c>
      <c r="U11" s="67" t="inlineStr">
        <is>
          <t>No</t>
        </is>
      </c>
      <c r="V11" s="74" t="inlineStr">
        <is>
          <t>Elan Financial Services (U.S. Bank)</t>
        </is>
      </c>
      <c r="W11" s="57" t="inlineStr">
        <is>
          <t>Yes (revolving)</t>
        </is>
      </c>
      <c r="X11" s="66" t="inlineStr">
        <is>
          <t>Yes - 6 months (Business Platinum)</t>
        </is>
      </c>
      <c r="Y11" s="60" t="inlineStr">
        <is>
          <t>Business Platinum: 0% intro 6mo purchases+BT. Rewards: 1% cash back. Go-to APR/AF not published</t>
        </is>
      </c>
      <c r="Z11" s="60" t="inlineStr">
        <is>
          <t>TransUnion (Elan)</t>
        </is>
      </c>
      <c r="AA11" s="60" t="inlineStr">
        <is>
          <t>D&amp;B (delinquency-only); SBFE unconfirmed</t>
        </is>
      </c>
      <c r="AB11" s="60" t="inlineStr">
        <is>
          <t>No (delinquency-only)</t>
        </is>
      </c>
      <c r="AC11" s="60" t="inlineStr">
        <is>
          <t>Elan general (TU pull; PG; ~$3k-$10k start; separate HP for CLI)</t>
        </is>
      </c>
      <c r="AD11" s="64" t="inlineStr">
        <is>
          <t>stacking.capital; myFICO Business-Credit</t>
        </is>
      </c>
      <c r="AE11" s="60" t="inlineStr">
        <is>
          <t>No (checking only if cash-back-to-checking)</t>
        </is>
      </c>
      <c r="AF11" s="60" t="inlineStr">
        <is>
          <t>No - Smart/Professional/Micro loans, C&amp;I, CRE, SBA underwritten</t>
        </is>
      </c>
      <c r="AG11" s="60" t="inlineStr">
        <is>
          <t>Issuer VERIFIED (Elan). Online apply YES. 6mo 0%.</t>
        </is>
      </c>
      <c r="AH11" s="64" t="inlineStr">
        <is>
          <t>cathaybank.com/business/credit-cards; mycardapply.com</t>
        </is>
      </c>
    </row>
    <row r="12">
      <c r="A12" s="71" t="n">
        <v>11</v>
      </c>
      <c r="B12" s="72" t="inlineStr">
        <is>
          <t>C - Agent-issued card</t>
        </is>
      </c>
      <c r="C12" s="59" t="inlineStr">
        <is>
          <t>Bank of Hope</t>
        </is>
      </c>
      <c r="D12" s="60" t="inlineStr">
        <is>
          <t>3/4 (missing: self-UW)</t>
        </is>
      </c>
      <c r="E12" s="69" t="inlineStr">
        <is>
          <t>Bank</t>
        </is>
      </c>
      <c r="F12" s="61" t="inlineStr">
        <is>
          <t>Yes</t>
        </is>
      </c>
      <c r="G12" s="60" t="inlineStr">
        <is>
          <t>SoCal - LA County</t>
        </is>
      </c>
      <c r="H12" s="62" t="inlineStr">
        <is>
          <t>CA-HQ (Southern California)</t>
        </is>
      </c>
      <c r="I12" s="73" t="inlineStr">
        <is>
          <t>$3k-$15k (est; Elan agent pattern, myFICO)</t>
        </is>
      </c>
      <c r="J12" s="60" t="inlineStr">
        <is>
          <t>$18.50B</t>
        </is>
      </c>
      <c r="K12" s="60" t="inlineStr">
        <is>
          <t>$15.85B</t>
        </is>
      </c>
      <c r="L12" s="60" t="inlineStr">
        <is>
          <t>~45 branches CA/NY/NJ/WA/TX/IL/AL/GA + ~29 HI (Territorial). Korean-American focus</t>
        </is>
      </c>
      <c r="M12" s="60" t="n">
        <v>92</v>
      </c>
      <c r="N12" s="60" t="inlineStr">
        <is>
          <t>Los Angeles</t>
        </is>
      </c>
      <c r="O12" s="60" t="inlineStr">
        <is>
          <t>Los Angeles</t>
        </is>
      </c>
      <c r="P12" s="64" t="inlineStr">
        <is>
          <t>bankofhope.com</t>
        </is>
      </c>
      <c r="Q12" s="65" t="inlineStr">
        <is>
          <t>Yes</t>
        </is>
      </c>
      <c r="R12" s="64" t="inlineStr">
        <is>
          <t>bankofhope.com/business-banking/credit-cards</t>
        </is>
      </c>
      <c r="S12" s="65" t="inlineStr">
        <is>
          <t>Online</t>
        </is>
      </c>
      <c r="T12" s="60" t="inlineStr">
        <is>
          <t>bankofhope.com card pages route to Elan apply portal</t>
        </is>
      </c>
      <c r="U12" s="67" t="inlineStr">
        <is>
          <t>No</t>
        </is>
      </c>
      <c r="V12" s="74" t="inlineStr">
        <is>
          <t>Elan (current; migrated ~Nov 2025 from FNBO)</t>
        </is>
      </c>
      <c r="W12" s="57" t="inlineStr">
        <is>
          <t>Yes (revolving)</t>
        </is>
      </c>
      <c r="X12" s="66" t="inlineStr">
        <is>
          <t>Legacy FNBO: 9 cycles. Current Elan: ~6 (not public yet)</t>
        </is>
      </c>
      <c r="Y12" s="60" t="inlineStr">
        <is>
          <t>Legacy FNBO (still posted, eff 9/1/23): Business Cashback 0% 9 cycles, then 17.74/21.74/25.74%, $0 AF, 1.25% cash back. Current Elan box not public</t>
        </is>
      </c>
      <c r="Z12" s="60" t="inlineStr">
        <is>
          <t>Current Elan=TransUnion; legacy FNBO=Experian</t>
        </is>
      </c>
      <c r="AA12" s="60" t="inlineStr">
        <is>
          <t>Current Elan=D&amp;B (delinquency-only)</t>
        </is>
      </c>
      <c r="AB12" s="60" t="inlineStr">
        <is>
          <t>No (delinquency-only)</t>
        </is>
      </c>
      <c r="AC12" s="60" t="inlineStr">
        <is>
          <t>None Bank of Hope-specific (recent Elan migration). Use Elan-general</t>
        </is>
      </c>
      <c r="AD12" s="64" t="inlineStr">
        <is>
          <t>bankofhope.com legacy disclosure PDFs</t>
        </is>
      </c>
      <c r="AE12" s="60" t="inlineStr">
        <is>
          <t>No explicit (age 18+, KYC, credit)</t>
        </is>
      </c>
      <c r="AF12" s="60" t="inlineStr">
        <is>
          <t>No - SBA/commercial/equipment leasing/trade underwritten</t>
        </is>
      </c>
      <c r="AG12" s="60" t="inlineStr">
        <is>
          <t>Issuer in transition: current Elan VERIFIED (footer); migrated from FNBO ~Nov 2025. Current box not public.</t>
        </is>
      </c>
      <c r="AH12" s="64" t="inlineStr">
        <is>
          <t>bankofhope.com/business-banking/credit-cards; legacy disclosure PDF</t>
        </is>
      </c>
    </row>
    <row r="13">
      <c r="A13" s="71" t="n">
        <v>12</v>
      </c>
      <c r="B13" s="72" t="inlineStr">
        <is>
          <t>C - Agent-issued card</t>
        </is>
      </c>
      <c r="C13" s="59" t="inlineStr">
        <is>
          <t>Citizens Business Bank</t>
        </is>
      </c>
      <c r="D13" s="60" t="inlineStr">
        <is>
          <t>3/4 (missing: self-UW)</t>
        </is>
      </c>
      <c r="E13" s="69" t="inlineStr">
        <is>
          <t>Bank</t>
        </is>
      </c>
      <c r="F13" s="61" t="inlineStr">
        <is>
          <t>Yes</t>
        </is>
      </c>
      <c r="G13" s="60" t="inlineStr">
        <is>
          <t>SoCal - Inland Empire</t>
        </is>
      </c>
      <c r="H13" s="62" t="inlineStr">
        <is>
          <t>CA-HQ (Southern California)</t>
        </is>
      </c>
      <c r="I13" s="73" t="inlineStr">
        <is>
          <t>$3k-$15k (est; Elan agent pattern, myFICO)</t>
        </is>
      </c>
      <c r="J13" s="60" t="inlineStr">
        <is>
          <t>$15.67B</t>
        </is>
      </c>
      <c r="K13" s="60" t="inlineStr">
        <is>
          <t>$12.18B</t>
        </is>
      </c>
      <c r="L13" s="60" t="inlineStr">
        <is>
          <t>~60 CA business banking centers; Central Valley, SoCal, Bay Area</t>
        </is>
      </c>
      <c r="M13" s="60" t="n">
        <v>87</v>
      </c>
      <c r="N13" s="60" t="inlineStr">
        <is>
          <t>Ontario</t>
        </is>
      </c>
      <c r="O13" s="60" t="inlineStr">
        <is>
          <t>San Bernardino</t>
        </is>
      </c>
      <c r="P13" s="64" t="inlineStr">
        <is>
          <t>cbbank.com</t>
        </is>
      </c>
      <c r="Q13" s="65" t="inlineStr">
        <is>
          <t>Yes</t>
        </is>
      </c>
      <c r="R13" s="64" t="inlineStr">
        <is>
          <t>cbbank.com/business-cards/</t>
        </is>
      </c>
      <c r="S13" s="65" t="inlineStr">
        <is>
          <t>Online</t>
        </is>
      </c>
      <c r="T13" s="60" t="inlineStr">
        <is>
          <t>cbbank.com/business-cards (Elan portal)</t>
        </is>
      </c>
      <c r="U13" s="67" t="inlineStr">
        <is>
          <t>No</t>
        </is>
      </c>
      <c r="V13" s="74" t="inlineStr">
        <is>
          <t>Elan Financial Services (U.S. Bank)</t>
        </is>
      </c>
      <c r="W13" s="57" t="inlineStr">
        <is>
          <t>Yes (revolving)</t>
        </is>
      </c>
      <c r="X13" s="67" t="inlineStr">
        <is>
          <t>Verify (Elan menu)</t>
        </is>
      </c>
      <c r="Y13" s="60" t="inlineStr">
        <is>
          <t>Elan business suite; APR/AF per Elan T&amp;C (not on page)</t>
        </is>
      </c>
      <c r="Z13" s="60" t="inlineStr">
        <is>
          <t>TransUnion (Elan)</t>
        </is>
      </c>
      <c r="AA13" s="60" t="inlineStr">
        <is>
          <t>D&amp;B (delinquency-only); SBFE unconfirmed</t>
        </is>
      </c>
      <c r="AB13" s="60" t="inlineStr">
        <is>
          <t>No (delinquency-only)</t>
        </is>
      </c>
      <c r="AC13" s="60" t="inlineStr">
        <is>
          <t>Elan general</t>
        </is>
      </c>
      <c r="AD13" s="64" t="inlineStr">
        <is>
          <t>stacking.capital; myFICO</t>
        </is>
      </c>
      <c r="AE13" s="60" t="inlineStr">
        <is>
          <t>No (Elan card)</t>
        </is>
      </c>
      <c r="AF13" s="60" t="inlineStr">
        <is>
          <t>No - commercial/SBA/ABL underwritten</t>
        </is>
      </c>
      <c r="AG13" s="60" t="inlineStr">
        <is>
          <t>Issuer VERIFIED (Elan, 'creditor and issuer' line on page).</t>
        </is>
      </c>
      <c r="AH13" s="64" t="inlineStr">
        <is>
          <t>cbbank.com/business-cards/</t>
        </is>
      </c>
    </row>
    <row r="14">
      <c r="A14" s="71" t="n">
        <v>13</v>
      </c>
      <c r="B14" s="72" t="inlineStr">
        <is>
          <t>C - Agent-issued card</t>
        </is>
      </c>
      <c r="C14" s="59" t="inlineStr">
        <is>
          <t>First Foundation Bank</t>
        </is>
      </c>
      <c r="D14" s="60" t="inlineStr">
        <is>
          <t>3/4 (missing: self-UW)</t>
        </is>
      </c>
      <c r="E14" s="69" t="inlineStr">
        <is>
          <t>Bank</t>
        </is>
      </c>
      <c r="F14" s="61" t="inlineStr">
        <is>
          <t>Yes</t>
        </is>
      </c>
      <c r="G14" s="60" t="inlineStr">
        <is>
          <t>SoCal - Orange County</t>
        </is>
      </c>
      <c r="H14" s="62" t="inlineStr">
        <is>
          <t>CA-HQ (Southern California)</t>
        </is>
      </c>
      <c r="I14" s="73" t="inlineStr">
        <is>
          <t>$3k-$15k (est; Elan agent pattern, myFICO)</t>
        </is>
      </c>
      <c r="J14" s="60" t="inlineStr">
        <is>
          <t>$11.89B</t>
        </is>
      </c>
      <c r="K14" s="60" t="inlineStr">
        <is>
          <t>$9.32B</t>
        </is>
      </c>
      <c r="L14" s="60" t="inlineStr">
        <is>
          <t>CA + multi-state (TX, NV, HI, FL); wealth + business banking</t>
        </is>
      </c>
      <c r="M14" s="60" t="n">
        <v>87</v>
      </c>
      <c r="N14" s="60" t="inlineStr">
        <is>
          <t>Irvine</t>
        </is>
      </c>
      <c r="O14" s="60" t="inlineStr">
        <is>
          <t>Orange</t>
        </is>
      </c>
      <c r="P14" s="64" t="inlineStr">
        <is>
          <t>firstfoundationinc.com</t>
        </is>
      </c>
      <c r="Q14" s="65" t="inlineStr">
        <is>
          <t>Yes</t>
        </is>
      </c>
      <c r="R14" s="64" t="inlineStr">
        <is>
          <t>firstfoundationinc.com/business-banking/business-lending/business-credit-cards</t>
        </is>
      </c>
      <c r="S14" s="65" t="inlineStr">
        <is>
          <t>Online</t>
        </is>
      </c>
      <c r="T14" s="60" t="inlineStr">
        <is>
          <t>Elan portal (credit-card login)</t>
        </is>
      </c>
      <c r="U14" s="67" t="inlineStr">
        <is>
          <t>No</t>
        </is>
      </c>
      <c r="V14" s="74" t="inlineStr">
        <is>
          <t>Elan Financial Services (U.S. Bank)</t>
        </is>
      </c>
      <c r="W14" s="57" t="inlineStr">
        <is>
          <t>Yes (revolving)</t>
        </is>
      </c>
      <c r="X14" s="67" t="inlineStr">
        <is>
          <t>Verify (Elan menu)</t>
        </is>
      </c>
      <c r="Y14" s="60" t="inlineStr">
        <is>
          <t>Elan business suite (Visa + Amex variants); APR/AF per Elan T&amp;C</t>
        </is>
      </c>
      <c r="Z14" s="60" t="inlineStr">
        <is>
          <t>TransUnion (Elan)</t>
        </is>
      </c>
      <c r="AA14" s="60" t="inlineStr">
        <is>
          <t>D&amp;B (delinquency-only); SBFE unconfirmed</t>
        </is>
      </c>
      <c r="AB14" s="60" t="inlineStr">
        <is>
          <t>No (delinquency-only)</t>
        </is>
      </c>
      <c r="AC14" s="60" t="inlineStr">
        <is>
          <t>Elan general</t>
        </is>
      </c>
      <c r="AD14" s="64" t="inlineStr">
        <is>
          <t>stacking.capital; myFICO</t>
        </is>
      </c>
      <c r="AE14" s="60" t="inlineStr">
        <is>
          <t>No (Elan card)</t>
        </is>
      </c>
      <c r="AF14" s="60" t="inlineStr">
        <is>
          <t>No - commercial/SBA underwritten</t>
        </is>
      </c>
      <c r="AG14" s="60" t="inlineStr">
        <is>
          <t>Issuer VERIFIED (Elan, via credit-card login page).</t>
        </is>
      </c>
      <c r="AH14" s="64" t="inlineStr">
        <is>
          <t>firstfoundationinc.com</t>
        </is>
      </c>
    </row>
    <row r="15">
      <c r="A15" s="71" t="n">
        <v>14</v>
      </c>
      <c r="B15" s="72" t="inlineStr">
        <is>
          <t>C - Agent-issued card</t>
        </is>
      </c>
      <c r="C15" s="59" t="inlineStr">
        <is>
          <t>Hanmi Bank</t>
        </is>
      </c>
      <c r="D15" s="60" t="inlineStr">
        <is>
          <t>3/4 (missing: self-UW)</t>
        </is>
      </c>
      <c r="E15" s="69" t="inlineStr">
        <is>
          <t>Bank</t>
        </is>
      </c>
      <c r="F15" s="61" t="inlineStr">
        <is>
          <t>Yes</t>
        </is>
      </c>
      <c r="G15" s="60" t="inlineStr">
        <is>
          <t>SoCal - LA County</t>
        </is>
      </c>
      <c r="H15" s="62" t="inlineStr">
        <is>
          <t>CA-HQ (Southern California)</t>
        </is>
      </c>
      <c r="I15" s="73" t="inlineStr">
        <is>
          <t>$3k-$15k (est; Elan agent pattern, myFICO)</t>
        </is>
      </c>
      <c r="J15" s="60" t="inlineStr">
        <is>
          <t>$7.81B</t>
        </is>
      </c>
      <c r="K15" s="60" t="inlineStr">
        <is>
          <t>$6.77B</t>
        </is>
      </c>
      <c r="L15" s="60" t="inlineStr">
        <is>
          <t>~30+ branches CA/TX/IL/NY/NJ/VA/GA/CO/WA; Korean-American focus</t>
        </is>
      </c>
      <c r="M15" s="60" t="n">
        <v>85</v>
      </c>
      <c r="N15" s="60" t="inlineStr">
        <is>
          <t>Los Angeles</t>
        </is>
      </c>
      <c r="O15" s="60" t="inlineStr">
        <is>
          <t>Los Angeles</t>
        </is>
      </c>
      <c r="P15" s="64" t="inlineStr">
        <is>
          <t>hanmi.com</t>
        </is>
      </c>
      <c r="Q15" s="65" t="inlineStr">
        <is>
          <t>Yes</t>
        </is>
      </c>
      <c r="R15" s="64" t="inlineStr">
        <is>
          <t>hanmi.com/business/credit-cards/</t>
        </is>
      </c>
      <c r="S15" s="65" t="inlineStr">
        <is>
          <t>Online</t>
        </is>
      </c>
      <c r="T15" s="60" t="inlineStr">
        <is>
          <t>Elan portal</t>
        </is>
      </c>
      <c r="U15" s="67" t="inlineStr">
        <is>
          <t>No</t>
        </is>
      </c>
      <c r="V15" s="74" t="inlineStr">
        <is>
          <t>Elan Financial Services (U.S. Bank)</t>
        </is>
      </c>
      <c r="W15" s="57" t="inlineStr">
        <is>
          <t>Yes (revolving)</t>
        </is>
      </c>
      <c r="X15" s="67" t="inlineStr">
        <is>
          <t>Verify (Elan menu)</t>
        </is>
      </c>
      <c r="Y15" s="60" t="inlineStr">
        <is>
          <t>Elan business suite; APR/AF per Elan T&amp;C</t>
        </is>
      </c>
      <c r="Z15" s="60" t="inlineStr">
        <is>
          <t>TransUnion (Elan)</t>
        </is>
      </c>
      <c r="AA15" s="60" t="inlineStr">
        <is>
          <t>D&amp;B (delinquency-only)</t>
        </is>
      </c>
      <c r="AB15" s="60" t="inlineStr">
        <is>
          <t>No (delinquency-only)</t>
        </is>
      </c>
      <c r="AC15" s="60" t="inlineStr">
        <is>
          <t>Elan general</t>
        </is>
      </c>
      <c r="AD15" s="64" t="inlineStr">
        <is>
          <t>stacking.capital</t>
        </is>
      </c>
      <c r="AE15" s="60" t="inlineStr">
        <is>
          <t>No (Elan card)</t>
        </is>
      </c>
      <c r="AF15" s="60" t="inlineStr">
        <is>
          <t>No - SBA/CRE/C&amp;I underwritten</t>
        </is>
      </c>
      <c r="AG15" s="60" t="inlineStr">
        <is>
          <t>Issuer VERIFIED (Elan). Earlier 'Fifth Third' web result was wrong.</t>
        </is>
      </c>
      <c r="AH15" s="64" t="inlineStr">
        <is>
          <t>hanmi.com/business/credit-cards/</t>
        </is>
      </c>
    </row>
    <row r="16">
      <c r="A16" s="71" t="n">
        <v>15</v>
      </c>
      <c r="B16" s="72" t="inlineStr">
        <is>
          <t>C - Agent-issued card</t>
        </is>
      </c>
      <c r="C16" s="59" t="inlineStr">
        <is>
          <t>Preferred Bank</t>
        </is>
      </c>
      <c r="D16" s="60" t="inlineStr">
        <is>
          <t>3/4 (missing: self-UW)</t>
        </is>
      </c>
      <c r="E16" s="69" t="inlineStr">
        <is>
          <t>Bank</t>
        </is>
      </c>
      <c r="F16" s="61" t="inlineStr">
        <is>
          <t>Yes</t>
        </is>
      </c>
      <c r="G16" s="60" t="inlineStr">
        <is>
          <t>SoCal - LA County</t>
        </is>
      </c>
      <c r="H16" s="62" t="inlineStr">
        <is>
          <t>CA-HQ (Southern California)</t>
        </is>
      </c>
      <c r="I16" s="73" t="inlineStr">
        <is>
          <t>$3k-$15k (est; Elan agent pattern, myFICO)</t>
        </is>
      </c>
      <c r="J16" s="60" t="inlineStr">
        <is>
          <t>$7.47B</t>
        </is>
      </c>
      <c r="K16" s="60" t="inlineStr">
        <is>
          <t>$6.24B</t>
        </is>
      </c>
      <c r="L16" s="60" t="inlineStr">
        <is>
          <t>~12 branches CA + Flushing NY; commercial focus</t>
        </is>
      </c>
      <c r="M16" s="60" t="n">
        <v>85</v>
      </c>
      <c r="N16" s="60" t="inlineStr">
        <is>
          <t>Los Angeles</t>
        </is>
      </c>
      <c r="O16" s="60" t="inlineStr">
        <is>
          <t>Los Angeles</t>
        </is>
      </c>
      <c r="P16" s="64" t="inlineStr">
        <is>
          <t>preferredbank.com</t>
        </is>
      </c>
      <c r="Q16" s="65" t="inlineStr">
        <is>
          <t>Yes</t>
        </is>
      </c>
      <c r="R16" s="64" t="inlineStr">
        <is>
          <t>preferredbank.com/business/loans-and-credit/credit-cards</t>
        </is>
      </c>
      <c r="S16" s="65" t="inlineStr">
        <is>
          <t>Online</t>
        </is>
      </c>
      <c r="T16" s="60" t="inlineStr">
        <is>
          <t>Elan portal</t>
        </is>
      </c>
      <c r="U16" s="67" t="inlineStr">
        <is>
          <t>No</t>
        </is>
      </c>
      <c r="V16" s="74" t="inlineStr">
        <is>
          <t>Elan Financial Services (U.S. Bank)</t>
        </is>
      </c>
      <c r="W16" s="57" t="inlineStr">
        <is>
          <t>Yes (revolving)</t>
        </is>
      </c>
      <c r="X16" s="67" t="inlineStr">
        <is>
          <t>Verify (Elan menu)</t>
        </is>
      </c>
      <c r="Y16" s="60" t="inlineStr">
        <is>
          <t>Elan business suite; APR/AF per Elan T&amp;C</t>
        </is>
      </c>
      <c r="Z16" s="60" t="inlineStr">
        <is>
          <t>TransUnion (Elan)</t>
        </is>
      </c>
      <c r="AA16" s="60" t="inlineStr">
        <is>
          <t>D&amp;B (delinquency-only)</t>
        </is>
      </c>
      <c r="AB16" s="60" t="inlineStr">
        <is>
          <t>No (delinquency-only)</t>
        </is>
      </c>
      <c r="AC16" s="60" t="inlineStr">
        <is>
          <t>Elan general</t>
        </is>
      </c>
      <c r="AD16" s="64" t="inlineStr">
        <is>
          <t>stacking.capital</t>
        </is>
      </c>
      <c r="AE16" s="60" t="inlineStr">
        <is>
          <t>No (Elan card)</t>
        </is>
      </c>
      <c r="AF16" s="60" t="inlineStr">
        <is>
          <t>No - commercial/CRE underwritten</t>
        </is>
      </c>
      <c r="AG16" s="60" t="inlineStr">
        <is>
          <t>Issuer VERIFIED (Elan).</t>
        </is>
      </c>
      <c r="AH16" s="64" t="inlineStr">
        <is>
          <t>preferredbank.com</t>
        </is>
      </c>
    </row>
    <row r="17">
      <c r="A17" s="71" t="n">
        <v>16</v>
      </c>
      <c r="B17" s="72" t="inlineStr">
        <is>
          <t>C - Agent-issued card</t>
        </is>
      </c>
      <c r="C17" s="59" t="inlineStr">
        <is>
          <t>Royal Business Bank</t>
        </is>
      </c>
      <c r="D17" s="60" t="inlineStr">
        <is>
          <t>3/4 (missing: self-UW)</t>
        </is>
      </c>
      <c r="E17" s="69" t="inlineStr">
        <is>
          <t>Bank</t>
        </is>
      </c>
      <c r="F17" s="61" t="inlineStr">
        <is>
          <t>Yes</t>
        </is>
      </c>
      <c r="G17" s="60" t="inlineStr">
        <is>
          <t>SoCal - LA County</t>
        </is>
      </c>
      <c r="H17" s="62" t="inlineStr">
        <is>
          <t>CA-HQ (Southern California)</t>
        </is>
      </c>
      <c r="I17" s="73" t="inlineStr">
        <is>
          <t>$3k-$15k (est; Elan agent pattern, myFICO)</t>
        </is>
      </c>
      <c r="J17" s="60" t="inlineStr">
        <is>
          <t>$4.20B</t>
        </is>
      </c>
      <c r="K17" s="60" t="inlineStr">
        <is>
          <t>$3.42B</t>
        </is>
      </c>
      <c r="L17" s="60" t="inlineStr">
        <is>
          <t>CA + NV/NY/IL/NJ/HI; Chinese-American focus</t>
        </is>
      </c>
      <c r="M17" s="60" t="n">
        <v>85</v>
      </c>
      <c r="N17" s="60" t="inlineStr">
        <is>
          <t>Los Angeles</t>
        </is>
      </c>
      <c r="O17" s="60" t="inlineStr">
        <is>
          <t>Los Angeles</t>
        </is>
      </c>
      <c r="P17" s="64" t="inlineStr">
        <is>
          <t>royalbusinessbankusa.com</t>
        </is>
      </c>
      <c r="Q17" s="65" t="inlineStr">
        <is>
          <t>Yes</t>
        </is>
      </c>
      <c r="R17" s="64" t="inlineStr">
        <is>
          <t>royalbusinessbankusa.com/service/business-banking-services/</t>
        </is>
      </c>
      <c r="S17" s="65" t="inlineStr">
        <is>
          <t>Online</t>
        </is>
      </c>
      <c r="T17" s="60" t="inlineStr">
        <is>
          <t>Elan portal</t>
        </is>
      </c>
      <c r="U17" s="67" t="inlineStr">
        <is>
          <t>No</t>
        </is>
      </c>
      <c r="V17" s="74" t="inlineStr">
        <is>
          <t>Elan Financial Services (U.S. Bank)</t>
        </is>
      </c>
      <c r="W17" s="57" t="inlineStr">
        <is>
          <t>Yes (revolving)</t>
        </is>
      </c>
      <c r="X17" s="67" t="inlineStr">
        <is>
          <t>Verify (Elan menu)</t>
        </is>
      </c>
      <c r="Y17" s="60" t="inlineStr">
        <is>
          <t>Elan business suite (Visa + Mastercard); APR/AF per Elan T&amp;C</t>
        </is>
      </c>
      <c r="Z17" s="60" t="inlineStr">
        <is>
          <t>TransUnion (Elan)</t>
        </is>
      </c>
      <c r="AA17" s="60" t="inlineStr">
        <is>
          <t>D&amp;B (delinquency-only)</t>
        </is>
      </c>
      <c r="AB17" s="60" t="inlineStr">
        <is>
          <t>No (delinquency-only)</t>
        </is>
      </c>
      <c r="AC17" s="60" t="inlineStr">
        <is>
          <t>Elan general</t>
        </is>
      </c>
      <c r="AD17" s="64" t="inlineStr">
        <is>
          <t>stacking.capital</t>
        </is>
      </c>
      <c r="AE17" s="60" t="inlineStr">
        <is>
          <t>No (Elan card)</t>
        </is>
      </c>
      <c r="AF17" s="60" t="inlineStr">
        <is>
          <t>No - commercial/SBA underwritten</t>
        </is>
      </c>
      <c r="AG17" s="60" t="inlineStr">
        <is>
          <t>Issuer VERIFIED (Elan).</t>
        </is>
      </c>
      <c r="AH17" s="64" t="inlineStr">
        <is>
          <t>royalbusinessbankusa.com</t>
        </is>
      </c>
    </row>
    <row r="18">
      <c r="A18" s="71" t="n">
        <v>17</v>
      </c>
      <c r="B18" s="72" t="inlineStr">
        <is>
          <t>C - Agent-issued card</t>
        </is>
      </c>
      <c r="C18" s="59" t="inlineStr">
        <is>
          <t>Premier America Credit Union</t>
        </is>
      </c>
      <c r="D18" s="60" t="inlineStr">
        <is>
          <t>3/4 (missing: self-UW)</t>
        </is>
      </c>
      <c r="E18" s="61" t="inlineStr">
        <is>
          <t>Credit Union</t>
        </is>
      </c>
      <c r="F18" s="61" t="inlineStr">
        <is>
          <t>Yes</t>
        </is>
      </c>
      <c r="G18" s="60" t="inlineStr">
        <is>
          <t>SoCal - LA County</t>
        </is>
      </c>
      <c r="H18" s="62" t="inlineStr">
        <is>
          <t>CA-HQ (Southern California)</t>
        </is>
      </c>
      <c r="I18" s="73" t="inlineStr">
        <is>
          <t>$3k-$15k (est; Elan agent pattern, myFICO)</t>
        </is>
      </c>
      <c r="J18" s="60" t="inlineStr">
        <is>
          <t>~$3.5B</t>
        </is>
      </c>
      <c r="K18" s="60" t="inlineStr">
        <is>
          <t>~$3B (shares)</t>
        </is>
      </c>
      <c r="L18" s="60" t="inlineStr">
        <is>
          <t>LA (West SF Valley) + TX; association membership path</t>
        </is>
      </c>
      <c r="M18" s="60" t="n">
        <v>85</v>
      </c>
      <c r="N18" s="60" t="inlineStr">
        <is>
          <t>Chatsworth</t>
        </is>
      </c>
      <c r="O18" s="60" t="inlineStr">
        <is>
          <t>Los Angeles</t>
        </is>
      </c>
      <c r="P18" s="64" t="inlineStr">
        <is>
          <t>premieramerica.com</t>
        </is>
      </c>
      <c r="Q18" s="65" t="inlineStr">
        <is>
          <t>Yes</t>
        </is>
      </c>
      <c r="R18" s="64" t="inlineStr">
        <is>
          <t>premieramerica.com/business/loans/business-mastercard</t>
        </is>
      </c>
      <c r="S18" s="65" t="inlineStr">
        <is>
          <t>Online</t>
        </is>
      </c>
      <c r="T18" s="60" t="inlineStr">
        <is>
          <t>Elan portal (inferred)</t>
        </is>
      </c>
      <c r="U18" s="67" t="inlineStr">
        <is>
          <t>No</t>
        </is>
      </c>
      <c r="V18" s="74" t="inlineStr">
        <is>
          <t>Elan Financial Services (U.S. Bank)</t>
        </is>
      </c>
      <c r="W18" s="57" t="inlineStr">
        <is>
          <t>Yes (revolving)</t>
        </is>
      </c>
      <c r="X18" s="67" t="inlineStr">
        <is>
          <t>Verify (Elan menu)</t>
        </is>
      </c>
      <c r="Y18" s="60" t="inlineStr">
        <is>
          <t>Elan business Mastercard; APR/AF per Elan T&amp;C</t>
        </is>
      </c>
      <c r="Z18" s="60" t="inlineStr">
        <is>
          <t>TransUnion (Elan)</t>
        </is>
      </c>
      <c r="AA18" s="60" t="inlineStr">
        <is>
          <t>D&amp;B (delinquency-only)</t>
        </is>
      </c>
      <c r="AB18" s="60" t="inlineStr">
        <is>
          <t>No (delinquency-only)</t>
        </is>
      </c>
      <c r="AC18" s="60" t="inlineStr">
        <is>
          <t>Elan general</t>
        </is>
      </c>
      <c r="AD18" s="64" t="inlineStr">
        <is>
          <t>stacking.capital</t>
        </is>
      </c>
      <c r="AE18" s="60" t="inlineStr">
        <is>
          <t>Membership req (assoc. path); Elan card</t>
        </is>
      </c>
      <c r="AF18" s="60" t="inlineStr">
        <is>
          <t>No - business lending underwritten</t>
        </is>
      </c>
      <c r="AG18" s="60" t="inlineStr">
        <is>
          <t>Business card is ELAN-issued (agent), VERIFIED. Self-files only consumer agreements.</t>
        </is>
      </c>
      <c r="AH18" s="64" t="inlineStr">
        <is>
          <t>premieramerica.com/business/loans/business-mastercard</t>
        </is>
      </c>
    </row>
    <row r="19">
      <c r="A19" s="71" t="n">
        <v>18</v>
      </c>
      <c r="B19" s="72" t="inlineStr">
        <is>
          <t>C - Agent-issued card</t>
        </is>
      </c>
      <c r="C19" s="59" t="inlineStr">
        <is>
          <t>PCB Bank</t>
        </is>
      </c>
      <c r="D19" s="60" t="inlineStr">
        <is>
          <t>3/4 (missing: self-UW)</t>
        </is>
      </c>
      <c r="E19" s="69" t="inlineStr">
        <is>
          <t>Bank</t>
        </is>
      </c>
      <c r="F19" s="61" t="inlineStr">
        <is>
          <t>Yes</t>
        </is>
      </c>
      <c r="G19" s="60" t="inlineStr">
        <is>
          <t>SoCal - LA County</t>
        </is>
      </c>
      <c r="H19" s="62" t="inlineStr">
        <is>
          <t>CA-HQ (Southern California)</t>
        </is>
      </c>
      <c r="I19" s="73" t="inlineStr">
        <is>
          <t>$3k-$15k (est; Elan agent pattern, myFICO)</t>
        </is>
      </c>
      <c r="J19" s="60" t="inlineStr">
        <is>
          <t>$3.36B</t>
        </is>
      </c>
      <c r="K19" s="60" t="inlineStr">
        <is>
          <t>$2.92B</t>
        </is>
      </c>
      <c r="L19" s="60" t="inlineStr">
        <is>
          <t>CA + multi-state; Korean-American focus</t>
        </is>
      </c>
      <c r="M19" s="60" t="n">
        <v>85</v>
      </c>
      <c r="N19" s="60" t="inlineStr">
        <is>
          <t>Los Angeles</t>
        </is>
      </c>
      <c r="O19" s="60" t="inlineStr">
        <is>
          <t>Los Angeles</t>
        </is>
      </c>
      <c r="P19" s="64" t="inlineStr">
        <is>
          <t>mypcbbank.com</t>
        </is>
      </c>
      <c r="Q19" s="65" t="inlineStr">
        <is>
          <t>Yes</t>
        </is>
      </c>
      <c r="R19" s="64" t="inlineStr">
        <is>
          <t>mypcbbank.com/business/business-credit-cards</t>
        </is>
      </c>
      <c r="S19" s="65" t="inlineStr">
        <is>
          <t>Online</t>
        </is>
      </c>
      <c r="T19" s="60" t="inlineStr">
        <is>
          <t>Elan portal</t>
        </is>
      </c>
      <c r="U19" s="67" t="inlineStr">
        <is>
          <t>No</t>
        </is>
      </c>
      <c r="V19" s="74" t="inlineStr">
        <is>
          <t>Elan Financial Services (U.S. Bank)</t>
        </is>
      </c>
      <c r="W19" s="57" t="inlineStr">
        <is>
          <t>Yes (revolving)</t>
        </is>
      </c>
      <c r="X19" s="67" t="inlineStr">
        <is>
          <t>Verify (Elan menu)</t>
        </is>
      </c>
      <c r="Y19" s="60" t="inlineStr">
        <is>
          <t>Elan business suite; APR/AF per Elan T&amp;C</t>
        </is>
      </c>
      <c r="Z19" s="60" t="inlineStr">
        <is>
          <t>TransUnion (Elan)</t>
        </is>
      </c>
      <c r="AA19" s="60" t="inlineStr">
        <is>
          <t>D&amp;B (delinquency-only)</t>
        </is>
      </c>
      <c r="AB19" s="60" t="inlineStr">
        <is>
          <t>No (delinquency-only)</t>
        </is>
      </c>
      <c r="AC19" s="60" t="inlineStr">
        <is>
          <t>Elan general</t>
        </is>
      </c>
      <c r="AD19" s="64" t="inlineStr">
        <is>
          <t>stacking.capital</t>
        </is>
      </c>
      <c r="AE19" s="60" t="inlineStr">
        <is>
          <t>No (Elan card)</t>
        </is>
      </c>
      <c r="AF19" s="60" t="inlineStr">
        <is>
          <t>No - commercial/SBA underwritten</t>
        </is>
      </c>
      <c r="AG19" s="60" t="inlineStr">
        <is>
          <t>Issuer VERIFIED (Elan).</t>
        </is>
      </c>
      <c r="AH19" s="64" t="inlineStr">
        <is>
          <t>mypcbbank.com/business/business-credit-cards</t>
        </is>
      </c>
    </row>
    <row r="20">
      <c r="A20" s="71" t="n">
        <v>19</v>
      </c>
      <c r="B20" s="72" t="inlineStr">
        <is>
          <t>C - Agent-issued card</t>
        </is>
      </c>
      <c r="C20" s="59" t="inlineStr">
        <is>
          <t>Open Bank</t>
        </is>
      </c>
      <c r="D20" s="60" t="inlineStr">
        <is>
          <t>3/4 (missing: self-UW)</t>
        </is>
      </c>
      <c r="E20" s="69" t="inlineStr">
        <is>
          <t>Bank</t>
        </is>
      </c>
      <c r="F20" s="61" t="inlineStr">
        <is>
          <t>Yes</t>
        </is>
      </c>
      <c r="G20" s="60" t="inlineStr">
        <is>
          <t>SoCal - LA County</t>
        </is>
      </c>
      <c r="H20" s="62" t="inlineStr">
        <is>
          <t>CA-HQ (Southern California)</t>
        </is>
      </c>
      <c r="I20" s="73" t="inlineStr">
        <is>
          <t>$3k-$15k (est; Elan agent pattern, myFICO)</t>
        </is>
      </c>
      <c r="J20" s="60" t="inlineStr">
        <is>
          <t>$2.61B</t>
        </is>
      </c>
      <c r="K20" s="60" t="inlineStr">
        <is>
          <t>$2.28B</t>
        </is>
      </c>
      <c r="L20" s="60" t="inlineStr">
        <is>
          <t>LA + multi-state; Korean-American focus</t>
        </is>
      </c>
      <c r="M20" s="60" t="n">
        <v>83</v>
      </c>
      <c r="N20" s="60" t="inlineStr">
        <is>
          <t>Los Angeles</t>
        </is>
      </c>
      <c r="O20" s="60" t="inlineStr">
        <is>
          <t>Los Angeles</t>
        </is>
      </c>
      <c r="P20" s="64" t="inlineStr">
        <is>
          <t>myopenbank.com</t>
        </is>
      </c>
      <c r="Q20" s="65" t="inlineStr">
        <is>
          <t>Yes</t>
        </is>
      </c>
      <c r="R20" s="64" t="inlineStr">
        <is>
          <t>myopenbank.com/additional-services/</t>
        </is>
      </c>
      <c r="S20" s="65" t="inlineStr">
        <is>
          <t>Online</t>
        </is>
      </c>
      <c r="T20" s="60" t="inlineStr">
        <is>
          <t>Elan portal (creditcardlearnmore.com)</t>
        </is>
      </c>
      <c r="U20" s="67" t="inlineStr">
        <is>
          <t>No</t>
        </is>
      </c>
      <c r="V20" s="74" t="inlineStr">
        <is>
          <t>Elan Financial Services (U.S. Bank)</t>
        </is>
      </c>
      <c r="W20" s="57" t="inlineStr">
        <is>
          <t>Yes (revolving)</t>
        </is>
      </c>
      <c r="X20" s="67" t="inlineStr">
        <is>
          <t>Verify (Elan menu)</t>
        </is>
      </c>
      <c r="Y20" s="60" t="inlineStr">
        <is>
          <t>Elan business suite; APR/AF per Elan T&amp;C</t>
        </is>
      </c>
      <c r="Z20" s="60" t="inlineStr">
        <is>
          <t>TransUnion (Elan)</t>
        </is>
      </c>
      <c r="AA20" s="60" t="inlineStr">
        <is>
          <t>D&amp;B (delinquency-only)</t>
        </is>
      </c>
      <c r="AB20" s="60" t="inlineStr">
        <is>
          <t>No (delinquency-only)</t>
        </is>
      </c>
      <c r="AC20" s="60" t="inlineStr">
        <is>
          <t>Elan general</t>
        </is>
      </c>
      <c r="AD20" s="64" t="inlineStr">
        <is>
          <t>stacking.capital</t>
        </is>
      </c>
      <c r="AE20" s="60" t="inlineStr">
        <is>
          <t>No (Elan card)</t>
        </is>
      </c>
      <c r="AF20" s="60" t="inlineStr">
        <is>
          <t>No - commercial/SBA underwritten</t>
        </is>
      </c>
      <c r="AG20" s="60" t="inlineStr">
        <is>
          <t>Issuer VERIFIED (Elan).</t>
        </is>
      </c>
      <c r="AH20" s="64" t="inlineStr">
        <is>
          <t>myopenbank.com/additional-services/</t>
        </is>
      </c>
    </row>
    <row r="21" ht="15.75" customHeight="1">
      <c r="A21" s="71" t="n">
        <v>20</v>
      </c>
      <c r="B21" s="72" t="inlineStr">
        <is>
          <t>C - Agent-issued card</t>
        </is>
      </c>
      <c r="C21" s="59" t="inlineStr">
        <is>
          <t>Provident Bank (Provident Savings)</t>
        </is>
      </c>
      <c r="D21" s="60" t="inlineStr">
        <is>
          <t>3/4 (missing: self-UW)</t>
        </is>
      </c>
      <c r="E21" s="69" t="inlineStr">
        <is>
          <t>Bank</t>
        </is>
      </c>
      <c r="F21" s="61" t="inlineStr">
        <is>
          <t>Yes</t>
        </is>
      </c>
      <c r="G21" s="60" t="inlineStr">
        <is>
          <t>SoCal - Inland Empire</t>
        </is>
      </c>
      <c r="H21" s="62" t="inlineStr">
        <is>
          <t>CA-HQ (Southern California)</t>
        </is>
      </c>
      <c r="I21" s="73" t="inlineStr">
        <is>
          <t>$3k-$15k (est; Elan agent pattern, myFICO)</t>
        </is>
      </c>
      <c r="J21" s="60" t="inlineStr">
        <is>
          <t>$1.23B</t>
        </is>
      </c>
      <c r="K21" s="60" t="inlineStr">
        <is>
          <t>$0.89B</t>
        </is>
      </c>
      <c r="L21" s="60" t="inlineStr">
        <is>
          <t>Inland Empire (Riverside/San Bernardino); thrift</t>
        </is>
      </c>
      <c r="M21" s="60" t="n">
        <v>83</v>
      </c>
      <c r="N21" s="60" t="inlineStr">
        <is>
          <t>Riverside</t>
        </is>
      </c>
      <c r="O21" s="60" t="inlineStr">
        <is>
          <t>Riverside</t>
        </is>
      </c>
      <c r="P21" s="64" t="inlineStr">
        <is>
          <t>myprovident.com</t>
        </is>
      </c>
      <c r="Q21" s="65" t="inlineStr">
        <is>
          <t>Yes</t>
        </is>
      </c>
      <c r="R21" s="64" t="inlineStr">
        <is>
          <t>myprovident.com/creditcard/</t>
        </is>
      </c>
      <c r="S21" s="65" t="inlineStr">
        <is>
          <t>Online</t>
        </is>
      </c>
      <c r="T21" s="60" t="inlineStr">
        <is>
          <t>Elan portal</t>
        </is>
      </c>
      <c r="U21" s="67" t="inlineStr">
        <is>
          <t>No</t>
        </is>
      </c>
      <c r="V21" s="74" t="inlineStr">
        <is>
          <t>Elan Financial Services (U.S. Bank)</t>
        </is>
      </c>
      <c r="W21" s="57" t="inlineStr">
        <is>
          <t>Yes (revolving)</t>
        </is>
      </c>
      <c r="X21" s="67" t="inlineStr">
        <is>
          <t>Verify (Elan menu)</t>
        </is>
      </c>
      <c r="Y21" s="60" t="inlineStr">
        <is>
          <t>Elan business suite; APR/AF per Elan T&amp;C</t>
        </is>
      </c>
      <c r="Z21" s="60" t="inlineStr">
        <is>
          <t>TransUnion (Elan)</t>
        </is>
      </c>
      <c r="AA21" s="60" t="inlineStr">
        <is>
          <t>D&amp;B (delinquency-only)</t>
        </is>
      </c>
      <c r="AB21" s="60" t="inlineStr">
        <is>
          <t>No (delinquency-only)</t>
        </is>
      </c>
      <c r="AC21" s="60" t="inlineStr">
        <is>
          <t>Elan general</t>
        </is>
      </c>
      <c r="AD21" s="64" t="inlineStr">
        <is>
          <t>stacking.capital</t>
        </is>
      </c>
      <c r="AE21" s="60" t="inlineStr">
        <is>
          <t>No (Elan card)</t>
        </is>
      </c>
      <c r="AF21" s="60" t="inlineStr">
        <is>
          <t>No - mortgage/commercial underwritten</t>
        </is>
      </c>
      <c r="AG21" s="60" t="inlineStr">
        <is>
          <t>Issuer VERIFIED (Elan, 'creditor and issuer' line).</t>
        </is>
      </c>
      <c r="AH21" s="64" t="inlineStr">
        <is>
          <t>myprovident.com/creditcard/</t>
        </is>
      </c>
    </row>
    <row r="22" ht="15.75" customHeight="1">
      <c r="A22" s="71" t="n">
        <v>21</v>
      </c>
      <c r="B22" s="72" t="inlineStr">
        <is>
          <t>C - Agent-issued card</t>
        </is>
      </c>
      <c r="C22" s="59" t="inlineStr">
        <is>
          <t>EverTrust Bank</t>
        </is>
      </c>
      <c r="D22" s="60" t="inlineStr">
        <is>
          <t>3/4 (missing: self-UW)</t>
        </is>
      </c>
      <c r="E22" s="69" t="inlineStr">
        <is>
          <t>Bank</t>
        </is>
      </c>
      <c r="F22" s="61" t="inlineStr">
        <is>
          <t>Yes</t>
        </is>
      </c>
      <c r="G22" s="60" t="inlineStr">
        <is>
          <t>SoCal - LA County</t>
        </is>
      </c>
      <c r="H22" s="62" t="inlineStr">
        <is>
          <t>CA-HQ (Southern California)</t>
        </is>
      </c>
      <c r="I22" s="73" t="inlineStr">
        <is>
          <t>$3k-$15k (est; Elan agent pattern, myFICO)</t>
        </is>
      </c>
      <c r="J22" s="60" t="inlineStr">
        <is>
          <t>$1.09B</t>
        </is>
      </c>
      <c r="K22" s="60" t="inlineStr">
        <is>
          <t>$0.82B</t>
        </is>
      </c>
      <c r="L22" s="60" t="inlineStr">
        <is>
          <t>San Gabriel Valley + multi-state; Chinese-American focus</t>
        </is>
      </c>
      <c r="M22" s="60" t="n">
        <v>83</v>
      </c>
      <c r="N22" s="60" t="inlineStr">
        <is>
          <t>City of Industry</t>
        </is>
      </c>
      <c r="O22" s="60" t="inlineStr">
        <is>
          <t>Los Angeles</t>
        </is>
      </c>
      <c r="P22" s="64" t="inlineStr">
        <is>
          <t>evertrustbank.com</t>
        </is>
      </c>
      <c r="Q22" s="65" t="inlineStr">
        <is>
          <t>Yes</t>
        </is>
      </c>
      <c r="R22" s="64" t="inlineStr">
        <is>
          <t>evertrustbank.com/Business/Visa-Credit-Cards</t>
        </is>
      </c>
      <c r="S22" s="65" t="inlineStr">
        <is>
          <t>Online</t>
        </is>
      </c>
      <c r="T22" s="60" t="inlineStr">
        <is>
          <t>Elan portal (creditcardlearnmore.com)</t>
        </is>
      </c>
      <c r="U22" s="67" t="inlineStr">
        <is>
          <t>No</t>
        </is>
      </c>
      <c r="V22" s="74" t="inlineStr">
        <is>
          <t>Elan Financial Services (U.S. Bank)</t>
        </is>
      </c>
      <c r="W22" s="57" t="inlineStr">
        <is>
          <t>Yes (revolving)</t>
        </is>
      </c>
      <c r="X22" s="67" t="inlineStr">
        <is>
          <t>Verify (Elan menu)</t>
        </is>
      </c>
      <c r="Y22" s="60" t="inlineStr">
        <is>
          <t>Elan business suite; APR/AF per Elan T&amp;C</t>
        </is>
      </c>
      <c r="Z22" s="60" t="inlineStr">
        <is>
          <t>TransUnion (Elan)</t>
        </is>
      </c>
      <c r="AA22" s="60" t="inlineStr">
        <is>
          <t>D&amp;B (delinquency-only)</t>
        </is>
      </c>
      <c r="AB22" s="60" t="inlineStr">
        <is>
          <t>No (delinquency-only)</t>
        </is>
      </c>
      <c r="AC22" s="60" t="inlineStr">
        <is>
          <t>Elan general</t>
        </is>
      </c>
      <c r="AD22" s="64" t="inlineStr">
        <is>
          <t>stacking.capital</t>
        </is>
      </c>
      <c r="AE22" s="60" t="inlineStr">
        <is>
          <t>No (Elan card)</t>
        </is>
      </c>
      <c r="AF22" s="60" t="inlineStr">
        <is>
          <t>No - commercial underwritten</t>
        </is>
      </c>
      <c r="AG22" s="60" t="inlineStr">
        <is>
          <t>Issuer VERIFIED (Elan).</t>
        </is>
      </c>
      <c r="AH22" s="64" t="inlineStr">
        <is>
          <t>evertrustbank.com/Business/Visa-Credit-Cards</t>
        </is>
      </c>
    </row>
    <row r="23" ht="15.75" customHeight="1">
      <c r="A23" s="71" t="n">
        <v>22</v>
      </c>
      <c r="B23" s="72" t="inlineStr">
        <is>
          <t>C - Agent-issued card</t>
        </is>
      </c>
      <c r="C23" s="60" t="inlineStr">
        <is>
          <t>Banc of California</t>
        </is>
      </c>
      <c r="D23" s="60" t="inlineStr">
        <is>
          <t>2/4 (missing: self-UW, apply online)</t>
        </is>
      </c>
      <c r="E23" s="69" t="inlineStr">
        <is>
          <t>Bank</t>
        </is>
      </c>
      <c r="F23" s="61" t="inlineStr">
        <is>
          <t>Yes</t>
        </is>
      </c>
      <c r="G23" s="60" t="inlineStr">
        <is>
          <t>SoCal - LA County</t>
        </is>
      </c>
      <c r="H23" s="62" t="inlineStr">
        <is>
          <t>CA-HQ (Southern California)</t>
        </is>
      </c>
      <c r="I23" s="73" t="inlineStr">
        <is>
          <t>$3k-$15k (est; Elan agent pattern, myFICO)</t>
        </is>
      </c>
      <c r="J23" s="60" t="inlineStr">
        <is>
          <t>$33.92B</t>
        </is>
      </c>
      <c r="K23" s="60" t="inlineStr">
        <is>
          <t>$27.34B</t>
        </is>
      </c>
      <c r="L23" s="60" t="inlineStr">
        <is>
          <t>~80 branches, ~74 CA cities; offices Denver CO, Durham NC</t>
        </is>
      </c>
      <c r="M23" s="60" t="n">
        <v>82</v>
      </c>
      <c r="N23" s="60" t="inlineStr">
        <is>
          <t>Los Angeles</t>
        </is>
      </c>
      <c r="O23" s="60" t="inlineStr">
        <is>
          <t>Los Angeles</t>
        </is>
      </c>
      <c r="P23" s="64" t="inlineStr">
        <is>
          <t>bancofcal.com</t>
        </is>
      </c>
      <c r="Q23" s="65" t="inlineStr">
        <is>
          <t>Yes</t>
        </is>
      </c>
      <c r="R23" s="64" t="inlineStr">
        <is>
          <t>bancofcal.com/payment-solutions/business-credit-card/</t>
        </is>
      </c>
      <c r="S23" s="66" t="inlineStr">
        <is>
          <t>Partial online</t>
        </is>
      </c>
      <c r="T23" s="60" t="inlineStr">
        <is>
          <t>online1.elancard.com (Elan); public flow often RM-assisted</t>
        </is>
      </c>
      <c r="U23" s="67" t="inlineStr">
        <is>
          <t>No</t>
        </is>
      </c>
      <c r="V23" s="74" t="inlineStr">
        <is>
          <t>Elan Financial Services (U.S. Bank)</t>
        </is>
      </c>
      <c r="W23" s="57" t="inlineStr">
        <is>
          <t>Yes (revolving)</t>
        </is>
      </c>
      <c r="X23" s="66" t="inlineStr">
        <is>
          <t>Yes - 20 billing cycles (Business Card)</t>
        </is>
      </c>
      <c r="Y23" s="60" t="inlineStr">
        <is>
          <t>Business Card: 0% intro 20 cycles, $0 AF. Business Cash: 3/2/1%, $0 AF. Go-to APR not published</t>
        </is>
      </c>
      <c r="Z23" s="60" t="inlineStr">
        <is>
          <t>TransUnion (Elan)</t>
        </is>
      </c>
      <c r="AA23" s="60" t="inlineStr">
        <is>
          <t>D&amp;B (delinquency-only to personal); SBFE plausible/unconfirmed</t>
        </is>
      </c>
      <c r="AB23" s="60" t="inlineStr">
        <is>
          <t>No (delinquency-only)</t>
        </is>
      </c>
      <c r="AC23" s="60" t="inlineStr">
        <is>
          <t>Elan general: start ~$3k-$10k+; CLI&gt;$25k needs 2yr financials; each app = separate TU pull</t>
        </is>
      </c>
      <c r="AD23" s="64" t="inlineStr">
        <is>
          <t>stacking.capital agent-issuer guide; myFICO Business-Credit</t>
        </is>
      </c>
      <c r="AE23" s="60" t="inlineStr">
        <is>
          <t>No (Elan card)</t>
        </is>
      </c>
      <c r="AF23" s="60" t="inlineStr">
        <is>
          <t>No - LOC/term ($250k-$8M)/SBA underwritten</t>
        </is>
      </c>
      <c r="AG23" s="60" t="inlineStr">
        <is>
          <t>Issuer VERIFIED (Elan). Strong 0% (20-cycle). Go-to APR/SBFE UNKNOWN.</t>
        </is>
      </c>
      <c r="AH23" s="64" t="inlineStr">
        <is>
          <t>bancofcal.com; card.myaccountaccess.com; hustlermoneyblog.com</t>
        </is>
      </c>
    </row>
    <row r="24" ht="15.75" customHeight="1">
      <c r="A24" s="71" t="n">
        <v>23</v>
      </c>
      <c r="B24" s="72" t="inlineStr">
        <is>
          <t>C - Agent-issued card</t>
        </is>
      </c>
      <c r="C24" s="59" t="inlineStr">
        <is>
          <t>First Pacific Bank</t>
        </is>
      </c>
      <c r="D24" s="60" t="inlineStr">
        <is>
          <t>3/4 (missing: self-UW)</t>
        </is>
      </c>
      <c r="E24" s="69" t="inlineStr">
        <is>
          <t>Bank</t>
        </is>
      </c>
      <c r="F24" s="61" t="inlineStr">
        <is>
          <t>Yes</t>
        </is>
      </c>
      <c r="G24" s="60" t="inlineStr">
        <is>
          <t>SoCal - LA County</t>
        </is>
      </c>
      <c r="H24" s="62" t="inlineStr">
        <is>
          <t>CA-HQ (Southern California)</t>
        </is>
      </c>
      <c r="I24" s="73" t="inlineStr">
        <is>
          <t>$3k-$15k (est; Elan agent pattern, myFICO)</t>
        </is>
      </c>
      <c r="J24" s="60" t="inlineStr">
        <is>
          <t>$0.49B</t>
        </is>
      </c>
      <c r="K24" s="60" t="inlineStr">
        <is>
          <t>$0.39B</t>
        </is>
      </c>
      <c r="L24" s="60" t="inlineStr">
        <is>
          <t>LA/OC/SD community bank</t>
        </is>
      </c>
      <c r="M24" s="60" t="n">
        <v>81</v>
      </c>
      <c r="N24" s="60" t="inlineStr">
        <is>
          <t>Whittier</t>
        </is>
      </c>
      <c r="O24" s="60" t="inlineStr">
        <is>
          <t>Los Angeles</t>
        </is>
      </c>
      <c r="P24" s="64" t="inlineStr">
        <is>
          <t>firstpacbank.com</t>
        </is>
      </c>
      <c r="Q24" s="65" t="inlineStr">
        <is>
          <t>Yes</t>
        </is>
      </c>
      <c r="R24" s="64" t="inlineStr">
        <is>
          <t>firstpacbank.com/business-banking/business-loans-and-lines-of-credit/</t>
        </is>
      </c>
      <c r="S24" s="65" t="inlineStr">
        <is>
          <t>Online</t>
        </is>
      </c>
      <c r="T24" s="60" t="inlineStr">
        <is>
          <t>Elan portal (creditcardlearnmore.com)</t>
        </is>
      </c>
      <c r="U24" s="67" t="inlineStr">
        <is>
          <t>No</t>
        </is>
      </c>
      <c r="V24" s="74" t="inlineStr">
        <is>
          <t>Elan Financial Services (U.S. Bank)</t>
        </is>
      </c>
      <c r="W24" s="57" t="inlineStr">
        <is>
          <t>Yes (revolving)</t>
        </is>
      </c>
      <c r="X24" s="67" t="inlineStr">
        <is>
          <t>Verify (Elan menu)</t>
        </is>
      </c>
      <c r="Y24" s="60" t="inlineStr">
        <is>
          <t>Elan business suite; APR/AF per Elan T&amp;C</t>
        </is>
      </c>
      <c r="Z24" s="60" t="inlineStr">
        <is>
          <t>TransUnion (Elan)</t>
        </is>
      </c>
      <c r="AA24" s="60" t="inlineStr">
        <is>
          <t>D&amp;B (delinquency-only)</t>
        </is>
      </c>
      <c r="AB24" s="60" t="inlineStr">
        <is>
          <t>No (delinquency-only)</t>
        </is>
      </c>
      <c r="AC24" s="60" t="inlineStr">
        <is>
          <t>Elan general</t>
        </is>
      </c>
      <c r="AD24" s="64" t="inlineStr">
        <is>
          <t>stacking.capital</t>
        </is>
      </c>
      <c r="AE24" s="60" t="inlineStr">
        <is>
          <t>No (Elan card)</t>
        </is>
      </c>
      <c r="AF24" s="60" t="inlineStr">
        <is>
          <t>No - commercial/SBA underwritten</t>
        </is>
      </c>
      <c r="AG24" s="60" t="inlineStr">
        <is>
          <t>Issuer VERIFIED (Elan, on-page 'creditor and issuer').</t>
        </is>
      </c>
      <c r="AH24" s="64" t="inlineStr">
        <is>
          <t>firstpacbank.com</t>
        </is>
      </c>
    </row>
    <row r="25" ht="15.75" customHeight="1">
      <c r="A25" s="57" t="n">
        <v>24</v>
      </c>
      <c r="B25" s="72" t="inlineStr">
        <is>
          <t>C - Agent-issued card</t>
        </is>
      </c>
      <c r="C25" s="59" t="inlineStr">
        <is>
          <t>Farmers &amp; Merchants Bank of Long Beach</t>
        </is>
      </c>
      <c r="D25" s="60" t="inlineStr">
        <is>
          <t>3/4 (missing: self-UW)</t>
        </is>
      </c>
      <c r="E25" s="69" t="inlineStr">
        <is>
          <t>Bank</t>
        </is>
      </c>
      <c r="F25" s="61" t="inlineStr">
        <is>
          <t>Yes</t>
        </is>
      </c>
      <c r="G25" s="60" t="inlineStr">
        <is>
          <t>SoCal - LA County</t>
        </is>
      </c>
      <c r="H25" s="62" t="inlineStr">
        <is>
          <t>CA-HQ (Southern California)</t>
        </is>
      </c>
      <c r="I25" s="63" t="inlineStr">
        <is>
          <t>$3k-$15k (est; agent program)</t>
        </is>
      </c>
      <c r="J25" s="60" t="inlineStr">
        <is>
          <t>$11.62B</t>
        </is>
      </c>
      <c r="K25" s="60" t="inlineStr">
        <is>
          <t>$8.87B</t>
        </is>
      </c>
      <c r="L25" s="60" t="inlineStr">
        <is>
          <t>~25 branches, LA/Orange County; founded 1907</t>
        </is>
      </c>
      <c r="M25" s="60" t="n">
        <v>79</v>
      </c>
      <c r="N25" s="60" t="inlineStr">
        <is>
          <t>Long Beach</t>
        </is>
      </c>
      <c r="O25" s="60" t="inlineStr">
        <is>
          <t>Los Angeles</t>
        </is>
      </c>
      <c r="P25" s="64" t="inlineStr">
        <is>
          <t>fandm.bank</t>
        </is>
      </c>
      <c r="Q25" s="65" t="inlineStr">
        <is>
          <t>Yes</t>
        </is>
      </c>
      <c r="R25" s="64" t="inlineStr">
        <is>
          <t>fandm.bank/business/credit-cards</t>
        </is>
      </c>
      <c r="S25" s="65" t="inlineStr">
        <is>
          <t>Online</t>
        </is>
      </c>
      <c r="T25" s="60" t="inlineStr">
        <is>
          <t>fandm.bank (ServisFirst platform)</t>
        </is>
      </c>
      <c r="U25" s="67" t="inlineStr">
        <is>
          <t>No</t>
        </is>
      </c>
      <c r="V25" s="58" t="inlineStr">
        <is>
          <t>ServisFirst Bank (agent)</t>
        </is>
      </c>
      <c r="W25" s="57" t="inlineStr">
        <is>
          <t>Yes (revolving)</t>
        </is>
      </c>
      <c r="X25" s="67" t="inlineStr">
        <is>
          <t>Verify</t>
        </is>
      </c>
      <c r="Y25" s="60" t="inlineStr">
        <is>
          <t>ServisFirst-issued business cards; APR/AF per ServisFirst T&amp;C</t>
        </is>
      </c>
      <c r="Z25" s="60" t="inlineStr">
        <is>
          <t>Unknown (ServisFirst)</t>
        </is>
      </c>
      <c r="AA25" s="60" t="inlineStr">
        <is>
          <t>Unknown</t>
        </is>
      </c>
      <c r="AB25" s="60" t="inlineStr">
        <is>
          <t>Unknown</t>
        </is>
      </c>
      <c r="AC25" s="60" t="inlineStr">
        <is>
          <t>None found</t>
        </is>
      </c>
      <c r="AD25" s="60" t="inlineStr">
        <is>
          <t>-</t>
        </is>
      </c>
      <c r="AE25" s="60" t="inlineStr">
        <is>
          <t>Verify</t>
        </is>
      </c>
      <c r="AF25" s="60" t="inlineStr">
        <is>
          <t>No - commercial/CRE underwritten</t>
        </is>
      </c>
      <c r="AG25" s="60" t="inlineStr">
        <is>
          <t>Issuer = ServisFirst Bank (agent), VERIFIED. Not self-issued.</t>
        </is>
      </c>
      <c r="AH25" s="64" t="inlineStr">
        <is>
          <t>fandm.bank/business/credit-cards</t>
        </is>
      </c>
    </row>
    <row r="26" ht="15.75" customHeight="1">
      <c r="A26" s="71" t="n">
        <v>25</v>
      </c>
      <c r="B26" s="72" t="inlineStr">
        <is>
          <t>C - Agent-issued card</t>
        </is>
      </c>
      <c r="C26" s="59" t="inlineStr">
        <is>
          <t>Beach Cities Commercial Bank</t>
        </is>
      </c>
      <c r="D26" s="60" t="inlineStr">
        <is>
          <t>3/4 (missing: self-UW)</t>
        </is>
      </c>
      <c r="E26" s="69" t="inlineStr">
        <is>
          <t>Bank</t>
        </is>
      </c>
      <c r="F26" s="61" t="inlineStr">
        <is>
          <t>Yes</t>
        </is>
      </c>
      <c r="G26" s="60" t="inlineStr">
        <is>
          <t>SoCal - Orange County</t>
        </is>
      </c>
      <c r="H26" s="62" t="inlineStr">
        <is>
          <t>CA-HQ (Southern California)</t>
        </is>
      </c>
      <c r="I26" s="73" t="inlineStr">
        <is>
          <t>$3k-$15k (est; Elan agent pattern, myFICO)</t>
        </is>
      </c>
      <c r="J26" s="60" t="inlineStr">
        <is>
          <t>$0.16B</t>
        </is>
      </c>
      <c r="K26" s="60" t="inlineStr">
        <is>
          <t>$0.13B</t>
        </is>
      </c>
      <c r="L26" s="60" t="inlineStr">
        <is>
          <t>Orange County commercial bank</t>
        </is>
      </c>
      <c r="M26" s="60" t="n">
        <v>78</v>
      </c>
      <c r="N26" s="60" t="inlineStr">
        <is>
          <t>Irvine</t>
        </is>
      </c>
      <c r="O26" s="60" t="inlineStr">
        <is>
          <t>Orange</t>
        </is>
      </c>
      <c r="P26" s="64" t="inlineStr">
        <is>
          <t>beachcitiescb.com</t>
        </is>
      </c>
      <c r="Q26" s="65" t="inlineStr">
        <is>
          <t>Yes</t>
        </is>
      </c>
      <c r="R26" s="64" t="inlineStr">
        <is>
          <t>beachcitiescb.com/Card-Solutions/</t>
        </is>
      </c>
      <c r="S26" s="65" t="inlineStr">
        <is>
          <t>Online</t>
        </is>
      </c>
      <c r="T26" s="60" t="inlineStr">
        <is>
          <t>Elan portal (redirect)</t>
        </is>
      </c>
      <c r="U26" s="67" t="inlineStr">
        <is>
          <t>No</t>
        </is>
      </c>
      <c r="V26" s="74" t="inlineStr">
        <is>
          <t>Elan Financial Services (U.S. Bank)</t>
        </is>
      </c>
      <c r="W26" s="57" t="inlineStr">
        <is>
          <t>Yes (revolving)</t>
        </is>
      </c>
      <c r="X26" s="66" t="inlineStr">
        <is>
          <t>Yes - ZERO+ card (length not public)</t>
        </is>
      </c>
      <c r="Y26" s="60" t="inlineStr">
        <is>
          <t>Agent-issued; APR/AF per issuer T&amp;C (not on page)</t>
        </is>
      </c>
      <c r="Z26" s="60" t="inlineStr">
        <is>
          <t>TransUnion (Elan)</t>
        </is>
      </c>
      <c r="AA26" s="60" t="inlineStr">
        <is>
          <t>D&amp;B (delinquency-only)</t>
        </is>
      </c>
      <c r="AB26" s="60" t="inlineStr">
        <is>
          <t>No (delinquency-only)</t>
        </is>
      </c>
      <c r="AC26" s="60" t="inlineStr">
        <is>
          <t>None found (small agent program)</t>
        </is>
      </c>
      <c r="AD26" s="60" t="inlineStr">
        <is>
          <t>-</t>
        </is>
      </c>
      <c r="AE26" s="60" t="inlineStr">
        <is>
          <t>No (agent card)</t>
        </is>
      </c>
      <c r="AF26" s="60" t="inlineStr">
        <is>
          <t>No - commercial/SBA underwritten</t>
        </is>
      </c>
      <c r="AG26" s="60" t="inlineStr">
        <is>
          <t>Issuer = Elan VERIFIED. Offers Business ZERO+ (0% intro; length behind Elan wall).</t>
        </is>
      </c>
      <c r="AH26" s="64" t="inlineStr">
        <is>
          <t>beachcitiescb.com/Card-Solutions/</t>
        </is>
      </c>
    </row>
    <row r="27" ht="15.75" customHeight="1">
      <c r="A27" s="75" t="n">
        <v>26</v>
      </c>
      <c r="B27" s="72" t="inlineStr">
        <is>
          <t>C - Agent-issued card</t>
        </is>
      </c>
      <c r="C27" s="59" t="inlineStr">
        <is>
          <t>American Plus Bank</t>
        </is>
      </c>
      <c r="D27" s="60" t="inlineStr">
        <is>
          <t>3/4 (missing: self-UW)</t>
        </is>
      </c>
      <c r="E27" s="69" t="inlineStr">
        <is>
          <t>Bank</t>
        </is>
      </c>
      <c r="F27" s="61" t="inlineStr">
        <is>
          <t>Yes</t>
        </is>
      </c>
      <c r="G27" s="60" t="inlineStr">
        <is>
          <t>SoCal - LA County</t>
        </is>
      </c>
      <c r="H27" s="62" t="inlineStr">
        <is>
          <t>CA-HQ (Southern California)</t>
        </is>
      </c>
      <c r="I27" s="76" t="inlineStr">
        <is>
          <t>$2k-$10k (est; TCM community-bank pattern)</t>
        </is>
      </c>
      <c r="J27" s="60" t="inlineStr">
        <is>
          <t>$0.86B</t>
        </is>
      </c>
      <c r="K27" s="60" t="inlineStr">
        <is>
          <t>$0.71B</t>
        </is>
      </c>
      <c r="L27" s="60" t="inlineStr">
        <is>
          <t>San Gabriel Valley; Chinese-American focus</t>
        </is>
      </c>
      <c r="M27" s="60" t="n">
        <v>75</v>
      </c>
      <c r="N27" s="60" t="inlineStr">
        <is>
          <t>Arcadia</t>
        </is>
      </c>
      <c r="O27" s="60" t="inlineStr">
        <is>
          <t>Los Angeles</t>
        </is>
      </c>
      <c r="P27" s="64" t="inlineStr">
        <is>
          <t>bankaplus.com</t>
        </is>
      </c>
      <c r="Q27" s="65" t="inlineStr">
        <is>
          <t>Yes</t>
        </is>
      </c>
      <c r="R27" s="64" t="inlineStr">
        <is>
          <t>bankaplus.com/Credit-Cards</t>
        </is>
      </c>
      <c r="S27" s="65" t="inlineStr">
        <is>
          <t>Online</t>
        </is>
      </c>
      <c r="T27" s="60" t="inlineStr">
        <is>
          <t>mycommunitycc.com (TCM portal)</t>
        </is>
      </c>
      <c r="U27" s="67" t="inlineStr">
        <is>
          <t>No</t>
        </is>
      </c>
      <c r="V27" s="77" t="inlineStr">
        <is>
          <t>TCM Bank, N.A. (ICBA)</t>
        </is>
      </c>
      <c r="W27" s="57" t="inlineStr">
        <is>
          <t>Yes (revolving)</t>
        </is>
      </c>
      <c r="X27" s="66" t="inlineStr">
        <is>
          <t>Low intro on balance transfers (length n/a)</t>
        </is>
      </c>
      <c r="Y27" s="60" t="inlineStr">
        <is>
          <t>Agent-issued; APR/AF per issuer T&amp;C (not on page)</t>
        </is>
      </c>
      <c r="Z27" s="60" t="inlineStr">
        <is>
          <t>Per issuer</t>
        </is>
      </c>
      <c r="AA27" s="60" t="inlineStr">
        <is>
          <t>Per issuer</t>
        </is>
      </c>
      <c r="AB27" s="60" t="inlineStr">
        <is>
          <t>No (typical)</t>
        </is>
      </c>
      <c r="AC27" s="60" t="inlineStr">
        <is>
          <t>None found (small agent program)</t>
        </is>
      </c>
      <c r="AD27" s="60" t="inlineStr">
        <is>
          <t>-</t>
        </is>
      </c>
      <c r="AE27" s="60" t="inlineStr">
        <is>
          <t>No (agent card)</t>
        </is>
      </c>
      <c r="AF27" s="60" t="inlineStr">
        <is>
          <t>No - commercial/SBA underwritten</t>
        </is>
      </c>
      <c r="AG27" s="60" t="inlineStr">
        <is>
          <t>Issuer = TCM (INFERRED, app routes to mycommunitycc.com). Visa Platinum + business card.</t>
        </is>
      </c>
      <c r="AH27" s="64" t="inlineStr">
        <is>
          <t>bankaplus.com/Credit-Cards</t>
        </is>
      </c>
    </row>
    <row r="28" ht="15.75" customHeight="1">
      <c r="A28" s="75" t="n">
        <v>27</v>
      </c>
      <c r="B28" s="72" t="inlineStr">
        <is>
          <t>C - Agent-issued card</t>
        </is>
      </c>
      <c r="C28" s="59" t="inlineStr">
        <is>
          <t>GBC International Bank</t>
        </is>
      </c>
      <c r="D28" s="60" t="inlineStr">
        <is>
          <t>3/4 (missing: self-UW)</t>
        </is>
      </c>
      <c r="E28" s="69" t="inlineStr">
        <is>
          <t>Bank</t>
        </is>
      </c>
      <c r="F28" s="61" t="inlineStr">
        <is>
          <t>Yes</t>
        </is>
      </c>
      <c r="G28" s="60" t="inlineStr">
        <is>
          <t>SoCal - LA County</t>
        </is>
      </c>
      <c r="H28" s="62" t="inlineStr">
        <is>
          <t>CA-HQ (Southern California)</t>
        </is>
      </c>
      <c r="I28" s="76" t="inlineStr">
        <is>
          <t>$2k-$10k (est; TCM community-bank pattern)</t>
        </is>
      </c>
      <c r="J28" s="60" t="inlineStr">
        <is>
          <t>$0.67B</t>
        </is>
      </c>
      <c r="K28" s="60" t="inlineStr">
        <is>
          <t>$0.52B</t>
        </is>
      </c>
      <c r="L28" s="60" t="inlineStr">
        <is>
          <t>LA; Chinese-American focus</t>
        </is>
      </c>
      <c r="M28" s="60" t="n">
        <v>73</v>
      </c>
      <c r="N28" s="60" t="inlineStr">
        <is>
          <t>Los Angeles</t>
        </is>
      </c>
      <c r="O28" s="60" t="inlineStr">
        <is>
          <t>Los Angeles</t>
        </is>
      </c>
      <c r="P28" s="64" t="inlineStr">
        <is>
          <t>gbcib.com</t>
        </is>
      </c>
      <c r="Q28" s="65" t="inlineStr">
        <is>
          <t>Yes</t>
        </is>
      </c>
      <c r="R28" s="64" t="inlineStr">
        <is>
          <t>gbcib.com/business</t>
        </is>
      </c>
      <c r="S28" s="65" t="inlineStr">
        <is>
          <t>Online</t>
        </is>
      </c>
      <c r="T28" s="60" t="inlineStr">
        <is>
          <t>mycommunitycc.com (TCM portal)</t>
        </is>
      </c>
      <c r="U28" s="67" t="inlineStr">
        <is>
          <t>No</t>
        </is>
      </c>
      <c r="V28" s="77" t="inlineStr">
        <is>
          <t>TCM Bank, N.A. (ICBA)</t>
        </is>
      </c>
      <c r="W28" s="57" t="inlineStr">
        <is>
          <t>Yes (revolving)</t>
        </is>
      </c>
      <c r="X28" s="67" t="inlineStr">
        <is>
          <t>Verify (issuer menu)</t>
        </is>
      </c>
      <c r="Y28" s="60" t="inlineStr">
        <is>
          <t>Agent-issued; APR/AF per issuer T&amp;C (not on page)</t>
        </is>
      </c>
      <c r="Z28" s="60" t="inlineStr">
        <is>
          <t>Per issuer</t>
        </is>
      </c>
      <c r="AA28" s="60" t="inlineStr">
        <is>
          <t>Per issuer</t>
        </is>
      </c>
      <c r="AB28" s="60" t="inlineStr">
        <is>
          <t>No (typical)</t>
        </is>
      </c>
      <c r="AC28" s="60" t="inlineStr">
        <is>
          <t>None found (small agent program)</t>
        </is>
      </c>
      <c r="AD28" s="60" t="inlineStr">
        <is>
          <t>-</t>
        </is>
      </c>
      <c r="AE28" s="60" t="inlineStr">
        <is>
          <t>No (agent card)</t>
        </is>
      </c>
      <c r="AF28" s="60" t="inlineStr">
        <is>
          <t>No - commercial/SBA underwritten</t>
        </is>
      </c>
      <c r="AG28" s="60" t="inlineStr">
        <is>
          <t>Issuer = TCM VERIFIED (card link to mycommunitycc/TCM platform).</t>
        </is>
      </c>
      <c r="AH28" s="64" t="inlineStr">
        <is>
          <t>gbcib.com/business</t>
        </is>
      </c>
    </row>
    <row r="29" ht="15.75" customHeight="1">
      <c r="A29" s="75" t="n">
        <v>28</v>
      </c>
      <c r="B29" s="72" t="inlineStr">
        <is>
          <t>C - Agent-issued card</t>
        </is>
      </c>
      <c r="C29" s="59" t="inlineStr">
        <is>
          <t>Mega Bank</t>
        </is>
      </c>
      <c r="D29" s="60" t="inlineStr">
        <is>
          <t>3/4 (missing: self-UW)</t>
        </is>
      </c>
      <c r="E29" s="69" t="inlineStr">
        <is>
          <t>Bank</t>
        </is>
      </c>
      <c r="F29" s="61" t="inlineStr">
        <is>
          <t>Yes</t>
        </is>
      </c>
      <c r="G29" s="60" t="inlineStr">
        <is>
          <t>SoCal - LA County</t>
        </is>
      </c>
      <c r="H29" s="62" t="inlineStr">
        <is>
          <t>CA-HQ (Southern California)</t>
        </is>
      </c>
      <c r="I29" s="76" t="inlineStr">
        <is>
          <t>$2k-$10k (est; TCM community-bank pattern)</t>
        </is>
      </c>
      <c r="J29" s="60" t="inlineStr">
        <is>
          <t>$0.51B</t>
        </is>
      </c>
      <c r="K29" s="60" t="inlineStr">
        <is>
          <t>$0.42B</t>
        </is>
      </c>
      <c r="L29" s="60" t="inlineStr">
        <is>
          <t>San Gabriel Valley; Chinese-American focus</t>
        </is>
      </c>
      <c r="M29" s="60" t="n">
        <v>73</v>
      </c>
      <c r="N29" s="60" t="inlineStr">
        <is>
          <t>San Gabriel</t>
        </is>
      </c>
      <c r="O29" s="60" t="inlineStr">
        <is>
          <t>Los Angeles</t>
        </is>
      </c>
      <c r="P29" s="64" t="inlineStr">
        <is>
          <t>megabankusa.com</t>
        </is>
      </c>
      <c r="Q29" s="65" t="inlineStr">
        <is>
          <t>Yes</t>
        </is>
      </c>
      <c r="R29" s="64" t="inlineStr">
        <is>
          <t>megabankusa.com/Other-Services#Credit-Cards</t>
        </is>
      </c>
      <c r="S29" s="65" t="inlineStr">
        <is>
          <t>Online</t>
        </is>
      </c>
      <c r="T29" s="60" t="inlineStr">
        <is>
          <t>mycommunitycc.com (TCM portal)</t>
        </is>
      </c>
      <c r="U29" s="67" t="inlineStr">
        <is>
          <t>No</t>
        </is>
      </c>
      <c r="V29" s="77" t="inlineStr">
        <is>
          <t>TCM Bank, N.A. (ICBA)</t>
        </is>
      </c>
      <c r="W29" s="57" t="inlineStr">
        <is>
          <t>Yes (revolving)</t>
        </is>
      </c>
      <c r="X29" s="67" t="inlineStr">
        <is>
          <t>Verify (issuer menu)</t>
        </is>
      </c>
      <c r="Y29" s="60" t="inlineStr">
        <is>
          <t>Agent-issued; APR/AF per issuer T&amp;C (not on page)</t>
        </is>
      </c>
      <c r="Z29" s="60" t="inlineStr">
        <is>
          <t>Per issuer</t>
        </is>
      </c>
      <c r="AA29" s="60" t="inlineStr">
        <is>
          <t>Per issuer</t>
        </is>
      </c>
      <c r="AB29" s="60" t="inlineStr">
        <is>
          <t>No (typical)</t>
        </is>
      </c>
      <c r="AC29" s="60" t="inlineStr">
        <is>
          <t>None found (small agent program)</t>
        </is>
      </c>
      <c r="AD29" s="60" t="inlineStr">
        <is>
          <t>-</t>
        </is>
      </c>
      <c r="AE29" s="60" t="inlineStr">
        <is>
          <t>No (agent card)</t>
        </is>
      </c>
      <c r="AF29" s="60" t="inlineStr">
        <is>
          <t>No - commercial/SBA underwritten</t>
        </is>
      </c>
      <c r="AG29" s="60" t="inlineStr">
        <is>
          <t>Issuer = TCM VERIFIED ('Administered by TCM Bank, N.A.').</t>
        </is>
      </c>
      <c r="AH29" s="64" t="inlineStr">
        <is>
          <t>megabankusa.com/Other-Services</t>
        </is>
      </c>
    </row>
    <row r="30" ht="15.75" customHeight="1">
      <c r="A30" s="57" t="n">
        <v>29</v>
      </c>
      <c r="B30" s="72" t="inlineStr">
        <is>
          <t>C - Agent-issued card</t>
        </is>
      </c>
      <c r="C30" s="59" t="inlineStr">
        <is>
          <t>Infinity Bank</t>
        </is>
      </c>
      <c r="D30" s="60" t="inlineStr">
        <is>
          <t>3/4 (missing: self-UW)</t>
        </is>
      </c>
      <c r="E30" s="69" t="inlineStr">
        <is>
          <t>Bank</t>
        </is>
      </c>
      <c r="F30" s="61" t="inlineStr">
        <is>
          <t>Yes</t>
        </is>
      </c>
      <c r="G30" s="60" t="inlineStr">
        <is>
          <t>SoCal - Orange County</t>
        </is>
      </c>
      <c r="H30" s="62" t="inlineStr">
        <is>
          <t>CA-HQ (Southern California)</t>
        </is>
      </c>
      <c r="I30" s="63" t="inlineStr">
        <is>
          <t>$3k-$15k (est; agent program)</t>
        </is>
      </c>
      <c r="J30" s="60" t="inlineStr">
        <is>
          <t>$0.37B</t>
        </is>
      </c>
      <c r="K30" s="60" t="inlineStr">
        <is>
          <t>$0.33B</t>
        </is>
      </c>
      <c r="L30" s="60" t="inlineStr">
        <is>
          <t>Orange County community bank</t>
        </is>
      </c>
      <c r="M30" s="60" t="n">
        <v>73</v>
      </c>
      <c r="N30" s="60" t="inlineStr">
        <is>
          <t>Santa Ana</t>
        </is>
      </c>
      <c r="O30" s="60" t="inlineStr">
        <is>
          <t>Orange</t>
        </is>
      </c>
      <c r="P30" s="64" t="inlineStr">
        <is>
          <t>infinity.bank</t>
        </is>
      </c>
      <c r="Q30" s="65" t="inlineStr">
        <is>
          <t>Yes</t>
        </is>
      </c>
      <c r="R30" s="64" t="inlineStr">
        <is>
          <t>infinity.bank/business/credit-financing/business-credit-cards.html</t>
        </is>
      </c>
      <c r="S30" s="65" t="inlineStr">
        <is>
          <t>Online</t>
        </is>
      </c>
      <c r="T30" s="60" t="inlineStr">
        <is>
          <t>app.ccdepartment.com (ServisFirst portal)</t>
        </is>
      </c>
      <c r="U30" s="67" t="inlineStr">
        <is>
          <t>No</t>
        </is>
      </c>
      <c r="V30" s="58" t="inlineStr">
        <is>
          <t>ServisFirst Bank (agent, inferred)</t>
        </is>
      </c>
      <c r="W30" s="57" t="inlineStr">
        <is>
          <t>Yes (revolving)</t>
        </is>
      </c>
      <c r="X30" s="67" t="inlineStr">
        <is>
          <t>Verify (issuer menu)</t>
        </is>
      </c>
      <c r="Y30" s="60" t="inlineStr">
        <is>
          <t>Agent-issued; APR/AF per issuer T&amp;C (not on page)</t>
        </is>
      </c>
      <c r="Z30" s="60" t="inlineStr">
        <is>
          <t>Per issuer</t>
        </is>
      </c>
      <c r="AA30" s="60" t="inlineStr">
        <is>
          <t>Per issuer</t>
        </is>
      </c>
      <c r="AB30" s="60" t="inlineStr">
        <is>
          <t>No (typical)</t>
        </is>
      </c>
      <c r="AC30" s="60" t="inlineStr">
        <is>
          <t>None found (small agent program)</t>
        </is>
      </c>
      <c r="AD30" s="60" t="inlineStr">
        <is>
          <t>-</t>
        </is>
      </c>
      <c r="AE30" s="60" t="inlineStr">
        <is>
          <t>No (agent card)</t>
        </is>
      </c>
      <c r="AF30" s="60" t="inlineStr">
        <is>
          <t>No - commercial/SBA underwritten</t>
        </is>
      </c>
      <c r="AG30" s="60" t="inlineStr">
        <is>
          <t>Issuer = ServisFirst (INFERRED-strong: disclosure named 'Servis-First...', apply via app.ccdepartment.com).</t>
        </is>
      </c>
      <c r="AH30" s="64" t="inlineStr">
        <is>
          <t>infinity.bank/.../business-credit-cards.html</t>
        </is>
      </c>
    </row>
    <row r="31" ht="15.75" customHeight="1">
      <c r="A31" s="75" t="n">
        <v>30</v>
      </c>
      <c r="B31" s="72" t="inlineStr">
        <is>
          <t>C - Agent-issued card</t>
        </is>
      </c>
      <c r="C31" s="59" t="inlineStr">
        <is>
          <t>ICON Business Bank</t>
        </is>
      </c>
      <c r="D31" s="60" t="inlineStr">
        <is>
          <t>3/4 (missing: self-UW)</t>
        </is>
      </c>
      <c r="E31" s="69" t="inlineStr">
        <is>
          <t>Bank</t>
        </is>
      </c>
      <c r="F31" s="61" t="inlineStr">
        <is>
          <t>Yes</t>
        </is>
      </c>
      <c r="G31" s="60" t="inlineStr">
        <is>
          <t>SoCal - Inland Empire</t>
        </is>
      </c>
      <c r="H31" s="62" t="inlineStr">
        <is>
          <t>CA-HQ (Southern California)</t>
        </is>
      </c>
      <c r="I31" s="76" t="inlineStr">
        <is>
          <t>$2k-$10k (est; TCM community-bank pattern)</t>
        </is>
      </c>
      <c r="J31" s="60" t="inlineStr">
        <is>
          <t>$0.16B</t>
        </is>
      </c>
      <c r="K31" s="60" t="inlineStr">
        <is>
          <t>$0.15B</t>
        </is>
      </c>
      <c r="L31" s="60" t="inlineStr">
        <is>
          <t>Inland Empire (Riverside) business bank</t>
        </is>
      </c>
      <c r="M31" s="60" t="n">
        <v>73</v>
      </c>
      <c r="N31" s="60" t="inlineStr">
        <is>
          <t>Riverside</t>
        </is>
      </c>
      <c r="O31" s="60" t="inlineStr">
        <is>
          <t>Riverside</t>
        </is>
      </c>
      <c r="P31" s="64" t="inlineStr">
        <is>
          <t>iconbusinessbank.com</t>
        </is>
      </c>
      <c r="Q31" s="65" t="inlineStr">
        <is>
          <t>Yes</t>
        </is>
      </c>
      <c r="R31" s="64" t="inlineStr">
        <is>
          <t>iconbusinessbank.com</t>
        </is>
      </c>
      <c r="S31" s="65" t="inlineStr">
        <is>
          <t>Online</t>
        </is>
      </c>
      <c r="T31" s="60" t="inlineStr">
        <is>
          <t>mycommunitycc.com (TCM portal)</t>
        </is>
      </c>
      <c r="U31" s="67" t="inlineStr">
        <is>
          <t>No</t>
        </is>
      </c>
      <c r="V31" s="77" t="inlineStr">
        <is>
          <t>TCM Bank, N.A. (ICBA)</t>
        </is>
      </c>
      <c r="W31" s="57" t="inlineStr">
        <is>
          <t>Yes (revolving)</t>
        </is>
      </c>
      <c r="X31" s="67" t="inlineStr">
        <is>
          <t>Verify (issuer menu)</t>
        </is>
      </c>
      <c r="Y31" s="60" t="inlineStr">
        <is>
          <t>Agent-issued; APR/AF per issuer T&amp;C (not on page)</t>
        </is>
      </c>
      <c r="Z31" s="60" t="inlineStr">
        <is>
          <t>Per issuer</t>
        </is>
      </c>
      <c r="AA31" s="60" t="inlineStr">
        <is>
          <t>Per issuer</t>
        </is>
      </c>
      <c r="AB31" s="60" t="inlineStr">
        <is>
          <t>No (typical)</t>
        </is>
      </c>
      <c r="AC31" s="60" t="inlineStr">
        <is>
          <t>None found (small agent program)</t>
        </is>
      </c>
      <c r="AD31" s="60" t="inlineStr">
        <is>
          <t>-</t>
        </is>
      </c>
      <c r="AE31" s="60" t="inlineStr">
        <is>
          <t>No (agent card)</t>
        </is>
      </c>
      <c r="AF31" s="60" t="inlineStr">
        <is>
          <t>No - commercial/SBA underwritten</t>
        </is>
      </c>
      <c r="AG31" s="60" t="inlineStr">
        <is>
          <t>Issuer = TCM VERIFIED (card link to mycommunitycc/TCM).</t>
        </is>
      </c>
      <c r="AH31" s="64" t="inlineStr">
        <is>
          <t>iconbusinessbank.com</t>
        </is>
      </c>
    </row>
    <row r="32" ht="15.75" customHeight="1">
      <c r="A32" s="57" t="n">
        <v>31</v>
      </c>
      <c r="B32" s="72" t="inlineStr">
        <is>
          <t>C - Agent-issued card</t>
        </is>
      </c>
      <c r="C32" s="59" t="inlineStr">
        <is>
          <t>American Riviera Bank</t>
        </is>
      </c>
      <c r="D32" s="60" t="inlineStr">
        <is>
          <t>3/4 (missing: self-UW)</t>
        </is>
      </c>
      <c r="E32" s="69" t="inlineStr">
        <is>
          <t>Bank</t>
        </is>
      </c>
      <c r="F32" s="61" t="inlineStr">
        <is>
          <t>Yes</t>
        </is>
      </c>
      <c r="G32" s="60" t="inlineStr">
        <is>
          <t>SoCal - Santa Barbara/Ventura</t>
        </is>
      </c>
      <c r="H32" s="62" t="inlineStr">
        <is>
          <t>CA-HQ (Southern California)</t>
        </is>
      </c>
      <c r="I32" s="63" t="inlineStr">
        <is>
          <t>$3k-$15k (est; Elan agent pattern, myFICO)</t>
        </is>
      </c>
      <c r="J32" s="60" t="inlineStr">
        <is>
          <t>$1.42B</t>
        </is>
      </c>
      <c r="K32" s="60" t="inlineStr">
        <is>
          <t>$1.27B</t>
        </is>
      </c>
      <c r="L32" s="60" t="inlineStr">
        <is>
          <t>Santa Barbara/Central Coast community bank</t>
        </is>
      </c>
      <c r="M32" s="60" t="n">
        <v>72</v>
      </c>
      <c r="N32" s="60" t="inlineStr">
        <is>
          <t>Santa Barbara</t>
        </is>
      </c>
      <c r="O32" s="60" t="inlineStr">
        <is>
          <t>Santa Barbara</t>
        </is>
      </c>
      <c r="P32" s="64" t="inlineStr">
        <is>
          <t>americanriviera.bank</t>
        </is>
      </c>
      <c r="Q32" s="65" t="inlineStr">
        <is>
          <t>Yes</t>
        </is>
      </c>
      <c r="R32" s="64" t="inlineStr">
        <is>
          <t>americanriviera.bank/product/business-credit-cards</t>
        </is>
      </c>
      <c r="S32" s="65" t="inlineStr">
        <is>
          <t>Online</t>
        </is>
      </c>
      <c r="T32" s="60" t="inlineStr">
        <is>
          <t>Elan portal</t>
        </is>
      </c>
      <c r="U32" s="67" t="inlineStr">
        <is>
          <t>No</t>
        </is>
      </c>
      <c r="V32" s="74" t="inlineStr">
        <is>
          <t>Elan Financial Services (U.S. Bank)</t>
        </is>
      </c>
      <c r="W32" s="57" t="inlineStr">
        <is>
          <t>Yes (revolving)</t>
        </is>
      </c>
      <c r="X32" s="67" t="inlineStr">
        <is>
          <t>Verify (Elan menu)</t>
        </is>
      </c>
      <c r="Y32" s="60" t="inlineStr">
        <is>
          <t>Elan business suite; APR/AF per Elan T&amp;C</t>
        </is>
      </c>
      <c r="Z32" s="60" t="inlineStr">
        <is>
          <t>TransUnion (Elan)</t>
        </is>
      </c>
      <c r="AA32" s="60" t="inlineStr">
        <is>
          <t>D&amp;B (delinquency-only)</t>
        </is>
      </c>
      <c r="AB32" s="60" t="inlineStr">
        <is>
          <t>No (delinquency-only)</t>
        </is>
      </c>
      <c r="AC32" s="60" t="inlineStr">
        <is>
          <t>Elan general</t>
        </is>
      </c>
      <c r="AD32" s="64" t="inlineStr">
        <is>
          <t>stacking.capital</t>
        </is>
      </c>
      <c r="AE32" s="60" t="inlineStr">
        <is>
          <t>No (Elan card)</t>
        </is>
      </c>
      <c r="AF32" s="60" t="inlineStr">
        <is>
          <t>No - SBA/commercial underwritten</t>
        </is>
      </c>
      <c r="AG32" s="60" t="inlineStr">
        <is>
          <t>Issuer VERIFIED (Elan).</t>
        </is>
      </c>
      <c r="AH32" s="64" t="inlineStr">
        <is>
          <t>americanriviera.bank/product/business-credit-cards</t>
        </is>
      </c>
    </row>
    <row r="33" ht="15.75" customHeight="1">
      <c r="A33" s="57" t="n">
        <v>32</v>
      </c>
      <c r="B33" s="72" t="inlineStr">
        <is>
          <t>C - Agent-issued card</t>
        </is>
      </c>
      <c r="C33" s="59" t="inlineStr">
        <is>
          <t>Endeavor Bank</t>
        </is>
      </c>
      <c r="D33" s="60" t="inlineStr">
        <is>
          <t>3/4 (missing: self-UW)</t>
        </is>
      </c>
      <c r="E33" s="69" t="inlineStr">
        <is>
          <t>Bank</t>
        </is>
      </c>
      <c r="F33" s="61" t="inlineStr">
        <is>
          <t>Yes</t>
        </is>
      </c>
      <c r="G33" s="60" t="inlineStr">
        <is>
          <t>SoCal - San Diego</t>
        </is>
      </c>
      <c r="H33" s="62" t="inlineStr">
        <is>
          <t>CA-HQ (Southern California)</t>
        </is>
      </c>
      <c r="I33" s="63" t="inlineStr">
        <is>
          <t>$3k-$15k (est; Elan agent pattern, myFICO)</t>
        </is>
      </c>
      <c r="J33" s="60" t="inlineStr">
        <is>
          <t>$0.76B</t>
        </is>
      </c>
      <c r="K33" s="60" t="inlineStr">
        <is>
          <t>$0.68B</t>
        </is>
      </c>
      <c r="L33" s="60" t="inlineStr">
        <is>
          <t>San Diego commercial bank</t>
        </is>
      </c>
      <c r="M33" s="60" t="n">
        <v>67</v>
      </c>
      <c r="N33" s="60" t="inlineStr">
        <is>
          <t>San Diego</t>
        </is>
      </c>
      <c r="O33" s="60" t="inlineStr">
        <is>
          <t>San Diego</t>
        </is>
      </c>
      <c r="P33" s="64" t="inlineStr">
        <is>
          <t>endeavor.bank</t>
        </is>
      </c>
      <c r="Q33" s="65" t="inlineStr">
        <is>
          <t>Yes</t>
        </is>
      </c>
      <c r="R33" s="64" t="inlineStr">
        <is>
          <t>endeavor.bank/consultative-banking/solutions/commercial-banking</t>
        </is>
      </c>
      <c r="S33" s="65" t="inlineStr">
        <is>
          <t>Online</t>
        </is>
      </c>
      <c r="T33" s="60" t="inlineStr">
        <is>
          <t>Elan portal (redirect)</t>
        </is>
      </c>
      <c r="U33" s="67" t="inlineStr">
        <is>
          <t>No</t>
        </is>
      </c>
      <c r="V33" s="74" t="inlineStr">
        <is>
          <t>Elan Financial Services (U.S. Bank)</t>
        </is>
      </c>
      <c r="W33" s="57" t="inlineStr">
        <is>
          <t>Yes (revolving)</t>
        </is>
      </c>
      <c r="X33" s="66" t="inlineStr">
        <is>
          <t>Yes - low-rate option (length not public)</t>
        </is>
      </c>
      <c r="Y33" s="60" t="inlineStr">
        <is>
          <t>Agent-issued; APR/AF per issuer T&amp;C (not on page)</t>
        </is>
      </c>
      <c r="Z33" s="60" t="inlineStr">
        <is>
          <t>TransUnion (Elan)</t>
        </is>
      </c>
      <c r="AA33" s="60" t="inlineStr">
        <is>
          <t>D&amp;B (delinquency-only)</t>
        </is>
      </c>
      <c r="AB33" s="60" t="inlineStr">
        <is>
          <t>No (delinquency-only)</t>
        </is>
      </c>
      <c r="AC33" s="60" t="inlineStr">
        <is>
          <t>None found (small agent program)</t>
        </is>
      </c>
      <c r="AD33" s="60" t="inlineStr">
        <is>
          <t>-</t>
        </is>
      </c>
      <c r="AE33" s="60" t="inlineStr">
        <is>
          <t>No (agent card)</t>
        </is>
      </c>
      <c r="AF33" s="60" t="inlineStr">
        <is>
          <t>No - commercial/SBA underwritten</t>
        </is>
      </c>
      <c r="AG33" s="60" t="inlineStr">
        <is>
          <t>Issuer = Elan VERIFIED. Low-rate/0% option (length behind Elan wall).</t>
        </is>
      </c>
      <c r="AH33" s="64" t="inlineStr">
        <is>
          <t>endeavor.bank/.../commercial-banking</t>
        </is>
      </c>
    </row>
    <row r="34" ht="15.75" customHeight="1">
      <c r="A34" s="57" t="n">
        <v>33</v>
      </c>
      <c r="B34" s="72" t="inlineStr">
        <is>
          <t>C - Agent-issued card</t>
        </is>
      </c>
      <c r="C34" s="60" t="inlineStr">
        <is>
          <t>Commonwealth Business Bank (CBB Bank)</t>
        </is>
      </c>
      <c r="D34" s="60" t="inlineStr">
        <is>
          <t>2/4 (missing: self-UW, apply online)</t>
        </is>
      </c>
      <c r="E34" s="69" t="inlineStr">
        <is>
          <t>Bank</t>
        </is>
      </c>
      <c r="F34" s="61" t="inlineStr">
        <is>
          <t>Yes</t>
        </is>
      </c>
      <c r="G34" s="60" t="inlineStr">
        <is>
          <t>SoCal - LA County</t>
        </is>
      </c>
      <c r="H34" s="62" t="inlineStr">
        <is>
          <t>CA-HQ (Southern California)</t>
        </is>
      </c>
      <c r="I34" s="63" t="inlineStr">
        <is>
          <t>$3k-$15k (est; Elan agent pattern, myFICO)</t>
        </is>
      </c>
      <c r="J34" s="60" t="inlineStr">
        <is>
          <t>$1.96B</t>
        </is>
      </c>
      <c r="K34" s="60" t="inlineStr">
        <is>
          <t>~$1.67B</t>
        </is>
      </c>
      <c r="L34" s="60" t="inlineStr">
        <is>
          <t>LA HQ (Wilshire); Korean-American focus; founded 2005</t>
        </is>
      </c>
      <c r="M34" s="60" t="n">
        <v>65</v>
      </c>
      <c r="N34" s="60" t="inlineStr">
        <is>
          <t>Los Angeles</t>
        </is>
      </c>
      <c r="O34" s="60" t="inlineStr">
        <is>
          <t>Los Angeles</t>
        </is>
      </c>
      <c r="P34" s="64" t="inlineStr">
        <is>
          <t>cbb-bank.com</t>
        </is>
      </c>
      <c r="Q34" s="65" t="inlineStr">
        <is>
          <t>Yes</t>
        </is>
      </c>
      <c r="R34" s="64" t="inlineStr">
        <is>
          <t>cbb-bank.com/en/business/lending/creditcards</t>
        </is>
      </c>
      <c r="S34" s="66" t="inlineStr">
        <is>
          <t>Partial online</t>
        </is>
      </c>
      <c r="T34" s="60" t="inlineStr">
        <is>
          <t>Via bank 213-884-4200 / Elan portal</t>
        </is>
      </c>
      <c r="U34" s="67" t="inlineStr">
        <is>
          <t>No</t>
        </is>
      </c>
      <c r="V34" s="74" t="inlineStr">
        <is>
          <t>Elan Financial Services (U.S. Bank)</t>
        </is>
      </c>
      <c r="W34" s="57" t="inlineStr">
        <is>
          <t>Yes (revolving)</t>
        </is>
      </c>
      <c r="X34" s="67" t="inlineStr">
        <is>
          <t>Verify (issuer menu)</t>
        </is>
      </c>
      <c r="Y34" s="60" t="inlineStr">
        <is>
          <t>Agent-issued; APR/AF per issuer T&amp;C (not on page)</t>
        </is>
      </c>
      <c r="Z34" s="60" t="inlineStr">
        <is>
          <t>TransUnion (Elan)</t>
        </is>
      </c>
      <c r="AA34" s="60" t="inlineStr">
        <is>
          <t>D&amp;B (delinquency-only)</t>
        </is>
      </c>
      <c r="AB34" s="60" t="inlineStr">
        <is>
          <t>No (delinquency-only)</t>
        </is>
      </c>
      <c r="AC34" s="60" t="inlineStr">
        <is>
          <t>None found (small agent program)</t>
        </is>
      </c>
      <c r="AD34" s="60" t="inlineStr">
        <is>
          <t>-</t>
        </is>
      </c>
      <c r="AE34" s="60" t="inlineStr">
        <is>
          <t>No (agent card)</t>
        </is>
      </c>
      <c r="AF34" s="60" t="inlineStr">
        <is>
          <t>No - commercial/SBA underwritten</t>
        </is>
      </c>
      <c r="AG34" s="60" t="inlineStr">
        <is>
          <t>Issuer = Elan VERIFIED ('creditor and issuer is Elan'). &gt;$1B CA bank previously missing.</t>
        </is>
      </c>
      <c r="AH34" s="64" t="inlineStr">
        <is>
          <t>cbb-bank.com/en/business/lending/creditcards</t>
        </is>
      </c>
    </row>
    <row r="35" ht="15.75" customHeight="1">
      <c r="A35" s="57" t="n">
        <v>34</v>
      </c>
      <c r="B35" s="72" t="inlineStr">
        <is>
          <t>C - Agent-issued card</t>
        </is>
      </c>
      <c r="C35" s="60" t="inlineStr">
        <is>
          <t>Mission Valley Bank</t>
        </is>
      </c>
      <c r="D35" s="60" t="inlineStr">
        <is>
          <t>2/4 (missing: self-UW, apply online)</t>
        </is>
      </c>
      <c r="E35" s="69" t="inlineStr">
        <is>
          <t>Bank</t>
        </is>
      </c>
      <c r="F35" s="61" t="inlineStr">
        <is>
          <t>Yes</t>
        </is>
      </c>
      <c r="G35" s="60" t="inlineStr">
        <is>
          <t>SoCal - LA County</t>
        </is>
      </c>
      <c r="H35" s="62" t="inlineStr">
        <is>
          <t>CA-HQ (Southern California)</t>
        </is>
      </c>
      <c r="I35" s="63" t="inlineStr">
        <is>
          <t>$2k-$10k (est; TCM community-bank pattern)</t>
        </is>
      </c>
      <c r="J35" s="60" t="inlineStr">
        <is>
          <t>$0.71B</t>
        </is>
      </c>
      <c r="K35" s="60" t="inlineStr">
        <is>
          <t>$0.56B</t>
        </is>
      </c>
      <c r="L35" s="60" t="inlineStr">
        <is>
          <t>San Fernando Valley + Santa Clarita; SBA-active</t>
        </is>
      </c>
      <c r="M35" s="60" t="n">
        <v>63</v>
      </c>
      <c r="N35" s="60" t="inlineStr">
        <is>
          <t>Sun Valley</t>
        </is>
      </c>
      <c r="O35" s="60" t="inlineStr">
        <is>
          <t>Los Angeles</t>
        </is>
      </c>
      <c r="P35" s="64" t="inlineStr">
        <is>
          <t>missionvalleybank.com</t>
        </is>
      </c>
      <c r="Q35" s="65" t="inlineStr">
        <is>
          <t>Yes</t>
        </is>
      </c>
      <c r="R35" s="64" t="inlineStr">
        <is>
          <t>missionvalleybank.com/card-services/</t>
        </is>
      </c>
      <c r="S35" s="66" t="inlineStr">
        <is>
          <t>Partial online</t>
        </is>
      </c>
      <c r="T35" s="60" t="inlineStr">
        <is>
          <t>TCM online app (likely)</t>
        </is>
      </c>
      <c r="U35" s="67" t="inlineStr">
        <is>
          <t>No</t>
        </is>
      </c>
      <c r="V35" s="77" t="inlineStr">
        <is>
          <t>TCM Bank, N.A. (ICBA)</t>
        </is>
      </c>
      <c r="W35" s="57" t="inlineStr">
        <is>
          <t>Yes (revolving)</t>
        </is>
      </c>
      <c r="X35" s="67" t="inlineStr">
        <is>
          <t>Unknown</t>
        </is>
      </c>
      <c r="Y35" s="60" t="inlineStr">
        <is>
          <t>TCM-issued business cards; APR/AF per TCM T&amp;C</t>
        </is>
      </c>
      <c r="Z35" s="60" t="inlineStr">
        <is>
          <t>Experian (TCM typical)</t>
        </is>
      </c>
      <c r="AA35" s="60" t="inlineStr">
        <is>
          <t>Unknown</t>
        </is>
      </c>
      <c r="AB35" s="60" t="inlineStr">
        <is>
          <t>Unknown</t>
        </is>
      </c>
      <c r="AC35" s="60" t="inlineStr">
        <is>
          <t>None found</t>
        </is>
      </c>
      <c r="AD35" s="60" t="inlineStr">
        <is>
          <t>-</t>
        </is>
      </c>
      <c r="AE35" s="60" t="inlineStr">
        <is>
          <t>Verify</t>
        </is>
      </c>
      <c r="AF35" s="60" t="inlineStr">
        <is>
          <t>No - SBA/commercial underwritten</t>
        </is>
      </c>
      <c r="AG35" s="60" t="inlineStr">
        <is>
          <t>Issuer VERIFIED (TCM Bank, N.A., 'issued by TCM Bank').</t>
        </is>
      </c>
      <c r="AH35" s="64" t="inlineStr">
        <is>
          <t>missionvalleybank.com/card-services/</t>
        </is>
      </c>
    </row>
    <row r="36" ht="15.75" customHeight="1">
      <c r="A36" s="57" t="n">
        <v>35</v>
      </c>
      <c r="B36" s="72" t="inlineStr">
        <is>
          <t>C - Agent-issued card</t>
        </is>
      </c>
      <c r="C36" s="60" t="inlineStr">
        <is>
          <t>Universal Bank</t>
        </is>
      </c>
      <c r="D36" s="60" t="inlineStr">
        <is>
          <t>2/4 (missing: self-UW, apply online)</t>
        </is>
      </c>
      <c r="E36" s="69" t="inlineStr">
        <is>
          <t>Bank</t>
        </is>
      </c>
      <c r="F36" s="61" t="inlineStr">
        <is>
          <t>Yes</t>
        </is>
      </c>
      <c r="G36" s="60" t="inlineStr">
        <is>
          <t>SoCal - LA County</t>
        </is>
      </c>
      <c r="H36" s="62" t="inlineStr">
        <is>
          <t>CA-HQ (Southern California)</t>
        </is>
      </c>
      <c r="I36" s="63" t="inlineStr">
        <is>
          <t>$3k-$15k (est; Elan agent pattern, myFICO)</t>
        </is>
      </c>
      <c r="J36" s="60" t="inlineStr">
        <is>
          <t>$0.36B</t>
        </is>
      </c>
      <c r="K36" s="60" t="inlineStr">
        <is>
          <t>$0.27B</t>
        </is>
      </c>
      <c r="L36" s="60" t="inlineStr">
        <is>
          <t>San Gabriel Valley; small community bank</t>
        </is>
      </c>
      <c r="M36" s="60" t="n">
        <v>62</v>
      </c>
      <c r="N36" s="60" t="inlineStr">
        <is>
          <t>West Covina</t>
        </is>
      </c>
      <c r="O36" s="60" t="inlineStr">
        <is>
          <t>Los Angeles</t>
        </is>
      </c>
      <c r="P36" s="64" t="inlineStr">
        <is>
          <t>universalbank.com</t>
        </is>
      </c>
      <c r="Q36" s="65" t="inlineStr">
        <is>
          <t>Yes</t>
        </is>
      </c>
      <c r="R36" s="64" t="inlineStr">
        <is>
          <t>universalbank.com/Resources/All-Services</t>
        </is>
      </c>
      <c r="S36" s="70" t="inlineStr">
        <is>
          <t>In-person</t>
        </is>
      </c>
      <c r="T36" s="60" t="inlineStr">
        <is>
          <t>In-person only (visit branch)</t>
        </is>
      </c>
      <c r="U36" s="67" t="inlineStr">
        <is>
          <t>No</t>
        </is>
      </c>
      <c r="V36" s="74" t="inlineStr">
        <is>
          <t>Elan Financial Services (U.S. Bank)</t>
        </is>
      </c>
      <c r="W36" s="57" t="inlineStr">
        <is>
          <t>Yes (revolving)</t>
        </is>
      </c>
      <c r="X36" s="67" t="inlineStr">
        <is>
          <t>Unknown</t>
        </is>
      </c>
      <c r="Y36" s="60" t="inlineStr">
        <is>
          <t>Visa via Elan; APR/AF per Elan T&amp;C</t>
        </is>
      </c>
      <c r="Z36" s="60" t="inlineStr">
        <is>
          <t>TransUnion (Elan)</t>
        </is>
      </c>
      <c r="AA36" s="60" t="inlineStr">
        <is>
          <t>D&amp;B (delinquency-only)</t>
        </is>
      </c>
      <c r="AB36" s="60" t="inlineStr">
        <is>
          <t>No (delinquency-only)</t>
        </is>
      </c>
      <c r="AC36" s="60" t="inlineStr">
        <is>
          <t>Elan general</t>
        </is>
      </c>
      <c r="AD36" s="64" t="inlineStr">
        <is>
          <t>stacking.capital</t>
        </is>
      </c>
      <c r="AE36" s="60" t="inlineStr">
        <is>
          <t>No (Elan card)</t>
        </is>
      </c>
      <c r="AF36" s="60" t="inlineStr">
        <is>
          <t>No - underwritten</t>
        </is>
      </c>
      <c r="AG36" s="60" t="inlineStr">
        <is>
          <t>Issuer VERIFIED (Elan). In-person apply only.</t>
        </is>
      </c>
      <c r="AH36" s="64" t="inlineStr">
        <is>
          <t>universalbank.com/Resources/All-Services</t>
        </is>
      </c>
    </row>
    <row r="37" ht="15.75" customHeight="1">
      <c r="A37" s="57" t="n">
        <v>36</v>
      </c>
      <c r="B37" s="72" t="inlineStr">
        <is>
          <t>C - Agent-issued card</t>
        </is>
      </c>
      <c r="C37" s="60" t="inlineStr">
        <is>
          <t>California Bank of Commerce, N.A.</t>
        </is>
      </c>
      <c r="D37" s="60" t="inlineStr">
        <is>
          <t>2/4 (missing: self-UW, apply online)</t>
        </is>
      </c>
      <c r="E37" s="69" t="inlineStr">
        <is>
          <t>Bank</t>
        </is>
      </c>
      <c r="F37" s="61" t="inlineStr">
        <is>
          <t>Yes</t>
        </is>
      </c>
      <c r="G37" s="60" t="inlineStr">
        <is>
          <t>SoCal - San Diego</t>
        </is>
      </c>
      <c r="H37" s="62" t="inlineStr">
        <is>
          <t>CA-HQ (Southern California)</t>
        </is>
      </c>
      <c r="I37" s="63" t="inlineStr">
        <is>
          <t>$3k-$15k (est; Elan agent pattern, myFICO)</t>
        </is>
      </c>
      <c r="J37" s="60" t="inlineStr">
        <is>
          <t>$4.2B</t>
        </is>
      </c>
      <c r="K37" s="60" t="inlineStr">
        <is>
          <t>~$3.5B</t>
        </is>
      </c>
      <c r="L37" s="60" t="inlineStr">
        <is>
          <t>San Diego HQ; now California BanCorp (BCAL) after 2024 merger w/ Southern California Bancorp; SoCal + Bay Area office</t>
        </is>
      </c>
      <c r="M37" s="60" t="n">
        <v>56</v>
      </c>
      <c r="N37" s="60" t="inlineStr">
        <is>
          <t>San Diego</t>
        </is>
      </c>
      <c r="O37" s="60" t="inlineStr">
        <is>
          <t>San Diego</t>
        </is>
      </c>
      <c r="P37" s="64" t="inlineStr">
        <is>
          <t>californiabankofcommerce.com</t>
        </is>
      </c>
      <c r="Q37" s="65" t="inlineStr">
        <is>
          <t>Yes</t>
        </is>
      </c>
      <c r="R37" s="64" t="inlineStr">
        <is>
          <t>californiabankofcommerce.com business cards</t>
        </is>
      </c>
      <c r="S37" s="66" t="inlineStr">
        <is>
          <t>Partial online</t>
        </is>
      </c>
      <c r="T37" s="60" t="inlineStr">
        <is>
          <t>Via bank / Elan online portal</t>
        </is>
      </c>
      <c r="U37" s="67" t="inlineStr">
        <is>
          <t>No</t>
        </is>
      </c>
      <c r="V37" s="74" t="inlineStr">
        <is>
          <t>Elan Financial Services (U.S. Bank)</t>
        </is>
      </c>
      <c r="W37" s="57" t="inlineStr">
        <is>
          <t>Yes (revolving)</t>
        </is>
      </c>
      <c r="X37" s="67" t="inlineStr">
        <is>
          <t>Verify (issuer menu)</t>
        </is>
      </c>
      <c r="Y37" s="60" t="inlineStr">
        <is>
          <t>Agent-issued; APR/AF per issuer T&amp;C (not on page)</t>
        </is>
      </c>
      <c r="Z37" s="60" t="inlineStr">
        <is>
          <t>TransUnion (Elan)</t>
        </is>
      </c>
      <c r="AA37" s="60" t="inlineStr">
        <is>
          <t>D&amp;B (delinquency-only)</t>
        </is>
      </c>
      <c r="AB37" s="60" t="inlineStr">
        <is>
          <t>No (delinquency-only)</t>
        </is>
      </c>
      <c r="AC37" s="60" t="inlineStr">
        <is>
          <t>None found (small agent program)</t>
        </is>
      </c>
      <c r="AD37" s="60" t="inlineStr">
        <is>
          <t>-</t>
        </is>
      </c>
      <c r="AE37" s="60" t="inlineStr">
        <is>
          <t>No (agent card)</t>
        </is>
      </c>
      <c r="AF37" s="60" t="inlineStr">
        <is>
          <t>No - commercial/SBA underwritten</t>
        </is>
      </c>
      <c r="AG37" s="60" t="inlineStr">
        <is>
          <t>Issuer = Elan VERIFIED ('creditor and issuer is Elan'). &gt;$1B CA bank previously missing.</t>
        </is>
      </c>
      <c r="AH37" s="64" t="inlineStr">
        <is>
          <t>californiabankofcommerce.com</t>
        </is>
      </c>
    </row>
    <row r="38" ht="15.75" customHeight="1">
      <c r="A38" s="57" t="n">
        <v>37</v>
      </c>
      <c r="B38" s="72" t="inlineStr">
        <is>
          <t>C - Agent-issued card</t>
        </is>
      </c>
      <c r="C38" s="60" t="inlineStr">
        <is>
          <t>First General Bank</t>
        </is>
      </c>
      <c r="D38" s="60" t="inlineStr">
        <is>
          <t>2/4 (missing: self-UW, apply online)</t>
        </is>
      </c>
      <c r="E38" s="69" t="inlineStr">
        <is>
          <t>Bank</t>
        </is>
      </c>
      <c r="F38" s="61" t="inlineStr">
        <is>
          <t>Yes</t>
        </is>
      </c>
      <c r="G38" s="60" t="inlineStr">
        <is>
          <t>SoCal - LA County</t>
        </is>
      </c>
      <c r="H38" s="62" t="inlineStr">
        <is>
          <t>CA-HQ (Southern California)</t>
        </is>
      </c>
      <c r="I38" s="63" t="inlineStr">
        <is>
          <t>$2k-$10k (est; TCM community-bank pattern)</t>
        </is>
      </c>
      <c r="J38" s="60" t="inlineStr">
        <is>
          <t>$1.14B</t>
        </is>
      </c>
      <c r="K38" s="60" t="inlineStr">
        <is>
          <t>$0.82B</t>
        </is>
      </c>
      <c r="L38" s="60" t="inlineStr">
        <is>
          <t>San Gabriel Valley; Chinese-American focus</t>
        </is>
      </c>
      <c r="M38" s="60" t="n">
        <v>56</v>
      </c>
      <c r="N38" s="60" t="inlineStr">
        <is>
          <t>Rowland Heights</t>
        </is>
      </c>
      <c r="O38" s="60" t="inlineStr">
        <is>
          <t>Los Angeles</t>
        </is>
      </c>
      <c r="P38" s="64" t="inlineStr">
        <is>
          <t>fgbusa.com</t>
        </is>
      </c>
      <c r="Q38" s="65" t="inlineStr">
        <is>
          <t>Yes</t>
        </is>
      </c>
      <c r="R38" s="64" t="inlineStr">
        <is>
          <t>fgbusa.com/products-and-services/others</t>
        </is>
      </c>
      <c r="S38" s="70" t="inlineStr">
        <is>
          <t>In-person</t>
        </is>
      </c>
      <c r="T38" s="60" t="inlineStr">
        <is>
          <t>No online app (contact bank)</t>
        </is>
      </c>
      <c r="U38" s="67" t="inlineStr">
        <is>
          <t>No</t>
        </is>
      </c>
      <c r="V38" s="77" t="inlineStr">
        <is>
          <t>TCM Bank, N.A. (inferred)</t>
        </is>
      </c>
      <c r="W38" s="57" t="inlineStr">
        <is>
          <t>Yes (revolving)</t>
        </is>
      </c>
      <c r="X38" s="67" t="inlineStr">
        <is>
          <t>Verify (issuer menu)</t>
        </is>
      </c>
      <c r="Y38" s="60" t="inlineStr">
        <is>
          <t>Agent-issued; APR/AF per issuer T&amp;C (not on page)</t>
        </is>
      </c>
      <c r="Z38" s="60" t="inlineStr">
        <is>
          <t>Per issuer</t>
        </is>
      </c>
      <c r="AA38" s="60" t="inlineStr">
        <is>
          <t>Per issuer</t>
        </is>
      </c>
      <c r="AB38" s="60" t="inlineStr">
        <is>
          <t>No (typical)</t>
        </is>
      </c>
      <c r="AC38" s="60" t="inlineStr">
        <is>
          <t>None found (small agent program)</t>
        </is>
      </c>
      <c r="AD38" s="60" t="inlineStr">
        <is>
          <t>-</t>
        </is>
      </c>
      <c r="AE38" s="60" t="inlineStr">
        <is>
          <t>No (agent card)</t>
        </is>
      </c>
      <c r="AF38" s="60" t="inlineStr">
        <is>
          <t>No - commercial/SBA underwritten</t>
        </is>
      </c>
      <c r="AG38" s="60" t="inlineStr">
        <is>
          <t>Biz card exists; issuer INFERRED TCM (no issuer named, no online app).</t>
        </is>
      </c>
      <c r="AH38" s="64" t="inlineStr">
        <is>
          <t>fgbusa.com/products-and-services/others</t>
        </is>
      </c>
    </row>
    <row r="39" ht="15.75" customHeight="1">
      <c r="A39" s="57" t="n">
        <v>38</v>
      </c>
      <c r="B39" s="72" t="inlineStr">
        <is>
          <t>C - Agent-issued card</t>
        </is>
      </c>
      <c r="C39" s="60" t="inlineStr">
        <is>
          <t>East West Bank</t>
        </is>
      </c>
      <c r="D39" s="60" t="inlineStr">
        <is>
          <t>2/4 (missing: self-UW, apply online)</t>
        </is>
      </c>
      <c r="E39" s="69" t="inlineStr">
        <is>
          <t>Bank</t>
        </is>
      </c>
      <c r="F39" s="61" t="inlineStr">
        <is>
          <t>Yes</t>
        </is>
      </c>
      <c r="G39" s="60" t="inlineStr">
        <is>
          <t>SoCal - LA County</t>
        </is>
      </c>
      <c r="H39" s="62" t="inlineStr">
        <is>
          <t>CA-HQ (Southern California)</t>
        </is>
      </c>
      <c r="I39" s="63" t="inlineStr">
        <is>
          <t>$3k-$15k (est; Elan agent pattern, myFICO)</t>
        </is>
      </c>
      <c r="J39" s="60" t="inlineStr">
        <is>
          <t>$79.08B</t>
        </is>
      </c>
      <c r="K39" s="60" t="inlineStr">
        <is>
          <t>$66.73B</t>
        </is>
      </c>
      <c r="L39" s="60" t="inlineStr">
        <is>
          <t>~100 branches, 7 states; CA LA/Bay/SD; NV WA TX NY MA IL GA; Greater China</t>
        </is>
      </c>
      <c r="M39" s="60" t="n">
        <v>54</v>
      </c>
      <c r="N39" s="60" t="inlineStr">
        <is>
          <t>Pasadena</t>
        </is>
      </c>
      <c r="O39" s="60" t="inlineStr">
        <is>
          <t>Los Angeles</t>
        </is>
      </c>
      <c r="P39" s="64" t="inlineStr">
        <is>
          <t>eastwestbank.com</t>
        </is>
      </c>
      <c r="Q39" s="65" t="inlineStr">
        <is>
          <t>Yes</t>
        </is>
      </c>
      <c r="R39" s="64" t="inlineStr">
        <is>
          <t>eastwestbank.com/.../disbursements-and-payments</t>
        </is>
      </c>
      <c r="S39" s="70" t="inlineStr">
        <is>
          <t>In-person</t>
        </is>
      </c>
      <c r="T39" s="60" t="inlineStr">
        <is>
          <t>Via Treasury Mgmt / business banker (888-761-3967)</t>
        </is>
      </c>
      <c r="U39" s="67" t="inlineStr">
        <is>
          <t>No</t>
        </is>
      </c>
      <c r="V39" s="74" t="inlineStr">
        <is>
          <t>Elan Financial Services (U.S. Bank)</t>
        </is>
      </c>
      <c r="W39" s="57" t="inlineStr">
        <is>
          <t>Charge card</t>
        </is>
      </c>
      <c r="X39" s="67" t="inlineStr">
        <is>
          <t>No</t>
        </is>
      </c>
      <c r="Y39" s="60" t="inlineStr">
        <is>
          <t>Not published (corporate program, negotiated). One Card = T&amp;E/purchasing</t>
        </is>
      </c>
      <c r="Z39" s="60" t="inlineStr">
        <is>
          <t>Unknown</t>
        </is>
      </c>
      <c r="AA39" s="60" t="inlineStr">
        <is>
          <t>Unknown</t>
        </is>
      </c>
      <c r="AB39" s="60" t="inlineStr">
        <is>
          <t>Unknown</t>
        </is>
      </c>
      <c r="AC39" s="60" t="inlineStr">
        <is>
          <t>None for biz card (relationship/treasury product, no public app)</t>
        </is>
      </c>
      <c r="AD39" s="60" t="inlineStr">
        <is>
          <t>-</t>
        </is>
      </c>
      <c r="AE39" s="60" t="inlineStr">
        <is>
          <t>Yes (treasury-managed)</t>
        </is>
      </c>
      <c r="AF39" s="60" t="inlineStr">
        <is>
          <t>No - LOC/term/SBA/ABL/trade all underwritten</t>
        </is>
      </c>
      <c r="AG39" s="60" t="inlineStr">
        <is>
          <t>Issuer VERIFIED (Elan). Terms/bureaus UNKNOWN. No unsecured small-biz card.</t>
        </is>
      </c>
      <c r="AH39" s="64" t="inlineStr">
        <is>
          <t>eastwestbank.com disbursements-and-payments (Elan disclosure)</t>
        </is>
      </c>
    </row>
    <row r="40" ht="15.75" customHeight="1">
      <c r="A40" s="57" t="n">
        <v>39</v>
      </c>
      <c r="B40" s="72" t="inlineStr">
        <is>
          <t>C - Agent-issued card</t>
        </is>
      </c>
      <c r="C40" s="60" t="inlineStr">
        <is>
          <t>HCN Bank</t>
        </is>
      </c>
      <c r="D40" s="60" t="inlineStr">
        <is>
          <t>2/4 (missing: self-UW, apply online)</t>
        </is>
      </c>
      <c r="E40" s="69" t="inlineStr">
        <is>
          <t>Bank</t>
        </is>
      </c>
      <c r="F40" s="61" t="inlineStr">
        <is>
          <t>Yes</t>
        </is>
      </c>
      <c r="G40" s="60" t="inlineStr">
        <is>
          <t>SoCal - Inland Empire</t>
        </is>
      </c>
      <c r="H40" s="62" t="inlineStr">
        <is>
          <t>CA-HQ (Southern California)</t>
        </is>
      </c>
      <c r="I40" s="63" t="inlineStr">
        <is>
          <t>$3k-$15k (est; agent program)</t>
        </is>
      </c>
      <c r="J40" s="60" t="inlineStr">
        <is>
          <t>$0.996B</t>
        </is>
      </c>
      <c r="K40" s="60" t="inlineStr">
        <is>
          <t>$0.87B</t>
        </is>
      </c>
      <c r="L40" s="60" t="inlineStr">
        <is>
          <t>Inland Empire (Riverside) community bank</t>
        </is>
      </c>
      <c r="M40" s="60" t="n">
        <v>54</v>
      </c>
      <c r="N40" s="60" t="inlineStr">
        <is>
          <t>Riverside</t>
        </is>
      </c>
      <c r="O40" s="60" t="inlineStr">
        <is>
          <t>Riverside</t>
        </is>
      </c>
      <c r="P40" s="64" t="inlineStr">
        <is>
          <t>hcnbank.com</t>
        </is>
      </c>
      <c r="Q40" s="65" t="inlineStr">
        <is>
          <t>Yes</t>
        </is>
      </c>
      <c r="R40" s="64" t="inlineStr">
        <is>
          <t>hcnbank.com/Business-Credit-Cards/</t>
        </is>
      </c>
      <c r="S40" s="70" t="inlineStr">
        <is>
          <t>In-person</t>
        </is>
      </c>
      <c r="T40" s="60" t="inlineStr">
        <is>
          <t>Print/fax/mail (TIB Card Service Center)</t>
        </is>
      </c>
      <c r="U40" s="67" t="inlineStr">
        <is>
          <t>No</t>
        </is>
      </c>
      <c r="V40" s="78" t="inlineStr">
        <is>
          <t>TIB, N.A. (agent)</t>
        </is>
      </c>
      <c r="W40" s="57" t="inlineStr">
        <is>
          <t>Yes (revolving)</t>
        </is>
      </c>
      <c r="X40" s="67" t="inlineStr">
        <is>
          <t>No (no intro shown)</t>
        </is>
      </c>
      <c r="Y40" s="60" t="inlineStr">
        <is>
          <t>Agent-issued; APR/AF per issuer T&amp;C (not on page)</t>
        </is>
      </c>
      <c r="Z40" s="60" t="inlineStr">
        <is>
          <t>Per TIB</t>
        </is>
      </c>
      <c r="AA40" s="60" t="inlineStr">
        <is>
          <t>Per issuer</t>
        </is>
      </c>
      <c r="AB40" s="60" t="inlineStr">
        <is>
          <t>No (typical)</t>
        </is>
      </c>
      <c r="AC40" s="60" t="inlineStr">
        <is>
          <t>None found (small agent program)</t>
        </is>
      </c>
      <c r="AD40" s="60" t="inlineStr">
        <is>
          <t>-</t>
        </is>
      </c>
      <c r="AE40" s="60" t="inlineStr">
        <is>
          <t>No (agent card)</t>
        </is>
      </c>
      <c r="AF40" s="60" t="inlineStr">
        <is>
          <t>No - commercial/SBA underwritten</t>
        </is>
      </c>
      <c r="AG40" s="60" t="inlineStr">
        <is>
          <t>Issuer = TIB VERIFIED ('underwritten, approved and serviced by TIB'). Offline apply.</t>
        </is>
      </c>
      <c r="AH40" s="64" t="inlineStr">
        <is>
          <t>hcnbank.com/Business-Credit-Cards/</t>
        </is>
      </c>
    </row>
    <row r="41" ht="15.75" customHeight="1">
      <c r="A41" s="57" t="n">
        <v>40</v>
      </c>
      <c r="B41" s="72" t="inlineStr">
        <is>
          <t>C - Agent-issued card</t>
        </is>
      </c>
      <c r="C41" s="60" t="inlineStr">
        <is>
          <t>Partners Bank of California</t>
        </is>
      </c>
      <c r="D41" s="60" t="inlineStr">
        <is>
          <t>2/4 (missing: self-UW, apply online)</t>
        </is>
      </c>
      <c r="E41" s="69" t="inlineStr">
        <is>
          <t>Bank</t>
        </is>
      </c>
      <c r="F41" s="61" t="inlineStr">
        <is>
          <t>Yes</t>
        </is>
      </c>
      <c r="G41" s="60" t="inlineStr">
        <is>
          <t>SoCal - Orange County</t>
        </is>
      </c>
      <c r="H41" s="62" t="inlineStr">
        <is>
          <t>CA-HQ (Southern California)</t>
        </is>
      </c>
      <c r="I41" s="63" t="inlineStr">
        <is>
          <t>$2k-$10k (est; TCM community-bank pattern)</t>
        </is>
      </c>
      <c r="J41" s="60" t="inlineStr">
        <is>
          <t>$0.78B</t>
        </is>
      </c>
      <c r="K41" s="60" t="inlineStr">
        <is>
          <t>$0.71B</t>
        </is>
      </c>
      <c r="L41" s="60" t="inlineStr">
        <is>
          <t>South Orange County community bank</t>
        </is>
      </c>
      <c r="M41" s="60" t="n">
        <v>54</v>
      </c>
      <c r="N41" s="60" t="inlineStr">
        <is>
          <t>Mission Viejo</t>
        </is>
      </c>
      <c r="O41" s="60" t="inlineStr">
        <is>
          <t>Orange</t>
        </is>
      </c>
      <c r="P41" s="64" t="inlineStr">
        <is>
          <t>pbofca.com</t>
        </is>
      </c>
      <c r="Q41" s="65" t="inlineStr">
        <is>
          <t>Yes</t>
        </is>
      </c>
      <c r="R41" s="64" t="inlineStr">
        <is>
          <t>pbofca.com/product/business-banking/lending-solutions/</t>
        </is>
      </c>
      <c r="S41" s="70" t="inlineStr">
        <is>
          <t>In-person</t>
        </is>
      </c>
      <c r="T41" s="60" t="inlineStr">
        <is>
          <t>Banker/phone (no online app)</t>
        </is>
      </c>
      <c r="U41" s="67" t="inlineStr">
        <is>
          <t>No</t>
        </is>
      </c>
      <c r="V41" s="77" t="inlineStr">
        <is>
          <t>TCM Bank, N.A. (inferred)</t>
        </is>
      </c>
      <c r="W41" s="57" t="inlineStr">
        <is>
          <t>Yes (revolving)</t>
        </is>
      </c>
      <c r="X41" s="67" t="inlineStr">
        <is>
          <t>Unknown</t>
        </is>
      </c>
      <c r="Y41" s="60" t="inlineStr">
        <is>
          <t>Mastercard Business / Preferred Points (1 pt/$1, up to 10k/mo)</t>
        </is>
      </c>
      <c r="Z41" s="60" t="inlineStr">
        <is>
          <t>Experian (TCM typical, inferred)</t>
        </is>
      </c>
      <c r="AA41" s="60" t="inlineStr">
        <is>
          <t>Unknown</t>
        </is>
      </c>
      <c r="AB41" s="60" t="inlineStr">
        <is>
          <t>Unknown</t>
        </is>
      </c>
      <c r="AC41" s="60" t="inlineStr">
        <is>
          <t>None found</t>
        </is>
      </c>
      <c r="AD41" s="60" t="inlineStr">
        <is>
          <t>-</t>
        </is>
      </c>
      <c r="AE41" s="60" t="inlineStr">
        <is>
          <t>Verify</t>
        </is>
      </c>
      <c r="AF41" s="60" t="inlineStr">
        <is>
          <t>No - commercial underwritten</t>
        </is>
      </c>
      <c r="AG41" s="60" t="inlineStr">
        <is>
          <t>Issuer = TCM Bank (INFERRED, Preferred Points suite). No online app.</t>
        </is>
      </c>
      <c r="AH41" s="64" t="inlineStr">
        <is>
          <t>pbofca.com/product/business-banking/lending-solutions/</t>
        </is>
      </c>
    </row>
    <row r="42" ht="15.75" customHeight="1">
      <c r="A42" s="57" t="n">
        <v>41</v>
      </c>
      <c r="B42" s="72" t="inlineStr">
        <is>
          <t>C - Agent-issued card</t>
        </is>
      </c>
      <c r="C42" s="60" t="inlineStr">
        <is>
          <t>Genesis Bank</t>
        </is>
      </c>
      <c r="D42" s="60" t="inlineStr">
        <is>
          <t>2/4 (missing: self-UW, apply online)</t>
        </is>
      </c>
      <c r="E42" s="69" t="inlineStr">
        <is>
          <t>Bank</t>
        </is>
      </c>
      <c r="F42" s="61" t="inlineStr">
        <is>
          <t>Yes</t>
        </is>
      </c>
      <c r="G42" s="60" t="inlineStr">
        <is>
          <t>SoCal - Orange County</t>
        </is>
      </c>
      <c r="H42" s="62" t="inlineStr">
        <is>
          <t>CA-HQ (Southern California)</t>
        </is>
      </c>
      <c r="I42" s="63" t="inlineStr">
        <is>
          <t>$3k-$15k (est; agent program)</t>
        </is>
      </c>
      <c r="J42" s="60" t="inlineStr">
        <is>
          <t>$0.42B</t>
        </is>
      </c>
      <c r="K42" s="60" t="inlineStr">
        <is>
          <t>$0.37B</t>
        </is>
      </c>
      <c r="L42" s="60" t="inlineStr">
        <is>
          <t>Orange County de novo bank (2020)</t>
        </is>
      </c>
      <c r="M42" s="60" t="n">
        <v>54</v>
      </c>
      <c r="N42" s="60" t="inlineStr">
        <is>
          <t>Newport Beach</t>
        </is>
      </c>
      <c r="O42" s="60" t="inlineStr">
        <is>
          <t>Orange</t>
        </is>
      </c>
      <c r="P42" s="64" t="inlineStr">
        <is>
          <t>mygenesisbank.com</t>
        </is>
      </c>
      <c r="Q42" s="65" t="inlineStr">
        <is>
          <t>Yes</t>
        </is>
      </c>
      <c r="R42" s="64" t="inlineStr">
        <is>
          <t>mygenesisbank.com/commercial-banking/business-loans/loan-products</t>
        </is>
      </c>
      <c r="S42" s="70" t="inlineStr">
        <is>
          <t>In-person</t>
        </is>
      </c>
      <c r="T42" s="60" t="inlineStr">
        <is>
          <t>No online app (contact 949-273-1226)</t>
        </is>
      </c>
      <c r="U42" s="67" t="inlineStr">
        <is>
          <t>No</t>
        </is>
      </c>
      <c r="V42" s="72" t="inlineStr">
        <is>
          <t>Unknown (issuer not disclosed)</t>
        </is>
      </c>
      <c r="W42" s="57" t="inlineStr">
        <is>
          <t>Yes (revolving)</t>
        </is>
      </c>
      <c r="X42" s="67" t="inlineStr">
        <is>
          <t>Verify (issuer menu)</t>
        </is>
      </c>
      <c r="Y42" s="60" t="inlineStr">
        <is>
          <t>Agent-issued; APR/AF per issuer T&amp;C (not on page)</t>
        </is>
      </c>
      <c r="Z42" s="60" t="inlineStr">
        <is>
          <t>Per issuer</t>
        </is>
      </c>
      <c r="AA42" s="60" t="inlineStr">
        <is>
          <t>Per issuer</t>
        </is>
      </c>
      <c r="AB42" s="60" t="inlineStr">
        <is>
          <t>No (typical)</t>
        </is>
      </c>
      <c r="AC42" s="60" t="inlineStr">
        <is>
          <t>None found (small agent program)</t>
        </is>
      </c>
      <c r="AD42" s="60" t="inlineStr">
        <is>
          <t>-</t>
        </is>
      </c>
      <c r="AE42" s="60" t="inlineStr">
        <is>
          <t>No (agent card)</t>
        </is>
      </c>
      <c r="AF42" s="60" t="inlineStr">
        <is>
          <t>No - commercial/SBA underwritten</t>
        </is>
      </c>
      <c r="AG42" s="60" t="inlineStr">
        <is>
          <t>Biz card marketed but NO card name/terms/issuer disclosed. Issuer UNKNOWN (call to confirm self vs agent).</t>
        </is>
      </c>
      <c r="AH42" s="64" t="inlineStr">
        <is>
          <t>mygenesisbank.com/commercial-banking/business-loans/loan-products</t>
        </is>
      </c>
    </row>
    <row r="43" ht="15.75" customHeight="1">
      <c r="A43" s="57" t="n">
        <v>42</v>
      </c>
      <c r="B43" s="72" t="inlineStr">
        <is>
          <t>C - Agent-issued card</t>
        </is>
      </c>
      <c r="C43" s="60" t="inlineStr">
        <is>
          <t>American Business Bank</t>
        </is>
      </c>
      <c r="D43" s="60" t="inlineStr">
        <is>
          <t>2/4 (missing: self-UW, apply online)</t>
        </is>
      </c>
      <c r="E43" s="69" t="inlineStr">
        <is>
          <t>Bank</t>
        </is>
      </c>
      <c r="F43" s="61" t="inlineStr">
        <is>
          <t>Yes</t>
        </is>
      </c>
      <c r="G43" s="60" t="inlineStr">
        <is>
          <t>SoCal - LA County</t>
        </is>
      </c>
      <c r="H43" s="62" t="inlineStr">
        <is>
          <t>CA-HQ (Southern California)</t>
        </is>
      </c>
      <c r="I43" s="63" t="inlineStr">
        <is>
          <t>$3k-$15k (est; agent program)</t>
        </is>
      </c>
      <c r="J43" s="60" t="inlineStr">
        <is>
          <t>$4.46B</t>
        </is>
      </c>
      <c r="K43" s="60" t="inlineStr">
        <is>
          <t>$4.00B</t>
        </is>
      </c>
      <c r="L43" s="60" t="inlineStr">
        <is>
          <t>Downtown LA commercial bank; relationship-driven</t>
        </is>
      </c>
      <c r="M43" s="60" t="n">
        <v>48</v>
      </c>
      <c r="N43" s="60" t="inlineStr">
        <is>
          <t>Los Angeles</t>
        </is>
      </c>
      <c r="O43" s="60" t="inlineStr">
        <is>
          <t>Los Angeles</t>
        </is>
      </c>
      <c r="P43" s="64" t="inlineStr">
        <is>
          <t>americanbb.bank</t>
        </is>
      </c>
      <c r="Q43" s="65" t="inlineStr">
        <is>
          <t>Yes</t>
        </is>
      </c>
      <c r="R43" s="64" t="inlineStr">
        <is>
          <t>americanbb.bank/services/relationship-banking/credit-services/</t>
        </is>
      </c>
      <c r="S43" s="70" t="inlineStr">
        <is>
          <t>In-person</t>
        </is>
      </c>
      <c r="T43" s="60" t="inlineStr">
        <is>
          <t>Relationship/in-person only</t>
        </is>
      </c>
      <c r="U43" s="67" t="inlineStr">
        <is>
          <t>No</t>
        </is>
      </c>
      <c r="V43" s="79" t="inlineStr">
        <is>
          <t>Relationship-only (corporate card; issuer not disclosed)</t>
        </is>
      </c>
      <c r="W43" s="57" t="inlineStr">
        <is>
          <t>-</t>
        </is>
      </c>
      <c r="X43" s="67" t="inlineStr">
        <is>
          <t>No</t>
        </is>
      </c>
      <c r="Y43" s="60" t="inlineStr">
        <is>
          <t>Corporate credit cards under relationship banking; no product page/Schumer box</t>
        </is>
      </c>
      <c r="Z43" s="60" t="inlineStr">
        <is>
          <t>Unknown</t>
        </is>
      </c>
      <c r="AA43" s="60" t="inlineStr">
        <is>
          <t>Unknown</t>
        </is>
      </c>
      <c r="AB43" s="60" t="inlineStr">
        <is>
          <t>Unknown</t>
        </is>
      </c>
      <c r="AC43" s="60" t="inlineStr">
        <is>
          <t>None found</t>
        </is>
      </c>
      <c r="AD43" s="60" t="inlineStr">
        <is>
          <t>-</t>
        </is>
      </c>
      <c r="AE43" s="60" t="inlineStr">
        <is>
          <t>Yes (relationship)</t>
        </is>
      </c>
      <c r="AF43" s="60" t="inlineStr">
        <is>
          <t>No - commercial underwritten</t>
        </is>
      </c>
      <c r="AG43" s="60" t="inlineStr">
        <is>
          <t>Corporate card only, no online app, issuer undisclosed.</t>
        </is>
      </c>
      <c r="AH43" s="64" t="inlineStr">
        <is>
          <t>americanbb.bank</t>
        </is>
      </c>
    </row>
    <row r="44" ht="15.75" customHeight="1">
      <c r="A44" s="57" t="n">
        <v>43</v>
      </c>
      <c r="B44" s="72" t="inlineStr">
        <is>
          <t>C - Agent-issued card</t>
        </is>
      </c>
      <c r="C44" s="60" t="inlineStr">
        <is>
          <t>CalPrivate Bank</t>
        </is>
      </c>
      <c r="D44" s="60" t="inlineStr">
        <is>
          <t>2/4 (missing: self-UW, apply online)</t>
        </is>
      </c>
      <c r="E44" s="69" t="inlineStr">
        <is>
          <t>Bank</t>
        </is>
      </c>
      <c r="F44" s="61" t="inlineStr">
        <is>
          <t>Yes</t>
        </is>
      </c>
      <c r="G44" s="60" t="inlineStr">
        <is>
          <t>SoCal - San Diego</t>
        </is>
      </c>
      <c r="H44" s="62" t="inlineStr">
        <is>
          <t>CA-HQ (Southern California)</t>
        </is>
      </c>
      <c r="I44" s="63" t="inlineStr">
        <is>
          <t>$3k-$15k (est; agent program)</t>
        </is>
      </c>
      <c r="J44" s="60" t="inlineStr">
        <is>
          <t>$2.58B</t>
        </is>
      </c>
      <c r="K44" s="60" t="inlineStr">
        <is>
          <t>$2.28B</t>
        </is>
      </c>
      <c r="L44" s="60" t="inlineStr">
        <is>
          <t>San Diego + OC + LA private/business bank</t>
        </is>
      </c>
      <c r="M44" s="60" t="n">
        <v>45</v>
      </c>
      <c r="N44" s="60" t="inlineStr">
        <is>
          <t>La Jolla</t>
        </is>
      </c>
      <c r="O44" s="60" t="inlineStr">
        <is>
          <t>San Diego</t>
        </is>
      </c>
      <c r="P44" s="64" t="inlineStr">
        <is>
          <t>calprivate.bank</t>
        </is>
      </c>
      <c r="Q44" s="65" t="inlineStr">
        <is>
          <t>Yes</t>
        </is>
      </c>
      <c r="R44" s="64" t="inlineStr">
        <is>
          <t>calprivate.bank/business-banking/business-credit-cards/</t>
        </is>
      </c>
      <c r="S44" s="70" t="inlineStr">
        <is>
          <t>In-person</t>
        </is>
      </c>
      <c r="T44" s="60" t="inlineStr">
        <is>
          <t>Contact-banker form (no online app)</t>
        </is>
      </c>
      <c r="U44" s="67" t="inlineStr">
        <is>
          <t>No</t>
        </is>
      </c>
      <c r="V44" s="78" t="inlineStr">
        <is>
          <t>TIB, N.A. (agent, inferred)</t>
        </is>
      </c>
      <c r="W44" s="57" t="inlineStr">
        <is>
          <t>Yes (revolving)</t>
        </is>
      </c>
      <c r="X44" s="67" t="inlineStr">
        <is>
          <t>Unknown (see application)</t>
        </is>
      </c>
      <c r="Y44" s="60" t="inlineStr">
        <is>
          <t>Business Standard ($0 AF) + Business Preferred Points ($49 AF, 1 pt/$1, 25-day grace)</t>
        </is>
      </c>
      <c r="Z44" s="60" t="inlineStr">
        <is>
          <t>Unknown (TIB)</t>
        </is>
      </c>
      <c r="AA44" s="60" t="inlineStr">
        <is>
          <t>Unknown</t>
        </is>
      </c>
      <c r="AB44" s="60" t="inlineStr">
        <is>
          <t>Unknown</t>
        </is>
      </c>
      <c r="AC44" s="60" t="inlineStr">
        <is>
          <t>None found</t>
        </is>
      </c>
      <c r="AD44" s="60" t="inlineStr">
        <is>
          <t>-</t>
        </is>
      </c>
      <c r="AE44" s="60" t="inlineStr">
        <is>
          <t>Verify</t>
        </is>
      </c>
      <c r="AF44" s="60" t="inlineStr">
        <is>
          <t>No - private/commercial underwritten</t>
        </is>
      </c>
      <c r="AG44" s="60" t="inlineStr">
        <is>
          <t>Issuer = TIB N.A. (agent, INFERRED via cardaccount.net/tib.fdecs.com). In-person apply.</t>
        </is>
      </c>
      <c r="AH44" s="64" t="inlineStr">
        <is>
          <t>calprivate.bank/business-banking/business-credit-cards/</t>
        </is>
      </c>
    </row>
    <row r="45" ht="15.75" customHeight="1">
      <c r="A45" s="57" t="n">
        <v>44</v>
      </c>
      <c r="B45" s="72" t="inlineStr">
        <is>
          <t>C - Agent-issued card</t>
        </is>
      </c>
      <c r="C45" s="60" t="inlineStr">
        <is>
          <t>Axos Bank</t>
        </is>
      </c>
      <c r="D45" s="60" t="inlineStr">
        <is>
          <t>2/4 (missing: self-UW, apply online)</t>
        </is>
      </c>
      <c r="E45" s="69" t="inlineStr">
        <is>
          <t>Bank</t>
        </is>
      </c>
      <c r="F45" s="61" t="inlineStr">
        <is>
          <t>Yes</t>
        </is>
      </c>
      <c r="G45" s="60" t="inlineStr">
        <is>
          <t>SoCal - San Diego</t>
        </is>
      </c>
      <c r="H45" s="62" t="inlineStr">
        <is>
          <t>CA-HQ (Southern California)</t>
        </is>
      </c>
      <c r="I45" s="63" t="inlineStr">
        <is>
          <t>$3k-$15k (est; Elan agent pattern, myFICO)</t>
        </is>
      </c>
      <c r="J45" s="60" t="inlineStr">
        <is>
          <t>$26.35B</t>
        </is>
      </c>
      <c r="K45" s="60" t="inlineStr">
        <is>
          <t>$22.62B</t>
        </is>
      </c>
      <c r="L45" s="60" t="inlineStr">
        <is>
          <t>Online/digital bank; 2 branches (San Diego HQ, Las Vegas NV); national digital</t>
        </is>
      </c>
      <c r="M45" s="60" t="n">
        <v>44</v>
      </c>
      <c r="N45" s="60" t="inlineStr">
        <is>
          <t>San Diego</t>
        </is>
      </c>
      <c r="O45" s="60" t="inlineStr">
        <is>
          <t>San Diego</t>
        </is>
      </c>
      <c r="P45" s="64" t="inlineStr">
        <is>
          <t>axosbank.com</t>
        </is>
      </c>
      <c r="Q45" s="65" t="inlineStr">
        <is>
          <t>Yes</t>
        </is>
      </c>
      <c r="R45" s="64" t="inlineStr">
        <is>
          <t>axosbank.com/commercial/banking/global-treasury-management/commercial-credit-card</t>
        </is>
      </c>
      <c r="S45" s="70" t="inlineStr">
        <is>
          <t>In-person</t>
        </is>
      </c>
      <c r="T45" s="60" t="inlineStr">
        <is>
          <t>Schedule-a-call / consultation form only</t>
        </is>
      </c>
      <c r="U45" s="67" t="inlineStr">
        <is>
          <t>No</t>
        </is>
      </c>
      <c r="V45" s="74" t="inlineStr">
        <is>
          <t>Elan Financial Services via Fiserv Credit Choice</t>
        </is>
      </c>
      <c r="W45" s="57" t="inlineStr">
        <is>
          <t>Yes (revolving)</t>
        </is>
      </c>
      <c r="X45" s="67" t="inlineStr">
        <is>
          <t>No</t>
        </is>
      </c>
      <c r="Y45" s="60" t="inlineStr">
        <is>
          <t>Commercial Credit Card 1% cash back $0 AF; Charge Card up to 1.75% rebates $0 AF, no FX. APR not published</t>
        </is>
      </c>
      <c r="Z45" s="60" t="inlineStr">
        <is>
          <t>TransUnion (Elan, inferred)</t>
        </is>
      </c>
      <c r="AA45" s="60" t="inlineStr">
        <is>
          <t>Elan model (delinquency-only); SBFE plausible</t>
        </is>
      </c>
      <c r="AB45" s="60" t="inlineStr">
        <is>
          <t>No (delinquency-only)</t>
        </is>
      </c>
      <c r="AC45" s="60" t="inlineStr">
        <is>
          <t>None found (RM-sold commercial cards)</t>
        </is>
      </c>
      <c r="AD45" s="60" t="inlineStr">
        <is>
          <t>-</t>
        </is>
      </c>
      <c r="AE45" s="60" t="inlineStr">
        <is>
          <t>Yes (payments debit Axos acct; treasury)</t>
        </is>
      </c>
      <c r="AF45" s="60" t="inlineStr">
        <is>
          <t>No - commercial LOC/term (2yr+ in biz, PG, $250k-$10M), SBA</t>
        </is>
      </c>
      <c r="AG45" s="60" t="inlineStr">
        <is>
          <t>Issuer = Elan via Fiserv (platform VERIFIED; exact legal issuer inferred). No online apply.</t>
        </is>
      </c>
      <c r="AH45" s="64" t="inlineStr">
        <is>
          <t>axosbank.com; ir.usbank.com (Fiserv Credit Choice 2025)</t>
        </is>
      </c>
    </row>
    <row r="46" ht="15.75" customHeight="1">
      <c r="A46" s="57" t="n">
        <v>45</v>
      </c>
      <c r="B46" s="80" t="inlineStr">
        <is>
          <t>D - No business card</t>
        </is>
      </c>
      <c r="C46" s="79" t="inlineStr">
        <is>
          <t>SchoolsFirst FCU</t>
        </is>
      </c>
      <c r="D46" s="60" t="inlineStr">
        <is>
          <t>- no business card</t>
        </is>
      </c>
      <c r="E46" s="61" t="inlineStr">
        <is>
          <t>Credit Union</t>
        </is>
      </c>
      <c r="F46" s="61" t="inlineStr">
        <is>
          <t>Yes</t>
        </is>
      </c>
      <c r="G46" s="60" t="inlineStr">
        <is>
          <t>SoCal - Orange County</t>
        </is>
      </c>
      <c r="H46" s="62" t="inlineStr">
        <is>
          <t>CA-HQ (Southern California)</t>
        </is>
      </c>
      <c r="I46" s="79" t="inlineStr">
        <is>
          <t>N/A (no business card)</t>
        </is>
      </c>
      <c r="J46" s="60" t="inlineStr">
        <is>
          <t>~$33-35B</t>
        </is>
      </c>
      <c r="K46" s="60" t="inlineStr">
        <is>
          <t>~&gt;$30B (shares)</t>
        </is>
      </c>
      <c r="L46" s="60" t="inlineStr">
        <is>
          <t>~72 CA branches; education membership (restricted)</t>
        </is>
      </c>
      <c r="M46" s="60" t="n">
        <v>-57</v>
      </c>
      <c r="N46" s="60" t="inlineStr">
        <is>
          <t>Tustin</t>
        </is>
      </c>
      <c r="O46" s="60" t="inlineStr">
        <is>
          <t>Orange</t>
        </is>
      </c>
      <c r="P46" s="64" t="inlineStr">
        <is>
          <t>schoolsfirstfcu.org</t>
        </is>
      </c>
      <c r="Q46" s="81" t="inlineStr">
        <is>
          <t>No</t>
        </is>
      </c>
      <c r="R46" s="64" t="inlineStr">
        <is>
          <t>schoolsfirstfcu.org/.../credit-cards</t>
        </is>
      </c>
      <c r="S46" s="67" t="inlineStr">
        <is>
          <t>No card</t>
        </is>
      </c>
      <c r="T46" s="60" t="inlineStr">
        <is>
          <t>-</t>
        </is>
      </c>
      <c r="U46" s="67" t="inlineStr">
        <is>
          <t>-</t>
        </is>
      </c>
      <c r="V46" s="79" t="inlineStr">
        <is>
          <t>None (consumer-only cards)</t>
        </is>
      </c>
      <c r="W46" s="57" t="inlineStr">
        <is>
          <t>-</t>
        </is>
      </c>
      <c r="X46" s="67" t="inlineStr">
        <is>
          <t>-</t>
        </is>
      </c>
      <c r="Y46" s="60" t="inlineStr">
        <is>
          <t>No business credit card (consumer Mastercards only)</t>
        </is>
      </c>
      <c r="Z46" s="60" t="inlineStr">
        <is>
          <t>Experian (consumer)</t>
        </is>
      </c>
      <c r="AA46" s="60" t="inlineStr">
        <is>
          <t>-</t>
        </is>
      </c>
      <c r="AB46" s="60" t="inlineStr">
        <is>
          <t>-</t>
        </is>
      </c>
      <c r="AC46" s="60" t="inlineStr">
        <is>
          <t>Consumer only: ~$10k start, CLIs to ~$42k, triple-approval threads</t>
        </is>
      </c>
      <c r="AD46" s="64" t="inlineStr">
        <is>
          <t>myFICO threads</t>
        </is>
      </c>
      <c r="AE46" s="60" t="inlineStr">
        <is>
          <t>Member required (education-tied, restricted)</t>
        </is>
      </c>
      <c r="AF46" s="60" t="inlineStr">
        <is>
          <t>None - no business lending</t>
        </is>
      </c>
      <c r="AG46" s="60" t="inlineStr">
        <is>
          <t>KEY: consumer-only CU, restricted membership. Not a business-card vehicle.</t>
        </is>
      </c>
      <c r="AH46" s="64" t="inlineStr">
        <is>
          <t>schoolsfirstfcu.org/.../credit-cards; eligibility</t>
        </is>
      </c>
    </row>
    <row r="47" ht="15.75" customHeight="1">
      <c r="A47" s="57" t="n">
        <v>46</v>
      </c>
      <c r="B47" s="80" t="inlineStr">
        <is>
          <t>D - No business card</t>
        </is>
      </c>
      <c r="C47" s="79" t="inlineStr">
        <is>
          <t>First American Trust, FSB</t>
        </is>
      </c>
      <c r="D47" s="60" t="inlineStr">
        <is>
          <t>- no business card</t>
        </is>
      </c>
      <c r="E47" s="69" t="inlineStr">
        <is>
          <t>Bank</t>
        </is>
      </c>
      <c r="F47" s="61" t="inlineStr">
        <is>
          <t>Yes</t>
        </is>
      </c>
      <c r="G47" s="60" t="inlineStr">
        <is>
          <t>SoCal - Orange County</t>
        </is>
      </c>
      <c r="H47" s="62" t="inlineStr">
        <is>
          <t>CA-HQ (Southern California)</t>
        </is>
      </c>
      <c r="I47" s="79" t="inlineStr">
        <is>
          <t>N/A (no business card)</t>
        </is>
      </c>
      <c r="J47" s="60" t="inlineStr">
        <is>
          <t>$7.98B</t>
        </is>
      </c>
      <c r="K47" s="60" t="inlineStr">
        <is>
          <t>$7.49B</t>
        </is>
      </c>
      <c r="L47" s="60" t="inlineStr">
        <is>
          <t>Wealth mgmt + title/escrow commercial deposits (First American Financial)</t>
        </is>
      </c>
      <c r="M47" s="60" t="n">
        <v>-59</v>
      </c>
      <c r="N47" s="60" t="inlineStr">
        <is>
          <t>Santa Ana</t>
        </is>
      </c>
      <c r="O47" s="60" t="inlineStr">
        <is>
          <t>Orange</t>
        </is>
      </c>
      <c r="P47" s="64" t="inlineStr">
        <is>
          <t>firstamtrust.com</t>
        </is>
      </c>
      <c r="Q47" s="81" t="inlineStr">
        <is>
          <t>No</t>
        </is>
      </c>
      <c r="R47" s="60" t="inlineStr">
        <is>
          <t>-</t>
        </is>
      </c>
      <c r="S47" s="67" t="inlineStr">
        <is>
          <t>No card</t>
        </is>
      </c>
      <c r="T47" s="60" t="inlineStr">
        <is>
          <t>-</t>
        </is>
      </c>
      <c r="U47" s="67" t="inlineStr">
        <is>
          <t>-</t>
        </is>
      </c>
      <c r="V47" s="79" t="inlineStr">
        <is>
          <t>None (no business card)</t>
        </is>
      </c>
      <c r="W47" s="57" t="inlineStr">
        <is>
          <t>-</t>
        </is>
      </c>
      <c r="X47" s="67" t="inlineStr">
        <is>
          <t>-</t>
        </is>
      </c>
      <c r="Y47" s="60" t="inlineStr">
        <is>
          <t>No business credit card (fiduciary/title-industry bank)</t>
        </is>
      </c>
      <c r="Z47" s="60" t="inlineStr">
        <is>
          <t>-</t>
        </is>
      </c>
      <c r="AA47" s="60" t="inlineStr">
        <is>
          <t>-</t>
        </is>
      </c>
      <c r="AB47" s="60" t="inlineStr">
        <is>
          <t>-</t>
        </is>
      </c>
      <c r="AC47" s="60" t="inlineStr">
        <is>
          <t>-</t>
        </is>
      </c>
      <c r="AD47" s="60" t="inlineStr">
        <is>
          <t>-</t>
        </is>
      </c>
      <c r="AE47" s="60" t="inlineStr">
        <is>
          <t>-</t>
        </is>
      </c>
      <c r="AF47" s="60" t="inlineStr">
        <is>
          <t>No card product</t>
        </is>
      </c>
      <c r="AG47" s="60" t="inlineStr">
        <is>
          <t>No business or consumer card. VERIFIED.</t>
        </is>
      </c>
      <c r="AH47" s="64" t="inlineStr">
        <is>
          <t>firstamtrust.com</t>
        </is>
      </c>
    </row>
    <row r="48" ht="15.75" customHeight="1">
      <c r="A48" s="57" t="n">
        <v>47</v>
      </c>
      <c r="B48" s="80" t="inlineStr">
        <is>
          <t>D - No business card</t>
        </is>
      </c>
      <c r="C48" s="79" t="inlineStr">
        <is>
          <t>Commercial Bank of California</t>
        </is>
      </c>
      <c r="D48" s="60" t="inlineStr">
        <is>
          <t>- no business card</t>
        </is>
      </c>
      <c r="E48" s="69" t="inlineStr">
        <is>
          <t>Bank</t>
        </is>
      </c>
      <c r="F48" s="61" t="inlineStr">
        <is>
          <t>Yes</t>
        </is>
      </c>
      <c r="G48" s="60" t="inlineStr">
        <is>
          <t>SoCal - Orange County</t>
        </is>
      </c>
      <c r="H48" s="62" t="inlineStr">
        <is>
          <t>CA-HQ (Southern California)</t>
        </is>
      </c>
      <c r="I48" s="79" t="inlineStr">
        <is>
          <t>N/A (no business card)</t>
        </is>
      </c>
      <c r="J48" s="60" t="inlineStr">
        <is>
          <t>$3.85B</t>
        </is>
      </c>
      <c r="K48" s="60" t="inlineStr">
        <is>
          <t>$3.22B</t>
        </is>
      </c>
      <c r="L48" s="60" t="inlineStr">
        <is>
          <t>OC commercial bank; merchant services + lending</t>
        </is>
      </c>
      <c r="M48" s="60" t="n">
        <v>-59</v>
      </c>
      <c r="N48" s="60" t="inlineStr">
        <is>
          <t>Irvine</t>
        </is>
      </c>
      <c r="O48" s="60" t="inlineStr">
        <is>
          <t>Orange</t>
        </is>
      </c>
      <c r="P48" s="64" t="inlineStr">
        <is>
          <t>cbcal.com</t>
        </is>
      </c>
      <c r="Q48" s="81" t="inlineStr">
        <is>
          <t>No</t>
        </is>
      </c>
      <c r="R48" s="60" t="inlineStr">
        <is>
          <t>-</t>
        </is>
      </c>
      <c r="S48" s="67" t="inlineStr">
        <is>
          <t>No card</t>
        </is>
      </c>
      <c r="T48" s="60" t="inlineStr">
        <is>
          <t>-</t>
        </is>
      </c>
      <c r="U48" s="67" t="inlineStr">
        <is>
          <t>-</t>
        </is>
      </c>
      <c r="V48" s="79" t="inlineStr">
        <is>
          <t>None (no card product)</t>
        </is>
      </c>
      <c r="W48" s="57" t="inlineStr">
        <is>
          <t>-</t>
        </is>
      </c>
      <c r="X48" s="67" t="inlineStr">
        <is>
          <t>-</t>
        </is>
      </c>
      <c r="Y48" s="60" t="inlineStr">
        <is>
          <t>No business credit card (merchant acquiring + lines of credit only)</t>
        </is>
      </c>
      <c r="Z48" s="60" t="inlineStr">
        <is>
          <t>-</t>
        </is>
      </c>
      <c r="AA48" s="60" t="inlineStr">
        <is>
          <t>-</t>
        </is>
      </c>
      <c r="AB48" s="60" t="inlineStr">
        <is>
          <t>-</t>
        </is>
      </c>
      <c r="AC48" s="60" t="inlineStr">
        <is>
          <t>-</t>
        </is>
      </c>
      <c r="AD48" s="60" t="inlineStr">
        <is>
          <t>-</t>
        </is>
      </c>
      <c r="AE48" s="60" t="inlineStr">
        <is>
          <t>-</t>
        </is>
      </c>
      <c r="AF48" s="60" t="inlineStr">
        <is>
          <t>No card product</t>
        </is>
      </c>
      <c r="AG48" s="60" t="inlineStr">
        <is>
          <t>No business credit card. VERIFIED.</t>
        </is>
      </c>
      <c r="AH48" s="64" t="inlineStr">
        <is>
          <t>cbcal.com</t>
        </is>
      </c>
    </row>
    <row r="49" ht="15.75" customHeight="1">
      <c r="A49" s="57" t="n">
        <v>48</v>
      </c>
      <c r="B49" s="80" t="inlineStr">
        <is>
          <t>D - No business card</t>
        </is>
      </c>
      <c r="C49" s="79" t="inlineStr">
        <is>
          <t>Credit Union of Southern California (CU SoCal)</t>
        </is>
      </c>
      <c r="D49" s="60" t="inlineStr">
        <is>
          <t>- no business card</t>
        </is>
      </c>
      <c r="E49" s="61" t="inlineStr">
        <is>
          <t>Credit Union</t>
        </is>
      </c>
      <c r="F49" s="61" t="inlineStr">
        <is>
          <t>Yes</t>
        </is>
      </c>
      <c r="G49" s="60" t="inlineStr">
        <is>
          <t>SoCal - Orange County</t>
        </is>
      </c>
      <c r="H49" s="62" t="inlineStr">
        <is>
          <t>CA-HQ (Southern California)</t>
        </is>
      </c>
      <c r="I49" s="79" t="inlineStr">
        <is>
          <t>N/A (no business card)</t>
        </is>
      </c>
      <c r="J49" s="60" t="inlineStr">
        <is>
          <t>~$3.84B</t>
        </is>
      </c>
      <c r="K49" s="60" t="inlineStr">
        <is>
          <t>~$3.3B (shares)</t>
        </is>
      </c>
      <c r="L49" s="60" t="inlineStr">
        <is>
          <t>OC/LA CU; consumer Visa only</t>
        </is>
      </c>
      <c r="M49" s="60" t="n">
        <v>-59</v>
      </c>
      <c r="N49" s="60" t="inlineStr">
        <is>
          <t>Anaheim</t>
        </is>
      </c>
      <c r="O49" s="60" t="inlineStr">
        <is>
          <t>Orange</t>
        </is>
      </c>
      <c r="P49" s="64" t="inlineStr">
        <is>
          <t>cusocal.org</t>
        </is>
      </c>
      <c r="Q49" s="81" t="inlineStr">
        <is>
          <t>No</t>
        </is>
      </c>
      <c r="R49" s="60" t="inlineStr">
        <is>
          <t>-</t>
        </is>
      </c>
      <c r="S49" s="67" t="inlineStr">
        <is>
          <t>No card</t>
        </is>
      </c>
      <c r="T49" s="60" t="inlineStr">
        <is>
          <t>-</t>
        </is>
      </c>
      <c r="U49" s="67" t="inlineStr">
        <is>
          <t>-</t>
        </is>
      </c>
      <c r="V49" s="79" t="inlineStr">
        <is>
          <t>None (no business card)</t>
        </is>
      </c>
      <c r="W49" s="57" t="inlineStr">
        <is>
          <t>-</t>
        </is>
      </c>
      <c r="X49" s="67" t="inlineStr">
        <is>
          <t>-</t>
        </is>
      </c>
      <c r="Y49" s="60" t="inlineStr">
        <is>
          <t>No business credit card</t>
        </is>
      </c>
      <c r="Z49" s="60" t="inlineStr">
        <is>
          <t>-</t>
        </is>
      </c>
      <c r="AA49" s="60" t="inlineStr">
        <is>
          <t>-</t>
        </is>
      </c>
      <c r="AB49" s="60" t="inlineStr">
        <is>
          <t>-</t>
        </is>
      </c>
      <c r="AC49" s="60" t="inlineStr">
        <is>
          <t>-</t>
        </is>
      </c>
      <c r="AD49" s="60" t="inlineStr">
        <is>
          <t>-</t>
        </is>
      </c>
      <c r="AE49" s="60" t="inlineStr">
        <is>
          <t>-</t>
        </is>
      </c>
      <c r="AF49" s="60" t="inlineStr">
        <is>
          <t>No card product</t>
        </is>
      </c>
      <c r="AG49" s="60" t="inlineStr">
        <is>
          <t>No business card (consumer Visa only, self-issued post-3/2025). VERIFIED.</t>
        </is>
      </c>
      <c r="AH49" s="64" t="inlineStr">
        <is>
          <t>cusocal.org/cards/credit-card/</t>
        </is>
      </c>
    </row>
    <row r="50" ht="15.75" customHeight="1">
      <c r="A50" s="57" t="n">
        <v>49</v>
      </c>
      <c r="B50" s="80" t="inlineStr">
        <is>
          <t>D - No business card</t>
        </is>
      </c>
      <c r="C50" s="79" t="inlineStr">
        <is>
          <t>Orange County's Credit Union</t>
        </is>
      </c>
      <c r="D50" s="60" t="inlineStr">
        <is>
          <t>- no business card</t>
        </is>
      </c>
      <c r="E50" s="61" t="inlineStr">
        <is>
          <t>Credit Union</t>
        </is>
      </c>
      <c r="F50" s="61" t="inlineStr">
        <is>
          <t>Yes</t>
        </is>
      </c>
      <c r="G50" s="60" t="inlineStr">
        <is>
          <t>SoCal - Orange County</t>
        </is>
      </c>
      <c r="H50" s="62" t="inlineStr">
        <is>
          <t>CA-HQ (Southern California)</t>
        </is>
      </c>
      <c r="I50" s="79" t="inlineStr">
        <is>
          <t>N/A (no business card)</t>
        </is>
      </c>
      <c r="J50" s="60" t="inlineStr">
        <is>
          <t>~$2.6B</t>
        </is>
      </c>
      <c r="K50" s="60" t="inlineStr">
        <is>
          <t>~$2.2B (shares)</t>
        </is>
      </c>
      <c r="L50" s="60" t="inlineStr">
        <is>
          <t>OC CU; biz deposits/loans, consumer cards</t>
        </is>
      </c>
      <c r="M50" s="60" t="n">
        <v>-61</v>
      </c>
      <c r="N50" s="60" t="inlineStr">
        <is>
          <t>Santa Ana</t>
        </is>
      </c>
      <c r="O50" s="60" t="inlineStr">
        <is>
          <t>Orange</t>
        </is>
      </c>
      <c r="P50" s="64" t="inlineStr">
        <is>
          <t>orangecountyscu.org</t>
        </is>
      </c>
      <c r="Q50" s="81" t="inlineStr">
        <is>
          <t>No</t>
        </is>
      </c>
      <c r="R50" s="60" t="inlineStr">
        <is>
          <t>-</t>
        </is>
      </c>
      <c r="S50" s="67" t="inlineStr">
        <is>
          <t>No card</t>
        </is>
      </c>
      <c r="T50" s="60" t="inlineStr">
        <is>
          <t>-</t>
        </is>
      </c>
      <c r="U50" s="67" t="inlineStr">
        <is>
          <t>-</t>
        </is>
      </c>
      <c r="V50" s="79" t="inlineStr">
        <is>
          <t>None (no business card)</t>
        </is>
      </c>
      <c r="W50" s="57" t="inlineStr">
        <is>
          <t>-</t>
        </is>
      </c>
      <c r="X50" s="67" t="inlineStr">
        <is>
          <t>-</t>
        </is>
      </c>
      <c r="Y50" s="60" t="inlineStr">
        <is>
          <t>No business credit card</t>
        </is>
      </c>
      <c r="Z50" s="60" t="inlineStr">
        <is>
          <t>-</t>
        </is>
      </c>
      <c r="AA50" s="60" t="inlineStr">
        <is>
          <t>-</t>
        </is>
      </c>
      <c r="AB50" s="60" t="inlineStr">
        <is>
          <t>-</t>
        </is>
      </c>
      <c r="AC50" s="60" t="inlineStr">
        <is>
          <t>-</t>
        </is>
      </c>
      <c r="AD50" s="60" t="inlineStr">
        <is>
          <t>-</t>
        </is>
      </c>
      <c r="AE50" s="60" t="inlineStr">
        <is>
          <t>-</t>
        </is>
      </c>
      <c r="AF50" s="60" t="inlineStr">
        <is>
          <t>No card product</t>
        </is>
      </c>
      <c r="AG50" s="60" t="inlineStr">
        <is>
          <t>No business card (biz deposit/loan only; consumer card self-issued). VERIFIED.</t>
        </is>
      </c>
      <c r="AH50" s="64" t="inlineStr">
        <is>
          <t>orangecountyscu.org/products/business-services/</t>
        </is>
      </c>
    </row>
    <row r="51" ht="15.75" customHeight="1">
      <c r="A51" s="57" t="n">
        <v>50</v>
      </c>
      <c r="B51" s="80" t="inlineStr">
        <is>
          <t>D - No business card</t>
        </is>
      </c>
      <c r="C51" s="79" t="inlineStr">
        <is>
          <t>Arrowhead Credit Union</t>
        </is>
      </c>
      <c r="D51" s="60" t="inlineStr">
        <is>
          <t>- no business card</t>
        </is>
      </c>
      <c r="E51" s="61" t="inlineStr">
        <is>
          <t>Credit Union</t>
        </is>
      </c>
      <c r="F51" s="61" t="inlineStr">
        <is>
          <t>Yes</t>
        </is>
      </c>
      <c r="G51" s="60" t="inlineStr">
        <is>
          <t>SoCal - Inland Empire</t>
        </is>
      </c>
      <c r="H51" s="62" t="inlineStr">
        <is>
          <t>CA-HQ (Southern California)</t>
        </is>
      </c>
      <c r="I51" s="79" t="inlineStr">
        <is>
          <t>N/A (no business card)</t>
        </is>
      </c>
      <c r="J51" s="60" t="inlineStr">
        <is>
          <t>~$2.31B</t>
        </is>
      </c>
      <c r="K51" s="60" t="inlineStr">
        <is>
          <t>~$2B (shares)</t>
        </is>
      </c>
      <c r="L51" s="60" t="inlineStr">
        <is>
          <t>Inland Empire CU; biz loans only</t>
        </is>
      </c>
      <c r="M51" s="60" t="n">
        <v>-61</v>
      </c>
      <c r="N51" s="60" t="inlineStr">
        <is>
          <t>Rancho Cucamonga</t>
        </is>
      </c>
      <c r="O51" s="60" t="inlineStr">
        <is>
          <t>San Bernardino</t>
        </is>
      </c>
      <c r="P51" s="64" t="inlineStr">
        <is>
          <t>arrowheadcu.org</t>
        </is>
      </c>
      <c r="Q51" s="81" t="inlineStr">
        <is>
          <t>No</t>
        </is>
      </c>
      <c r="R51" s="60" t="inlineStr">
        <is>
          <t>-</t>
        </is>
      </c>
      <c r="S51" s="67" t="inlineStr">
        <is>
          <t>No card</t>
        </is>
      </c>
      <c r="T51" s="60" t="inlineStr">
        <is>
          <t>-</t>
        </is>
      </c>
      <c r="U51" s="67" t="inlineStr">
        <is>
          <t>-</t>
        </is>
      </c>
      <c r="V51" s="79" t="inlineStr">
        <is>
          <t>None (no business card)</t>
        </is>
      </c>
      <c r="W51" s="57" t="inlineStr">
        <is>
          <t>-</t>
        </is>
      </c>
      <c r="X51" s="67" t="inlineStr">
        <is>
          <t>-</t>
        </is>
      </c>
      <c r="Y51" s="60" t="inlineStr">
        <is>
          <t>No business credit card</t>
        </is>
      </c>
      <c r="Z51" s="60" t="inlineStr">
        <is>
          <t>-</t>
        </is>
      </c>
      <c r="AA51" s="60" t="inlineStr">
        <is>
          <t>-</t>
        </is>
      </c>
      <c r="AB51" s="60" t="inlineStr">
        <is>
          <t>-</t>
        </is>
      </c>
      <c r="AC51" s="60" t="inlineStr">
        <is>
          <t>-</t>
        </is>
      </c>
      <c r="AD51" s="60" t="inlineStr">
        <is>
          <t>-</t>
        </is>
      </c>
      <c r="AE51" s="60" t="inlineStr">
        <is>
          <t>-</t>
        </is>
      </c>
      <c r="AF51" s="60" t="inlineStr">
        <is>
          <t>No card product</t>
        </is>
      </c>
      <c r="AG51" s="60" t="inlineStr">
        <is>
          <t>No business card (biz = SBA/CRE/equipment loans; consumer Visa only). VERIFIED.</t>
        </is>
      </c>
      <c r="AH51" s="64" t="inlineStr">
        <is>
          <t>arrowheadcu.org/loans/business</t>
        </is>
      </c>
    </row>
    <row r="52" ht="15.75" customHeight="1">
      <c r="A52" s="57" t="n">
        <v>51</v>
      </c>
      <c r="B52" s="80" t="inlineStr">
        <is>
          <t>D - No business card</t>
        </is>
      </c>
      <c r="C52" s="79" t="inlineStr">
        <is>
          <t>Financial Partners Credit Union</t>
        </is>
      </c>
      <c r="D52" s="60" t="inlineStr">
        <is>
          <t>- no business card</t>
        </is>
      </c>
      <c r="E52" s="61" t="inlineStr">
        <is>
          <t>Credit Union</t>
        </is>
      </c>
      <c r="F52" s="61" t="inlineStr">
        <is>
          <t>Yes</t>
        </is>
      </c>
      <c r="G52" s="60" t="inlineStr">
        <is>
          <t>SoCal - LA County</t>
        </is>
      </c>
      <c r="H52" s="62" t="inlineStr">
        <is>
          <t>CA-HQ (Southern California)</t>
        </is>
      </c>
      <c r="I52" s="79" t="inlineStr">
        <is>
          <t>N/A (no business card)</t>
        </is>
      </c>
      <c r="J52" s="60" t="inlineStr">
        <is>
          <t>~$2.23B</t>
        </is>
      </c>
      <c r="K52" s="60" t="inlineStr">
        <is>
          <t>~$1.9B (shares)</t>
        </is>
      </c>
      <c r="L52" s="60" t="inlineStr">
        <is>
          <t>LA/OC CU; consumer cards only</t>
        </is>
      </c>
      <c r="M52" s="60" t="n">
        <v>-61</v>
      </c>
      <c r="N52" s="60" t="inlineStr">
        <is>
          <t>Downey</t>
        </is>
      </c>
      <c r="O52" s="60" t="inlineStr">
        <is>
          <t>Los Angeles</t>
        </is>
      </c>
      <c r="P52" s="64" t="inlineStr">
        <is>
          <t>fpcu.org</t>
        </is>
      </c>
      <c r="Q52" s="81" t="inlineStr">
        <is>
          <t>No</t>
        </is>
      </c>
      <c r="R52" s="60" t="inlineStr">
        <is>
          <t>-</t>
        </is>
      </c>
      <c r="S52" s="67" t="inlineStr">
        <is>
          <t>No card</t>
        </is>
      </c>
      <c r="T52" s="60" t="inlineStr">
        <is>
          <t>-</t>
        </is>
      </c>
      <c r="U52" s="67" t="inlineStr">
        <is>
          <t>-</t>
        </is>
      </c>
      <c r="V52" s="79" t="inlineStr">
        <is>
          <t>None (no business card)</t>
        </is>
      </c>
      <c r="W52" s="57" t="inlineStr">
        <is>
          <t>-</t>
        </is>
      </c>
      <c r="X52" s="67" t="inlineStr">
        <is>
          <t>-</t>
        </is>
      </c>
      <c r="Y52" s="60" t="inlineStr">
        <is>
          <t>No business credit card</t>
        </is>
      </c>
      <c r="Z52" s="60" t="inlineStr">
        <is>
          <t>-</t>
        </is>
      </c>
      <c r="AA52" s="60" t="inlineStr">
        <is>
          <t>-</t>
        </is>
      </c>
      <c r="AB52" s="60" t="inlineStr">
        <is>
          <t>-</t>
        </is>
      </c>
      <c r="AC52" s="60" t="inlineStr">
        <is>
          <t>-</t>
        </is>
      </c>
      <c r="AD52" s="60" t="inlineStr">
        <is>
          <t>-</t>
        </is>
      </c>
      <c r="AE52" s="60" t="inlineStr">
        <is>
          <t>-</t>
        </is>
      </c>
      <c r="AF52" s="60" t="inlineStr">
        <is>
          <t>No card product</t>
        </is>
      </c>
      <c r="AG52" s="60" t="inlineStr">
        <is>
          <t>No business card (consumer Visa only). VERIFIED.</t>
        </is>
      </c>
      <c r="AH52" s="64" t="inlineStr">
        <is>
          <t>fpcu.org/loans-credit/credit-cards</t>
        </is>
      </c>
    </row>
    <row r="53" ht="15.75" customHeight="1">
      <c r="A53" s="57" t="n">
        <v>52</v>
      </c>
      <c r="B53" s="80" t="inlineStr">
        <is>
          <t>D - No business card</t>
        </is>
      </c>
      <c r="C53" s="79" t="inlineStr">
        <is>
          <t>LBS Financial Credit Union</t>
        </is>
      </c>
      <c r="D53" s="60" t="inlineStr">
        <is>
          <t>- no business card</t>
        </is>
      </c>
      <c r="E53" s="61" t="inlineStr">
        <is>
          <t>Credit Union</t>
        </is>
      </c>
      <c r="F53" s="61" t="inlineStr">
        <is>
          <t>Yes</t>
        </is>
      </c>
      <c r="G53" s="60" t="inlineStr">
        <is>
          <t>SoCal - Orange County</t>
        </is>
      </c>
      <c r="H53" s="62" t="inlineStr">
        <is>
          <t>CA-HQ (Southern California)</t>
        </is>
      </c>
      <c r="I53" s="79" t="inlineStr">
        <is>
          <t>N/A (no business card)</t>
        </is>
      </c>
      <c r="J53" s="60" t="inlineStr">
        <is>
          <t>~$2.12B</t>
        </is>
      </c>
      <c r="K53" s="60" t="inlineStr">
        <is>
          <t>~$1.8B (shares)</t>
        </is>
      </c>
      <c r="L53" s="60" t="inlineStr">
        <is>
          <t>Long Beach/LA market CU; consumer Visa only</t>
        </is>
      </c>
      <c r="M53" s="60" t="n">
        <v>-61</v>
      </c>
      <c r="N53" s="60" t="inlineStr">
        <is>
          <t>Westminster</t>
        </is>
      </c>
      <c r="O53" s="60" t="inlineStr">
        <is>
          <t>Orange</t>
        </is>
      </c>
      <c r="P53" s="64" t="inlineStr">
        <is>
          <t>lbsfcu.org</t>
        </is>
      </c>
      <c r="Q53" s="81" t="inlineStr">
        <is>
          <t>No</t>
        </is>
      </c>
      <c r="R53" s="60" t="inlineStr">
        <is>
          <t>-</t>
        </is>
      </c>
      <c r="S53" s="67" t="inlineStr">
        <is>
          <t>No card</t>
        </is>
      </c>
      <c r="T53" s="60" t="inlineStr">
        <is>
          <t>-</t>
        </is>
      </c>
      <c r="U53" s="67" t="inlineStr">
        <is>
          <t>-</t>
        </is>
      </c>
      <c r="V53" s="79" t="inlineStr">
        <is>
          <t>None (no business card)</t>
        </is>
      </c>
      <c r="W53" s="57" t="inlineStr">
        <is>
          <t>-</t>
        </is>
      </c>
      <c r="X53" s="67" t="inlineStr">
        <is>
          <t>-</t>
        </is>
      </c>
      <c r="Y53" s="60" t="inlineStr">
        <is>
          <t>No business credit card</t>
        </is>
      </c>
      <c r="Z53" s="60" t="inlineStr">
        <is>
          <t>-</t>
        </is>
      </c>
      <c r="AA53" s="60" t="inlineStr">
        <is>
          <t>-</t>
        </is>
      </c>
      <c r="AB53" s="60" t="inlineStr">
        <is>
          <t>-</t>
        </is>
      </c>
      <c r="AC53" s="60" t="inlineStr">
        <is>
          <t>-</t>
        </is>
      </c>
      <c r="AD53" s="60" t="inlineStr">
        <is>
          <t>-</t>
        </is>
      </c>
      <c r="AE53" s="60" t="inlineStr">
        <is>
          <t>-</t>
        </is>
      </c>
      <c r="AF53" s="60" t="inlineStr">
        <is>
          <t>No card product</t>
        </is>
      </c>
      <c r="AG53" s="60" t="inlineStr">
        <is>
          <t>No business card (consumer Visa only). EASY membership ($5+$1). VERIFIED.</t>
        </is>
      </c>
      <c r="AH53" s="64" t="inlineStr">
        <is>
          <t>lbsfcu.org/loans/credit/credit-card/</t>
        </is>
      </c>
    </row>
    <row r="54" ht="15.75" customHeight="1">
      <c r="A54" s="57" t="n">
        <v>53</v>
      </c>
      <c r="B54" s="80" t="inlineStr">
        <is>
          <t>D - No business card</t>
        </is>
      </c>
      <c r="C54" s="79" t="inlineStr">
        <is>
          <t>US Metro Bank</t>
        </is>
      </c>
      <c r="D54" s="60" t="inlineStr">
        <is>
          <t>- no business card</t>
        </is>
      </c>
      <c r="E54" s="69" t="inlineStr">
        <is>
          <t>Bank</t>
        </is>
      </c>
      <c r="F54" s="61" t="inlineStr">
        <is>
          <t>Yes</t>
        </is>
      </c>
      <c r="G54" s="60" t="inlineStr">
        <is>
          <t>SoCal - Orange County</t>
        </is>
      </c>
      <c r="H54" s="62" t="inlineStr">
        <is>
          <t>CA-HQ (Southern California)</t>
        </is>
      </c>
      <c r="I54" s="79" t="inlineStr">
        <is>
          <t>N/A (no business card)</t>
        </is>
      </c>
      <c r="J54" s="60" t="inlineStr">
        <is>
          <t>$1.57B</t>
        </is>
      </c>
      <c r="K54" s="60" t="inlineStr">
        <is>
          <t>$1.38B</t>
        </is>
      </c>
      <c r="L54" s="60" t="inlineStr">
        <is>
          <t>Orange County; Korean-American focus; SBA-active</t>
        </is>
      </c>
      <c r="M54" s="60" t="n">
        <v>-61</v>
      </c>
      <c r="N54" s="60" t="inlineStr">
        <is>
          <t>Garden Grove</t>
        </is>
      </c>
      <c r="O54" s="60" t="inlineStr">
        <is>
          <t>Orange</t>
        </is>
      </c>
      <c r="P54" s="64" t="inlineStr">
        <is>
          <t>usmetrobank.com</t>
        </is>
      </c>
      <c r="Q54" s="81" t="inlineStr">
        <is>
          <t>No</t>
        </is>
      </c>
      <c r="R54" s="60" t="inlineStr">
        <is>
          <t>-</t>
        </is>
      </c>
      <c r="S54" s="67" t="inlineStr">
        <is>
          <t>No card</t>
        </is>
      </c>
      <c r="T54" s="60" t="inlineStr">
        <is>
          <t>-</t>
        </is>
      </c>
      <c r="U54" s="67" t="inlineStr">
        <is>
          <t>-</t>
        </is>
      </c>
      <c r="V54" s="79" t="inlineStr">
        <is>
          <t>None (debit only marketed)</t>
        </is>
      </c>
      <c r="W54" s="57" t="inlineStr">
        <is>
          <t>-</t>
        </is>
      </c>
      <c r="X54" s="67" t="inlineStr">
        <is>
          <t>-</t>
        </is>
      </c>
      <c r="Y54" s="60" t="inlineStr">
        <is>
          <t>No marketed business credit card (Debit Mastercard only)</t>
        </is>
      </c>
      <c r="Z54" s="60" t="inlineStr">
        <is>
          <t>-</t>
        </is>
      </c>
      <c r="AA54" s="60" t="inlineStr">
        <is>
          <t>-</t>
        </is>
      </c>
      <c r="AB54" s="60" t="inlineStr">
        <is>
          <t>-</t>
        </is>
      </c>
      <c r="AC54" s="60" t="inlineStr">
        <is>
          <t>-</t>
        </is>
      </c>
      <c r="AD54" s="60" t="inlineStr">
        <is>
          <t>-</t>
        </is>
      </c>
      <c r="AE54" s="60" t="inlineStr">
        <is>
          <t>-</t>
        </is>
      </c>
      <c r="AF54" s="60" t="inlineStr">
        <is>
          <t>No marketed card product</t>
        </is>
      </c>
      <c r="AG54" s="60" t="inlineStr">
        <is>
          <t>No verifiable business credit card. VERIFIED (debit only on site).</t>
        </is>
      </c>
      <c r="AH54" s="64" t="inlineStr">
        <is>
          <t>usmetrobank.com/banking-services/</t>
        </is>
      </c>
    </row>
    <row r="55" ht="15.75" customHeight="1">
      <c r="A55" s="57" t="n">
        <v>54</v>
      </c>
      <c r="B55" s="80" t="inlineStr">
        <is>
          <t>D - No business card</t>
        </is>
      </c>
      <c r="C55" s="79" t="inlineStr">
        <is>
          <t>Malaga Bank FSB</t>
        </is>
      </c>
      <c r="D55" s="60" t="inlineStr">
        <is>
          <t>- no business card</t>
        </is>
      </c>
      <c r="E55" s="69" t="inlineStr">
        <is>
          <t>Bank</t>
        </is>
      </c>
      <c r="F55" s="61" t="inlineStr">
        <is>
          <t>Yes</t>
        </is>
      </c>
      <c r="G55" s="60" t="inlineStr">
        <is>
          <t>SoCal - LA County</t>
        </is>
      </c>
      <c r="H55" s="62" t="inlineStr">
        <is>
          <t>CA-HQ (Southern California)</t>
        </is>
      </c>
      <c r="I55" s="79" t="inlineStr">
        <is>
          <t>N/A (no business card)</t>
        </is>
      </c>
      <c r="J55" s="60" t="inlineStr">
        <is>
          <t>$1.43B</t>
        </is>
      </c>
      <c r="K55" s="60" t="inlineStr">
        <is>
          <t>$0.94B</t>
        </is>
      </c>
      <c r="L55" s="60" t="inlineStr">
        <is>
          <t>South Bay thrift; CRE/deposits</t>
        </is>
      </c>
      <c r="M55" s="60" t="n">
        <v>-61</v>
      </c>
      <c r="N55" s="60" t="inlineStr">
        <is>
          <t>Palos Verdes Estates</t>
        </is>
      </c>
      <c r="O55" s="60" t="inlineStr">
        <is>
          <t>Los Angeles</t>
        </is>
      </c>
      <c r="P55" s="64" t="inlineStr">
        <is>
          <t>malagabank.com</t>
        </is>
      </c>
      <c r="Q55" s="81" t="inlineStr">
        <is>
          <t>No</t>
        </is>
      </c>
      <c r="R55" s="60" t="inlineStr">
        <is>
          <t>-</t>
        </is>
      </c>
      <c r="S55" s="67" t="inlineStr">
        <is>
          <t>No card</t>
        </is>
      </c>
      <c r="T55" s="60" t="inlineStr">
        <is>
          <t>-</t>
        </is>
      </c>
      <c r="U55" s="67" t="inlineStr">
        <is>
          <t>-</t>
        </is>
      </c>
      <c r="V55" s="79" t="inlineStr">
        <is>
          <t>None (no business card)</t>
        </is>
      </c>
      <c r="W55" s="57" t="inlineStr">
        <is>
          <t>-</t>
        </is>
      </c>
      <c r="X55" s="67" t="inlineStr">
        <is>
          <t>-</t>
        </is>
      </c>
      <c r="Y55" s="60" t="inlineStr">
        <is>
          <t>No business credit card</t>
        </is>
      </c>
      <c r="Z55" s="60" t="inlineStr">
        <is>
          <t>-</t>
        </is>
      </c>
      <c r="AA55" s="60" t="inlineStr">
        <is>
          <t>-</t>
        </is>
      </c>
      <c r="AB55" s="60" t="inlineStr">
        <is>
          <t>-</t>
        </is>
      </c>
      <c r="AC55" s="60" t="inlineStr">
        <is>
          <t>-</t>
        </is>
      </c>
      <c r="AD55" s="60" t="inlineStr">
        <is>
          <t>-</t>
        </is>
      </c>
      <c r="AE55" s="60" t="inlineStr">
        <is>
          <t>-</t>
        </is>
      </c>
      <c r="AF55" s="60" t="inlineStr">
        <is>
          <t>No card product</t>
        </is>
      </c>
      <c r="AG55" s="60" t="inlineStr">
        <is>
          <t>No credit card (debit/loans only). VERIFIED.</t>
        </is>
      </c>
      <c r="AH55" s="64" t="inlineStr">
        <is>
          <t>malagabank.com</t>
        </is>
      </c>
    </row>
    <row r="56" ht="15.75" customHeight="1">
      <c r="A56" s="57" t="n">
        <v>55</v>
      </c>
      <c r="B56" s="80" t="inlineStr">
        <is>
          <t>D - No business card</t>
        </is>
      </c>
      <c r="C56" s="79" t="inlineStr">
        <is>
          <t>Water and Power Community Credit Union</t>
        </is>
      </c>
      <c r="D56" s="60" t="inlineStr">
        <is>
          <t>- no business card</t>
        </is>
      </c>
      <c r="E56" s="61" t="inlineStr">
        <is>
          <t>Credit Union</t>
        </is>
      </c>
      <c r="F56" s="61" t="inlineStr">
        <is>
          <t>Yes</t>
        </is>
      </c>
      <c r="G56" s="60" t="inlineStr">
        <is>
          <t>SoCal - LA County</t>
        </is>
      </c>
      <c r="H56" s="62" t="inlineStr">
        <is>
          <t>CA-HQ (Southern California)</t>
        </is>
      </c>
      <c r="I56" s="79" t="inlineStr">
        <is>
          <t>N/A (no business card)</t>
        </is>
      </c>
      <c r="J56" s="60" t="inlineStr">
        <is>
          <t>~$1.0B</t>
        </is>
      </c>
      <c r="K56" s="60" t="inlineStr">
        <is>
          <t>~$0.9B (shares)</t>
        </is>
      </c>
      <c r="L56" s="60" t="inlineStr">
        <is>
          <t>LADWP-affiliated CU; consumer cards only</t>
        </is>
      </c>
      <c r="M56" s="60" t="n">
        <v>-61</v>
      </c>
      <c r="N56" s="60" t="inlineStr">
        <is>
          <t>Los Angeles</t>
        </is>
      </c>
      <c r="O56" s="60" t="inlineStr">
        <is>
          <t>Los Angeles</t>
        </is>
      </c>
      <c r="P56" s="64" t="inlineStr">
        <is>
          <t>wpccu.org</t>
        </is>
      </c>
      <c r="Q56" s="81" t="inlineStr">
        <is>
          <t>No</t>
        </is>
      </c>
      <c r="R56" s="60" t="inlineStr">
        <is>
          <t>-</t>
        </is>
      </c>
      <c r="S56" s="67" t="inlineStr">
        <is>
          <t>No card</t>
        </is>
      </c>
      <c r="T56" s="60" t="inlineStr">
        <is>
          <t>-</t>
        </is>
      </c>
      <c r="U56" s="67" t="inlineStr">
        <is>
          <t>-</t>
        </is>
      </c>
      <c r="V56" s="79" t="inlineStr">
        <is>
          <t>None (no business card)</t>
        </is>
      </c>
      <c r="W56" s="57" t="inlineStr">
        <is>
          <t>-</t>
        </is>
      </c>
      <c r="X56" s="67" t="inlineStr">
        <is>
          <t>-</t>
        </is>
      </c>
      <c r="Y56" s="60" t="inlineStr">
        <is>
          <t>No business credit card</t>
        </is>
      </c>
      <c r="Z56" s="60" t="inlineStr">
        <is>
          <t>-</t>
        </is>
      </c>
      <c r="AA56" s="60" t="inlineStr">
        <is>
          <t>-</t>
        </is>
      </c>
      <c r="AB56" s="60" t="inlineStr">
        <is>
          <t>-</t>
        </is>
      </c>
      <c r="AC56" s="60" t="inlineStr">
        <is>
          <t>-</t>
        </is>
      </c>
      <c r="AD56" s="60" t="inlineStr">
        <is>
          <t>-</t>
        </is>
      </c>
      <c r="AE56" s="60" t="inlineStr">
        <is>
          <t>-</t>
        </is>
      </c>
      <c r="AF56" s="60" t="inlineStr">
        <is>
          <t>No card product</t>
        </is>
      </c>
      <c r="AG56" s="60" t="inlineStr">
        <is>
          <t>No business card (consumer MC only, on Elan/Fiserv servicing). VERIFIED.</t>
        </is>
      </c>
      <c r="AH56" s="64" t="inlineStr">
        <is>
          <t>wpccu.org/what-you-borrow/credit-cards</t>
        </is>
      </c>
    </row>
    <row r="57" ht="15.75" customHeight="1">
      <c r="A57" s="57" t="n">
        <v>56</v>
      </c>
      <c r="B57" s="80" t="inlineStr">
        <is>
          <t>D - No business card</t>
        </is>
      </c>
      <c r="C57" s="79" t="inlineStr">
        <is>
          <t>Golden State Bank</t>
        </is>
      </c>
      <c r="D57" s="60" t="inlineStr">
        <is>
          <t>- no business card</t>
        </is>
      </c>
      <c r="E57" s="69" t="inlineStr">
        <is>
          <t>Bank</t>
        </is>
      </c>
      <c r="F57" s="61" t="inlineStr">
        <is>
          <t>Yes</t>
        </is>
      </c>
      <c r="G57" s="60" t="inlineStr">
        <is>
          <t>SoCal - LA County</t>
        </is>
      </c>
      <c r="H57" s="62" t="inlineStr">
        <is>
          <t>CA-HQ (Southern California)</t>
        </is>
      </c>
      <c r="I57" s="79" t="inlineStr">
        <is>
          <t>N/A (no business card)</t>
        </is>
      </c>
      <c r="J57" s="60" t="inlineStr">
        <is>
          <t>$0.93B</t>
        </is>
      </c>
      <c r="K57" s="60" t="inlineStr">
        <is>
          <t>$0.80B</t>
        </is>
      </c>
      <c r="L57" s="60" t="inlineStr">
        <is>
          <t>Glendale/LA community bank</t>
        </is>
      </c>
      <c r="M57" s="60" t="n">
        <v>-63</v>
      </c>
      <c r="N57" s="60" t="inlineStr">
        <is>
          <t>Glendale</t>
        </is>
      </c>
      <c r="O57" s="60" t="inlineStr">
        <is>
          <t>Los Angeles</t>
        </is>
      </c>
      <c r="P57" s="64" t="inlineStr">
        <is>
          <t>goldenstatebank.com</t>
        </is>
      </c>
      <c r="Q57" s="81" t="inlineStr">
        <is>
          <t>No</t>
        </is>
      </c>
      <c r="R57" s="60" t="inlineStr">
        <is>
          <t>-</t>
        </is>
      </c>
      <c r="S57" s="67" t="inlineStr">
        <is>
          <t>No card</t>
        </is>
      </c>
      <c r="T57" s="60" t="inlineStr">
        <is>
          <t>-</t>
        </is>
      </c>
      <c r="U57" s="67" t="inlineStr">
        <is>
          <t>-</t>
        </is>
      </c>
      <c r="V57" s="79" t="inlineStr">
        <is>
          <t>None (Mastercard debit only)</t>
        </is>
      </c>
      <c r="W57" s="57" t="inlineStr">
        <is>
          <t>-</t>
        </is>
      </c>
      <c r="X57" s="67" t="inlineStr">
        <is>
          <t>-</t>
        </is>
      </c>
      <c r="Y57" s="60" t="inlineStr">
        <is>
          <t>No credit card (debit only)</t>
        </is>
      </c>
      <c r="Z57" s="60" t="inlineStr">
        <is>
          <t>-</t>
        </is>
      </c>
      <c r="AA57" s="60" t="inlineStr">
        <is>
          <t>-</t>
        </is>
      </c>
      <c r="AB57" s="60" t="inlineStr">
        <is>
          <t>-</t>
        </is>
      </c>
      <c r="AC57" s="60" t="inlineStr">
        <is>
          <t>-</t>
        </is>
      </c>
      <c r="AD57" s="60" t="inlineStr">
        <is>
          <t>-</t>
        </is>
      </c>
      <c r="AE57" s="60" t="inlineStr">
        <is>
          <t>-</t>
        </is>
      </c>
      <c r="AF57" s="60" t="inlineStr">
        <is>
          <t>No card product</t>
        </is>
      </c>
      <c r="AG57" s="60" t="inlineStr">
        <is>
          <t>No credit card (debit only). VERIFIED.</t>
        </is>
      </c>
      <c r="AH57" s="64" t="inlineStr">
        <is>
          <t>goldenstatebank.com</t>
        </is>
      </c>
    </row>
    <row r="58" ht="15.75" customHeight="1">
      <c r="A58" s="57" t="n">
        <v>57</v>
      </c>
      <c r="B58" s="80" t="inlineStr">
        <is>
          <t>D - No business card</t>
        </is>
      </c>
      <c r="C58" s="79" t="inlineStr">
        <is>
          <t>First City Credit Union</t>
        </is>
      </c>
      <c r="D58" s="60" t="inlineStr">
        <is>
          <t>- no business card</t>
        </is>
      </c>
      <c r="E58" s="61" t="inlineStr">
        <is>
          <t>Credit Union</t>
        </is>
      </c>
      <c r="F58" s="61" t="inlineStr">
        <is>
          <t>Yes</t>
        </is>
      </c>
      <c r="G58" s="60" t="inlineStr">
        <is>
          <t>SoCal - LA County</t>
        </is>
      </c>
      <c r="H58" s="62" t="inlineStr">
        <is>
          <t>CA-HQ (Southern California)</t>
        </is>
      </c>
      <c r="I58" s="79" t="inlineStr">
        <is>
          <t>N/A (no business card)</t>
        </is>
      </c>
      <c r="J58" s="60" t="inlineStr">
        <is>
          <t>~$0.93B</t>
        </is>
      </c>
      <c r="K58" s="60" t="inlineStr">
        <is>
          <t>~$0.8B (shares)</t>
        </is>
      </c>
      <c r="L58" s="60" t="inlineStr">
        <is>
          <t>LA County employer/SEG CU</t>
        </is>
      </c>
      <c r="M58" s="60" t="n">
        <v>-63</v>
      </c>
      <c r="N58" s="60" t="inlineStr">
        <is>
          <t>Pasadena</t>
        </is>
      </c>
      <c r="O58" s="60" t="inlineStr">
        <is>
          <t>Los Angeles</t>
        </is>
      </c>
      <c r="P58" s="64" t="inlineStr">
        <is>
          <t>firstcitycu.org</t>
        </is>
      </c>
      <c r="Q58" s="81" t="inlineStr">
        <is>
          <t>No</t>
        </is>
      </c>
      <c r="R58" s="60" t="inlineStr">
        <is>
          <t>-</t>
        </is>
      </c>
      <c r="S58" s="67" t="inlineStr">
        <is>
          <t>No card</t>
        </is>
      </c>
      <c r="T58" s="60" t="inlineStr">
        <is>
          <t>-</t>
        </is>
      </c>
      <c r="U58" s="67" t="inlineStr">
        <is>
          <t>-</t>
        </is>
      </c>
      <c r="V58" s="79" t="inlineStr">
        <is>
          <t>None (no business card)</t>
        </is>
      </c>
      <c r="W58" s="57" t="inlineStr">
        <is>
          <t>-</t>
        </is>
      </c>
      <c r="X58" s="67" t="inlineStr">
        <is>
          <t>-</t>
        </is>
      </c>
      <c r="Y58" s="60" t="inlineStr">
        <is>
          <t>No business credit card</t>
        </is>
      </c>
      <c r="Z58" s="60" t="inlineStr">
        <is>
          <t>-</t>
        </is>
      </c>
      <c r="AA58" s="60" t="inlineStr">
        <is>
          <t>-</t>
        </is>
      </c>
      <c r="AB58" s="60" t="inlineStr">
        <is>
          <t>-</t>
        </is>
      </c>
      <c r="AC58" s="60" t="inlineStr">
        <is>
          <t>-</t>
        </is>
      </c>
      <c r="AD58" s="60" t="inlineStr">
        <is>
          <t>-</t>
        </is>
      </c>
      <c r="AE58" s="60" t="inlineStr">
        <is>
          <t>-</t>
        </is>
      </c>
      <c r="AF58" s="60" t="inlineStr">
        <is>
          <t>No card product</t>
        </is>
      </c>
      <c r="AG58" s="60" t="inlineStr">
        <is>
          <t>No business card (consumer Visa only). VERIFIED.</t>
        </is>
      </c>
      <c r="AH58" s="64" t="inlineStr">
        <is>
          <t>firstcitycu.org/loans-credit/credit-cards</t>
        </is>
      </c>
    </row>
    <row r="59" ht="15.75" customHeight="1">
      <c r="A59" s="57" t="n">
        <v>58</v>
      </c>
      <c r="B59" s="80" t="inlineStr">
        <is>
          <t>D - No business card</t>
        </is>
      </c>
      <c r="C59" s="79" t="inlineStr">
        <is>
          <t>Nano Banc</t>
        </is>
      </c>
      <c r="D59" s="60" t="inlineStr">
        <is>
          <t>- no business card</t>
        </is>
      </c>
      <c r="E59" s="69" t="inlineStr">
        <is>
          <t>Bank</t>
        </is>
      </c>
      <c r="F59" s="61" t="inlineStr">
        <is>
          <t>Yes</t>
        </is>
      </c>
      <c r="G59" s="60" t="inlineStr">
        <is>
          <t>SoCal - Orange County</t>
        </is>
      </c>
      <c r="H59" s="62" t="inlineStr">
        <is>
          <t>CA-HQ (Southern California)</t>
        </is>
      </c>
      <c r="I59" s="79" t="inlineStr">
        <is>
          <t>N/A (no business card)</t>
        </is>
      </c>
      <c r="J59" s="60" t="inlineStr">
        <is>
          <t>$0.91B</t>
        </is>
      </c>
      <c r="K59" s="60" t="inlineStr">
        <is>
          <t>$0.76B</t>
        </is>
      </c>
      <c r="L59" s="60" t="inlineStr">
        <is>
          <t>OC; lending/deposits/treasury</t>
        </is>
      </c>
      <c r="M59" s="60" t="n">
        <v>-63</v>
      </c>
      <c r="N59" s="60" t="inlineStr">
        <is>
          <t>Irvine</t>
        </is>
      </c>
      <c r="O59" s="60" t="inlineStr">
        <is>
          <t>Orange</t>
        </is>
      </c>
      <c r="P59" s="64" t="inlineStr">
        <is>
          <t>nanobanc.com</t>
        </is>
      </c>
      <c r="Q59" s="81" t="inlineStr">
        <is>
          <t>No</t>
        </is>
      </c>
      <c r="R59" s="60" t="inlineStr">
        <is>
          <t>-</t>
        </is>
      </c>
      <c r="S59" s="67" t="inlineStr">
        <is>
          <t>No card</t>
        </is>
      </c>
      <c r="T59" s="60" t="inlineStr">
        <is>
          <t>-</t>
        </is>
      </c>
      <c r="U59" s="67" t="inlineStr">
        <is>
          <t>-</t>
        </is>
      </c>
      <c r="V59" s="79" t="inlineStr">
        <is>
          <t>None (no business card)</t>
        </is>
      </c>
      <c r="W59" s="57" t="inlineStr">
        <is>
          <t>-</t>
        </is>
      </c>
      <c r="X59" s="67" t="inlineStr">
        <is>
          <t>-</t>
        </is>
      </c>
      <c r="Y59" s="60" t="inlineStr">
        <is>
          <t>No business credit card</t>
        </is>
      </c>
      <c r="Z59" s="60" t="inlineStr">
        <is>
          <t>-</t>
        </is>
      </c>
      <c r="AA59" s="60" t="inlineStr">
        <is>
          <t>-</t>
        </is>
      </c>
      <c r="AB59" s="60" t="inlineStr">
        <is>
          <t>-</t>
        </is>
      </c>
      <c r="AC59" s="60" t="inlineStr">
        <is>
          <t>-</t>
        </is>
      </c>
      <c r="AD59" s="60" t="inlineStr">
        <is>
          <t>-</t>
        </is>
      </c>
      <c r="AE59" s="60" t="inlineStr">
        <is>
          <t>-</t>
        </is>
      </c>
      <c r="AF59" s="60" t="inlineStr">
        <is>
          <t>No card product</t>
        </is>
      </c>
      <c r="AG59" s="60" t="inlineStr">
        <is>
          <t>No card product. INFERRED.</t>
        </is>
      </c>
      <c r="AH59" s="64" t="inlineStr">
        <is>
          <t>nanobanc.com</t>
        </is>
      </c>
    </row>
    <row r="60" ht="15.75" customHeight="1">
      <c r="A60" s="57" t="n">
        <v>59</v>
      </c>
      <c r="B60" s="80" t="inlineStr">
        <is>
          <t>D - No business card</t>
        </is>
      </c>
      <c r="C60" s="79" t="inlineStr">
        <is>
          <t>First Commercial Bank USA</t>
        </is>
      </c>
      <c r="D60" s="60" t="inlineStr">
        <is>
          <t>- no business card</t>
        </is>
      </c>
      <c r="E60" s="69" t="inlineStr">
        <is>
          <t>Bank</t>
        </is>
      </c>
      <c r="F60" s="61" t="inlineStr">
        <is>
          <t>Yes</t>
        </is>
      </c>
      <c r="G60" s="60" t="inlineStr">
        <is>
          <t>SoCal - LA County</t>
        </is>
      </c>
      <c r="H60" s="62" t="inlineStr">
        <is>
          <t>CA-HQ (Southern California)</t>
        </is>
      </c>
      <c r="I60" s="79" t="inlineStr">
        <is>
          <t>N/A (no business card)</t>
        </is>
      </c>
      <c r="J60" s="60" t="inlineStr">
        <is>
          <t>$0.82B</t>
        </is>
      </c>
      <c r="K60" s="60" t="inlineStr">
        <is>
          <t>$0.62B</t>
        </is>
      </c>
      <c r="L60" s="60" t="inlineStr">
        <is>
          <t>San Gabriel Valley; Chinese-American</t>
        </is>
      </c>
      <c r="M60" s="60" t="n">
        <v>-63</v>
      </c>
      <c r="N60" s="60" t="inlineStr">
        <is>
          <t>Alhambra</t>
        </is>
      </c>
      <c r="O60" s="60" t="inlineStr">
        <is>
          <t>Los Angeles</t>
        </is>
      </c>
      <c r="P60" s="64" t="inlineStr">
        <is>
          <t>bankfcb.com</t>
        </is>
      </c>
      <c r="Q60" s="81" t="inlineStr">
        <is>
          <t>No</t>
        </is>
      </c>
      <c r="R60" s="60" t="inlineStr">
        <is>
          <t>-</t>
        </is>
      </c>
      <c r="S60" s="67" t="inlineStr">
        <is>
          <t>No card</t>
        </is>
      </c>
      <c r="T60" s="60" t="inlineStr">
        <is>
          <t>-</t>
        </is>
      </c>
      <c r="U60" s="67" t="inlineStr">
        <is>
          <t>-</t>
        </is>
      </c>
      <c r="V60" s="79" t="inlineStr">
        <is>
          <t>None (no business card)</t>
        </is>
      </c>
      <c r="W60" s="57" t="inlineStr">
        <is>
          <t>-</t>
        </is>
      </c>
      <c r="X60" s="67" t="inlineStr">
        <is>
          <t>-</t>
        </is>
      </c>
      <c r="Y60" s="60" t="inlineStr">
        <is>
          <t>No business credit card</t>
        </is>
      </c>
      <c r="Z60" s="60" t="inlineStr">
        <is>
          <t>-</t>
        </is>
      </c>
      <c r="AA60" s="60" t="inlineStr">
        <is>
          <t>-</t>
        </is>
      </c>
      <c r="AB60" s="60" t="inlineStr">
        <is>
          <t>-</t>
        </is>
      </c>
      <c r="AC60" s="60" t="inlineStr">
        <is>
          <t>-</t>
        </is>
      </c>
      <c r="AD60" s="60" t="inlineStr">
        <is>
          <t>-</t>
        </is>
      </c>
      <c r="AE60" s="60" t="inlineStr">
        <is>
          <t>-</t>
        </is>
      </c>
      <c r="AF60" s="60" t="inlineStr">
        <is>
          <t>No card product</t>
        </is>
      </c>
      <c r="AG60" s="60" t="inlineStr">
        <is>
          <t>No card product. VERIFIED.</t>
        </is>
      </c>
      <c r="AH60" s="64" t="inlineStr">
        <is>
          <t>bankfcb.com</t>
        </is>
      </c>
    </row>
    <row r="61" ht="15.75" customHeight="1">
      <c r="A61" s="57" t="n">
        <v>60</v>
      </c>
      <c r="B61" s="80" t="inlineStr">
        <is>
          <t>D - No business card</t>
        </is>
      </c>
      <c r="C61" s="79" t="inlineStr">
        <is>
          <t>Foothill Credit Union</t>
        </is>
      </c>
      <c r="D61" s="60" t="inlineStr">
        <is>
          <t>- no business card</t>
        </is>
      </c>
      <c r="E61" s="61" t="inlineStr">
        <is>
          <t>Credit Union</t>
        </is>
      </c>
      <c r="F61" s="61" t="inlineStr">
        <is>
          <t>Yes</t>
        </is>
      </c>
      <c r="G61" s="60" t="inlineStr">
        <is>
          <t>SoCal - LA County</t>
        </is>
      </c>
      <c r="H61" s="62" t="inlineStr">
        <is>
          <t>CA-HQ (Southern California)</t>
        </is>
      </c>
      <c r="I61" s="79" t="inlineStr">
        <is>
          <t>N/A (no business card)</t>
        </is>
      </c>
      <c r="J61" s="60" t="inlineStr">
        <is>
          <t>~$0.77B</t>
        </is>
      </c>
      <c r="K61" s="60" t="inlineStr">
        <is>
          <t>~$0.67B (shares)</t>
        </is>
      </c>
      <c r="L61" s="60" t="inlineStr">
        <is>
          <t>San Gabriel Valley CU; consumer cards only</t>
        </is>
      </c>
      <c r="M61" s="60" t="n">
        <v>-63</v>
      </c>
      <c r="N61" s="60" t="inlineStr">
        <is>
          <t>Arcadia</t>
        </is>
      </c>
      <c r="O61" s="60" t="inlineStr">
        <is>
          <t>Los Angeles</t>
        </is>
      </c>
      <c r="P61" s="64" t="inlineStr">
        <is>
          <t>foothillcu.org</t>
        </is>
      </c>
      <c r="Q61" s="81" t="inlineStr">
        <is>
          <t>No</t>
        </is>
      </c>
      <c r="R61" s="60" t="inlineStr">
        <is>
          <t>-</t>
        </is>
      </c>
      <c r="S61" s="67" t="inlineStr">
        <is>
          <t>No card</t>
        </is>
      </c>
      <c r="T61" s="60" t="inlineStr">
        <is>
          <t>-</t>
        </is>
      </c>
      <c r="U61" s="67" t="inlineStr">
        <is>
          <t>-</t>
        </is>
      </c>
      <c r="V61" s="79" t="inlineStr">
        <is>
          <t>None (no business card)</t>
        </is>
      </c>
      <c r="W61" s="57" t="inlineStr">
        <is>
          <t>-</t>
        </is>
      </c>
      <c r="X61" s="67" t="inlineStr">
        <is>
          <t>-</t>
        </is>
      </c>
      <c r="Y61" s="60" t="inlineStr">
        <is>
          <t>No business credit card</t>
        </is>
      </c>
      <c r="Z61" s="60" t="inlineStr">
        <is>
          <t>-</t>
        </is>
      </c>
      <c r="AA61" s="60" t="inlineStr">
        <is>
          <t>-</t>
        </is>
      </c>
      <c r="AB61" s="60" t="inlineStr">
        <is>
          <t>-</t>
        </is>
      </c>
      <c r="AC61" s="60" t="inlineStr">
        <is>
          <t>-</t>
        </is>
      </c>
      <c r="AD61" s="60" t="inlineStr">
        <is>
          <t>-</t>
        </is>
      </c>
      <c r="AE61" s="60" t="inlineStr">
        <is>
          <t>-</t>
        </is>
      </c>
      <c r="AF61" s="60" t="inlineStr">
        <is>
          <t>No card product</t>
        </is>
      </c>
      <c r="AG61" s="60" t="inlineStr">
        <is>
          <t>No business card (consumer MC only). VERIFIED.</t>
        </is>
      </c>
      <c r="AH61" s="64" t="inlineStr">
        <is>
          <t>foothillcu.org</t>
        </is>
      </c>
    </row>
    <row r="62" ht="15.75" customHeight="1">
      <c r="A62" s="57" t="n">
        <v>61</v>
      </c>
      <c r="B62" s="80" t="inlineStr">
        <is>
          <t>D - No business card</t>
        </is>
      </c>
      <c r="C62" s="79" t="inlineStr">
        <is>
          <t>New Omni Bank, N.A.</t>
        </is>
      </c>
      <c r="D62" s="60" t="inlineStr">
        <is>
          <t>- no business card</t>
        </is>
      </c>
      <c r="E62" s="69" t="inlineStr">
        <is>
          <t>Bank</t>
        </is>
      </c>
      <c r="F62" s="61" t="inlineStr">
        <is>
          <t>Yes</t>
        </is>
      </c>
      <c r="G62" s="60" t="inlineStr">
        <is>
          <t>SoCal - LA County</t>
        </is>
      </c>
      <c r="H62" s="62" t="inlineStr">
        <is>
          <t>CA-HQ (Southern California)</t>
        </is>
      </c>
      <c r="I62" s="79" t="inlineStr">
        <is>
          <t>N/A (no business card)</t>
        </is>
      </c>
      <c r="J62" s="60" t="inlineStr">
        <is>
          <t>$0.53B</t>
        </is>
      </c>
      <c r="K62" s="60" t="inlineStr">
        <is>
          <t>$0.39B</t>
        </is>
      </c>
      <c r="L62" s="60" t="inlineStr">
        <is>
          <t>San Gabriel Valley community bank</t>
        </is>
      </c>
      <c r="M62" s="60" t="n">
        <v>-63</v>
      </c>
      <c r="N62" s="60" t="inlineStr">
        <is>
          <t>Alhambra</t>
        </is>
      </c>
      <c r="O62" s="60" t="inlineStr">
        <is>
          <t>Los Angeles</t>
        </is>
      </c>
      <c r="P62" s="64" t="inlineStr">
        <is>
          <t>newomnibank.com</t>
        </is>
      </c>
      <c r="Q62" s="81" t="inlineStr">
        <is>
          <t>No</t>
        </is>
      </c>
      <c r="R62" s="60" t="inlineStr">
        <is>
          <t>-</t>
        </is>
      </c>
      <c r="S62" s="67" t="inlineStr">
        <is>
          <t>No card</t>
        </is>
      </c>
      <c r="T62" s="60" t="inlineStr">
        <is>
          <t>-</t>
        </is>
      </c>
      <c r="U62" s="67" t="inlineStr">
        <is>
          <t>-</t>
        </is>
      </c>
      <c r="V62" s="79" t="inlineStr">
        <is>
          <t>None (no business card)</t>
        </is>
      </c>
      <c r="W62" s="57" t="inlineStr">
        <is>
          <t>-</t>
        </is>
      </c>
      <c r="X62" s="67" t="inlineStr">
        <is>
          <t>-</t>
        </is>
      </c>
      <c r="Y62" s="60" t="inlineStr">
        <is>
          <t>No business credit card</t>
        </is>
      </c>
      <c r="Z62" s="60" t="inlineStr">
        <is>
          <t>-</t>
        </is>
      </c>
      <c r="AA62" s="60" t="inlineStr">
        <is>
          <t>-</t>
        </is>
      </c>
      <c r="AB62" s="60" t="inlineStr">
        <is>
          <t>-</t>
        </is>
      </c>
      <c r="AC62" s="60" t="inlineStr">
        <is>
          <t>-</t>
        </is>
      </c>
      <c r="AD62" s="60" t="inlineStr">
        <is>
          <t>-</t>
        </is>
      </c>
      <c r="AE62" s="60" t="inlineStr">
        <is>
          <t>-</t>
        </is>
      </c>
      <c r="AF62" s="60" t="inlineStr">
        <is>
          <t>No card product</t>
        </is>
      </c>
      <c r="AG62" s="60" t="inlineStr">
        <is>
          <t>No branded card. INFERRED-high.</t>
        </is>
      </c>
      <c r="AH62" s="64" t="inlineStr">
        <is>
          <t>newomnibank.com</t>
        </is>
      </c>
    </row>
    <row r="63" ht="15.75" customHeight="1">
      <c r="A63" s="57" t="n">
        <v>62</v>
      </c>
      <c r="B63" s="80" t="inlineStr">
        <is>
          <t>D - No business card</t>
        </is>
      </c>
      <c r="C63" s="79" t="inlineStr">
        <is>
          <t>First Credit Bank</t>
        </is>
      </c>
      <c r="D63" s="60" t="inlineStr">
        <is>
          <t>- no business card</t>
        </is>
      </c>
      <c r="E63" s="69" t="inlineStr">
        <is>
          <t>Bank</t>
        </is>
      </c>
      <c r="F63" s="61" t="inlineStr">
        <is>
          <t>Yes</t>
        </is>
      </c>
      <c r="G63" s="60" t="inlineStr">
        <is>
          <t>SoCal - LA County</t>
        </is>
      </c>
      <c r="H63" s="62" t="inlineStr">
        <is>
          <t>CA-HQ (Southern California)</t>
        </is>
      </c>
      <c r="I63" s="79" t="inlineStr">
        <is>
          <t>N/A (no business card)</t>
        </is>
      </c>
      <c r="J63" s="60" t="inlineStr">
        <is>
          <t>$0.52B</t>
        </is>
      </c>
      <c r="K63" s="60" t="inlineStr">
        <is>
          <t>$0.27B</t>
        </is>
      </c>
      <c r="L63" s="60" t="inlineStr">
        <is>
          <t>Commercial-lending-focused bank</t>
        </is>
      </c>
      <c r="M63" s="60" t="n">
        <v>-63</v>
      </c>
      <c r="N63" s="60" t="inlineStr">
        <is>
          <t>Los Angeles (West Hollywood)</t>
        </is>
      </c>
      <c r="O63" s="60" t="inlineStr">
        <is>
          <t>Los Angeles</t>
        </is>
      </c>
      <c r="P63" s="64" t="inlineStr">
        <is>
          <t>cafcb.com</t>
        </is>
      </c>
      <c r="Q63" s="81" t="inlineStr">
        <is>
          <t>No</t>
        </is>
      </c>
      <c r="R63" s="60" t="inlineStr">
        <is>
          <t>-</t>
        </is>
      </c>
      <c r="S63" s="67" t="inlineStr">
        <is>
          <t>No card</t>
        </is>
      </c>
      <c r="T63" s="60" t="inlineStr">
        <is>
          <t>-</t>
        </is>
      </c>
      <c r="U63" s="67" t="inlineStr">
        <is>
          <t>-</t>
        </is>
      </c>
      <c r="V63" s="79" t="inlineStr">
        <is>
          <t>None (no business card)</t>
        </is>
      </c>
      <c r="W63" s="57" t="inlineStr">
        <is>
          <t>-</t>
        </is>
      </c>
      <c r="X63" s="67" t="inlineStr">
        <is>
          <t>-</t>
        </is>
      </c>
      <c r="Y63" s="60" t="inlineStr">
        <is>
          <t>No business credit card</t>
        </is>
      </c>
      <c r="Z63" s="60" t="inlineStr">
        <is>
          <t>-</t>
        </is>
      </c>
      <c r="AA63" s="60" t="inlineStr">
        <is>
          <t>-</t>
        </is>
      </c>
      <c r="AB63" s="60" t="inlineStr">
        <is>
          <t>-</t>
        </is>
      </c>
      <c r="AC63" s="60" t="inlineStr">
        <is>
          <t>-</t>
        </is>
      </c>
      <c r="AD63" s="60" t="inlineStr">
        <is>
          <t>-</t>
        </is>
      </c>
      <c r="AE63" s="60" t="inlineStr">
        <is>
          <t>-</t>
        </is>
      </c>
      <c r="AF63" s="60" t="inlineStr">
        <is>
          <t>No card product</t>
        </is>
      </c>
      <c r="AG63" s="60" t="inlineStr">
        <is>
          <t>No card product. INFERRED.</t>
        </is>
      </c>
      <c r="AH63" s="64" t="inlineStr">
        <is>
          <t>cafcb.com</t>
        </is>
      </c>
    </row>
    <row r="64" ht="15.75" customHeight="1">
      <c r="A64" s="57" t="n">
        <v>63</v>
      </c>
      <c r="B64" s="80" t="inlineStr">
        <is>
          <t>D - No business card</t>
        </is>
      </c>
      <c r="C64" s="79" t="inlineStr">
        <is>
          <t>Chino Commercial Bank</t>
        </is>
      </c>
      <c r="D64" s="60" t="inlineStr">
        <is>
          <t>- no business card</t>
        </is>
      </c>
      <c r="E64" s="69" t="inlineStr">
        <is>
          <t>Bank</t>
        </is>
      </c>
      <c r="F64" s="61" t="inlineStr">
        <is>
          <t>Yes</t>
        </is>
      </c>
      <c r="G64" s="60" t="inlineStr">
        <is>
          <t>SoCal - Inland Empire</t>
        </is>
      </c>
      <c r="H64" s="62" t="inlineStr">
        <is>
          <t>CA-HQ (Southern California)</t>
        </is>
      </c>
      <c r="I64" s="79" t="inlineStr">
        <is>
          <t>N/A (no business card)</t>
        </is>
      </c>
      <c r="J64" s="60" t="inlineStr">
        <is>
          <t>$0.49B</t>
        </is>
      </c>
      <c r="K64" s="60" t="inlineStr">
        <is>
          <t>$0.39B</t>
        </is>
      </c>
      <c r="L64" s="60" t="inlineStr">
        <is>
          <t>Inland Empire (Chino); site blocks fetch</t>
        </is>
      </c>
      <c r="M64" s="60" t="n">
        <v>-63</v>
      </c>
      <c r="N64" s="60" t="inlineStr">
        <is>
          <t>Chino</t>
        </is>
      </c>
      <c r="O64" s="60" t="inlineStr">
        <is>
          <t>San Bernardino</t>
        </is>
      </c>
      <c r="P64" s="64" t="inlineStr">
        <is>
          <t>chinocommercialbank.com</t>
        </is>
      </c>
      <c r="Q64" s="81" t="inlineStr">
        <is>
          <t>No</t>
        </is>
      </c>
      <c r="R64" s="60" t="inlineStr">
        <is>
          <t>-</t>
        </is>
      </c>
      <c r="S64" s="67" t="inlineStr">
        <is>
          <t>No card</t>
        </is>
      </c>
      <c r="T64" s="60" t="inlineStr">
        <is>
          <t>-</t>
        </is>
      </c>
      <c r="U64" s="67" t="inlineStr">
        <is>
          <t>-</t>
        </is>
      </c>
      <c r="V64" s="79" t="inlineStr">
        <is>
          <t>None (no business card)</t>
        </is>
      </c>
      <c r="W64" s="57" t="inlineStr">
        <is>
          <t>-</t>
        </is>
      </c>
      <c r="X64" s="67" t="inlineStr">
        <is>
          <t>-</t>
        </is>
      </c>
      <c r="Y64" s="60" t="inlineStr">
        <is>
          <t>No business credit card</t>
        </is>
      </c>
      <c r="Z64" s="60" t="inlineStr">
        <is>
          <t>-</t>
        </is>
      </c>
      <c r="AA64" s="60" t="inlineStr">
        <is>
          <t>-</t>
        </is>
      </c>
      <c r="AB64" s="60" t="inlineStr">
        <is>
          <t>-</t>
        </is>
      </c>
      <c r="AC64" s="60" t="inlineStr">
        <is>
          <t>-</t>
        </is>
      </c>
      <c r="AD64" s="60" t="inlineStr">
        <is>
          <t>-</t>
        </is>
      </c>
      <c r="AE64" s="60" t="inlineStr">
        <is>
          <t>-</t>
        </is>
      </c>
      <c r="AF64" s="60" t="inlineStr">
        <is>
          <t>No card product</t>
        </is>
      </c>
      <c r="AG64" s="60" t="inlineStr">
        <is>
          <t>UNKNOWN - site unrenderable; business card NOT confirmed (call to verify).</t>
        </is>
      </c>
      <c r="AH64" s="64" t="inlineStr">
        <is>
          <t>chinocommercialbank.com/business-products</t>
        </is>
      </c>
    </row>
    <row r="65" ht="15.75" customHeight="1">
      <c r="A65" s="57" t="n">
        <v>64</v>
      </c>
      <c r="B65" s="80" t="inlineStr">
        <is>
          <t>D - No business card</t>
        </is>
      </c>
      <c r="C65" s="79" t="inlineStr">
        <is>
          <t>Pacific Alliance Bank</t>
        </is>
      </c>
      <c r="D65" s="60" t="inlineStr">
        <is>
          <t>- no business card</t>
        </is>
      </c>
      <c r="E65" s="69" t="inlineStr">
        <is>
          <t>Bank</t>
        </is>
      </c>
      <c r="F65" s="61" t="inlineStr">
        <is>
          <t>Yes</t>
        </is>
      </c>
      <c r="G65" s="60" t="inlineStr">
        <is>
          <t>SoCal - LA County</t>
        </is>
      </c>
      <c r="H65" s="62" t="inlineStr">
        <is>
          <t>CA-HQ (Southern California)</t>
        </is>
      </c>
      <c r="I65" s="79" t="inlineStr">
        <is>
          <t>N/A (no business card)</t>
        </is>
      </c>
      <c r="J65" s="60" t="inlineStr">
        <is>
          <t>$0.44B</t>
        </is>
      </c>
      <c r="K65" s="60" t="inlineStr">
        <is>
          <t>$0.36B</t>
        </is>
      </c>
      <c r="L65" s="60" t="inlineStr">
        <is>
          <t>San Gabriel Valley; Chinese-American</t>
        </is>
      </c>
      <c r="M65" s="60" t="n">
        <v>-63</v>
      </c>
      <c r="N65" s="60" t="inlineStr">
        <is>
          <t>San Gabriel</t>
        </is>
      </c>
      <c r="O65" s="60" t="inlineStr">
        <is>
          <t>Los Angeles</t>
        </is>
      </c>
      <c r="P65" s="64" t="inlineStr">
        <is>
          <t>pacificalliancebank.com</t>
        </is>
      </c>
      <c r="Q65" s="81" t="inlineStr">
        <is>
          <t>No</t>
        </is>
      </c>
      <c r="R65" s="60" t="inlineStr">
        <is>
          <t>-</t>
        </is>
      </c>
      <c r="S65" s="67" t="inlineStr">
        <is>
          <t>No card</t>
        </is>
      </c>
      <c r="T65" s="60" t="inlineStr">
        <is>
          <t>-</t>
        </is>
      </c>
      <c r="U65" s="67" t="inlineStr">
        <is>
          <t>-</t>
        </is>
      </c>
      <c r="V65" s="79" t="inlineStr">
        <is>
          <t>None (no business card)</t>
        </is>
      </c>
      <c r="W65" s="57" t="inlineStr">
        <is>
          <t>-</t>
        </is>
      </c>
      <c r="X65" s="67" t="inlineStr">
        <is>
          <t>-</t>
        </is>
      </c>
      <c r="Y65" s="60" t="inlineStr">
        <is>
          <t>No business credit card</t>
        </is>
      </c>
      <c r="Z65" s="60" t="inlineStr">
        <is>
          <t>-</t>
        </is>
      </c>
      <c r="AA65" s="60" t="inlineStr">
        <is>
          <t>-</t>
        </is>
      </c>
      <c r="AB65" s="60" t="inlineStr">
        <is>
          <t>-</t>
        </is>
      </c>
      <c r="AC65" s="60" t="inlineStr">
        <is>
          <t>-</t>
        </is>
      </c>
      <c r="AD65" s="60" t="inlineStr">
        <is>
          <t>-</t>
        </is>
      </c>
      <c r="AE65" s="60" t="inlineStr">
        <is>
          <t>-</t>
        </is>
      </c>
      <c r="AF65" s="60" t="inlineStr">
        <is>
          <t>No card product</t>
        </is>
      </c>
      <c r="AG65" s="60" t="inlineStr">
        <is>
          <t>Visa debit only, no credit card. VERIFIED.</t>
        </is>
      </c>
      <c r="AH65" s="64" t="inlineStr">
        <is>
          <t>pacificalliancebank.com/Other-Services</t>
        </is>
      </c>
    </row>
    <row r="66" ht="15.75" customHeight="1">
      <c r="A66" s="57" t="n">
        <v>65</v>
      </c>
      <c r="B66" s="80" t="inlineStr">
        <is>
          <t>D - No business card</t>
        </is>
      </c>
      <c r="C66" s="79" t="inlineStr">
        <is>
          <t>Liberty Bank, N.A.</t>
        </is>
      </c>
      <c r="D66" s="60" t="inlineStr">
        <is>
          <t>- no business card</t>
        </is>
      </c>
      <c r="E66" s="69" t="inlineStr">
        <is>
          <t>Bank</t>
        </is>
      </c>
      <c r="F66" s="61" t="inlineStr">
        <is>
          <t>Yes</t>
        </is>
      </c>
      <c r="G66" s="60" t="inlineStr">
        <is>
          <t>SoCal - Orange County</t>
        </is>
      </c>
      <c r="H66" s="62" t="inlineStr">
        <is>
          <t>CA-HQ (Southern California)</t>
        </is>
      </c>
      <c r="I66" s="79" t="inlineStr">
        <is>
          <t>N/A (no business card)</t>
        </is>
      </c>
      <c r="J66" s="60" t="inlineStr">
        <is>
          <t>$0.41B</t>
        </is>
      </c>
      <c r="K66" s="60" t="inlineStr">
        <is>
          <t>$0.34B</t>
        </is>
      </c>
      <c r="L66" s="60" t="inlineStr">
        <is>
          <t>OC; commercial credit + CRE</t>
        </is>
      </c>
      <c r="M66" s="60" t="n">
        <v>-63</v>
      </c>
      <c r="N66" s="60" t="inlineStr">
        <is>
          <t>Irvine</t>
        </is>
      </c>
      <c r="O66" s="60" t="inlineStr">
        <is>
          <t>Orange</t>
        </is>
      </c>
      <c r="P66" s="64" t="inlineStr">
        <is>
          <t>libertybk.com</t>
        </is>
      </c>
      <c r="Q66" s="81" t="inlineStr">
        <is>
          <t>No</t>
        </is>
      </c>
      <c r="R66" s="60" t="inlineStr">
        <is>
          <t>-</t>
        </is>
      </c>
      <c r="S66" s="67" t="inlineStr">
        <is>
          <t>No card</t>
        </is>
      </c>
      <c r="T66" s="60" t="inlineStr">
        <is>
          <t>-</t>
        </is>
      </c>
      <c r="U66" s="67" t="inlineStr">
        <is>
          <t>-</t>
        </is>
      </c>
      <c r="V66" s="79" t="inlineStr">
        <is>
          <t>None (no business card)</t>
        </is>
      </c>
      <c r="W66" s="57" t="inlineStr">
        <is>
          <t>-</t>
        </is>
      </c>
      <c r="X66" s="67" t="inlineStr">
        <is>
          <t>-</t>
        </is>
      </c>
      <c r="Y66" s="60" t="inlineStr">
        <is>
          <t>No business credit card</t>
        </is>
      </c>
      <c r="Z66" s="60" t="inlineStr">
        <is>
          <t>-</t>
        </is>
      </c>
      <c r="AA66" s="60" t="inlineStr">
        <is>
          <t>-</t>
        </is>
      </c>
      <c r="AB66" s="60" t="inlineStr">
        <is>
          <t>-</t>
        </is>
      </c>
      <c r="AC66" s="60" t="inlineStr">
        <is>
          <t>-</t>
        </is>
      </c>
      <c r="AD66" s="60" t="inlineStr">
        <is>
          <t>-</t>
        </is>
      </c>
      <c r="AE66" s="60" t="inlineStr">
        <is>
          <t>-</t>
        </is>
      </c>
      <c r="AF66" s="60" t="inlineStr">
        <is>
          <t>No card product</t>
        </is>
      </c>
      <c r="AG66" s="60" t="inlineStr">
        <is>
          <t>No card in nav/lending. VERIFIED.</t>
        </is>
      </c>
      <c r="AH66" s="64" t="inlineStr">
        <is>
          <t>libertybk.com/lending</t>
        </is>
      </c>
    </row>
    <row r="67" ht="15.75" customHeight="1">
      <c r="A67" s="57" t="n">
        <v>66</v>
      </c>
      <c r="B67" s="80" t="inlineStr">
        <is>
          <t>D - No business card</t>
        </is>
      </c>
      <c r="C67" s="79" t="inlineStr">
        <is>
          <t>Community Commerce Bank</t>
        </is>
      </c>
      <c r="D67" s="60" t="inlineStr">
        <is>
          <t>- no business card</t>
        </is>
      </c>
      <c r="E67" s="69" t="inlineStr">
        <is>
          <t>Bank</t>
        </is>
      </c>
      <c r="F67" s="61" t="inlineStr">
        <is>
          <t>Yes</t>
        </is>
      </c>
      <c r="G67" s="60" t="inlineStr">
        <is>
          <t>SoCal - LA County</t>
        </is>
      </c>
      <c r="H67" s="62" t="inlineStr">
        <is>
          <t>CA-HQ (Southern California)</t>
        </is>
      </c>
      <c r="I67" s="79" t="inlineStr">
        <is>
          <t>N/A (no business card)</t>
        </is>
      </c>
      <c r="J67" s="60" t="inlineStr">
        <is>
          <t>$0.40B</t>
        </is>
      </c>
      <c r="K67" s="60" t="inlineStr">
        <is>
          <t>$0.30B</t>
        </is>
      </c>
      <c r="L67" s="60" t="inlineStr">
        <is>
          <t>RE-loan/deposit focus</t>
        </is>
      </c>
      <c r="M67" s="60" t="n">
        <v>-63</v>
      </c>
      <c r="N67" s="60" t="inlineStr">
        <is>
          <t>Claremont</t>
        </is>
      </c>
      <c r="O67" s="60" t="inlineStr">
        <is>
          <t>Los Angeles</t>
        </is>
      </c>
      <c r="P67" s="64" t="inlineStr">
        <is>
          <t>ccombank.com</t>
        </is>
      </c>
      <c r="Q67" s="81" t="inlineStr">
        <is>
          <t>No</t>
        </is>
      </c>
      <c r="R67" s="60" t="inlineStr">
        <is>
          <t>-</t>
        </is>
      </c>
      <c r="S67" s="67" t="inlineStr">
        <is>
          <t>No card</t>
        </is>
      </c>
      <c r="T67" s="60" t="inlineStr">
        <is>
          <t>-</t>
        </is>
      </c>
      <c r="U67" s="67" t="inlineStr">
        <is>
          <t>-</t>
        </is>
      </c>
      <c r="V67" s="79" t="inlineStr">
        <is>
          <t>None (no business card)</t>
        </is>
      </c>
      <c r="W67" s="57" t="inlineStr">
        <is>
          <t>-</t>
        </is>
      </c>
      <c r="X67" s="67" t="inlineStr">
        <is>
          <t>-</t>
        </is>
      </c>
      <c r="Y67" s="60" t="inlineStr">
        <is>
          <t>No business credit card</t>
        </is>
      </c>
      <c r="Z67" s="60" t="inlineStr">
        <is>
          <t>-</t>
        </is>
      </c>
      <c r="AA67" s="60" t="inlineStr">
        <is>
          <t>-</t>
        </is>
      </c>
      <c r="AB67" s="60" t="inlineStr">
        <is>
          <t>-</t>
        </is>
      </c>
      <c r="AC67" s="60" t="inlineStr">
        <is>
          <t>-</t>
        </is>
      </c>
      <c r="AD67" s="60" t="inlineStr">
        <is>
          <t>-</t>
        </is>
      </c>
      <c r="AE67" s="60" t="inlineStr">
        <is>
          <t>-</t>
        </is>
      </c>
      <c r="AF67" s="60" t="inlineStr">
        <is>
          <t>No card product</t>
        </is>
      </c>
      <c r="AG67" s="60" t="inlineStr">
        <is>
          <t>No unsecured credit products. VERIFIED (FAQ).</t>
        </is>
      </c>
      <c r="AH67" s="64" t="inlineStr">
        <is>
          <t>ccombank.com/faq</t>
        </is>
      </c>
    </row>
    <row r="68" ht="15.75" customHeight="1">
      <c r="A68" s="57" t="n">
        <v>67</v>
      </c>
      <c r="B68" s="80" t="inlineStr">
        <is>
          <t>D - No business card</t>
        </is>
      </c>
      <c r="C68" s="79" t="inlineStr">
        <is>
          <t>American Continental Bank</t>
        </is>
      </c>
      <c r="D68" s="60" t="inlineStr">
        <is>
          <t>- no business card</t>
        </is>
      </c>
      <c r="E68" s="69" t="inlineStr">
        <is>
          <t>Bank</t>
        </is>
      </c>
      <c r="F68" s="61" t="inlineStr">
        <is>
          <t>Yes</t>
        </is>
      </c>
      <c r="G68" s="60" t="inlineStr">
        <is>
          <t>SoCal - LA County</t>
        </is>
      </c>
      <c r="H68" s="62" t="inlineStr">
        <is>
          <t>CA-HQ (Southern California)</t>
        </is>
      </c>
      <c r="I68" s="79" t="inlineStr">
        <is>
          <t>N/A (no business card)</t>
        </is>
      </c>
      <c r="J68" s="60" t="inlineStr">
        <is>
          <t>$0.37B</t>
        </is>
      </c>
      <c r="K68" s="60" t="inlineStr">
        <is>
          <t>$0.31B</t>
        </is>
      </c>
      <c r="L68" s="60" t="inlineStr">
        <is>
          <t>San Gabriel Valley; Chinese-American</t>
        </is>
      </c>
      <c r="M68" s="60" t="n">
        <v>-63</v>
      </c>
      <c r="N68" s="60" t="inlineStr">
        <is>
          <t>City of Industry</t>
        </is>
      </c>
      <c r="O68" s="60" t="inlineStr">
        <is>
          <t>Los Angeles</t>
        </is>
      </c>
      <c r="P68" s="64" t="inlineStr">
        <is>
          <t>americancontinentalbank.com</t>
        </is>
      </c>
      <c r="Q68" s="81" t="inlineStr">
        <is>
          <t>No</t>
        </is>
      </c>
      <c r="R68" s="60" t="inlineStr">
        <is>
          <t>-</t>
        </is>
      </c>
      <c r="S68" s="67" t="inlineStr">
        <is>
          <t>No card</t>
        </is>
      </c>
      <c r="T68" s="60" t="inlineStr">
        <is>
          <t>-</t>
        </is>
      </c>
      <c r="U68" s="67" t="inlineStr">
        <is>
          <t>-</t>
        </is>
      </c>
      <c r="V68" s="79" t="inlineStr">
        <is>
          <t>None (no business card)</t>
        </is>
      </c>
      <c r="W68" s="57" t="inlineStr">
        <is>
          <t>-</t>
        </is>
      </c>
      <c r="X68" s="67" t="inlineStr">
        <is>
          <t>-</t>
        </is>
      </c>
      <c r="Y68" s="60" t="inlineStr">
        <is>
          <t>No business credit card</t>
        </is>
      </c>
      <c r="Z68" s="60" t="inlineStr">
        <is>
          <t>-</t>
        </is>
      </c>
      <c r="AA68" s="60" t="inlineStr">
        <is>
          <t>-</t>
        </is>
      </c>
      <c r="AB68" s="60" t="inlineStr">
        <is>
          <t>-</t>
        </is>
      </c>
      <c r="AC68" s="60" t="inlineStr">
        <is>
          <t>-</t>
        </is>
      </c>
      <c r="AD68" s="60" t="inlineStr">
        <is>
          <t>-</t>
        </is>
      </c>
      <c r="AE68" s="60" t="inlineStr">
        <is>
          <t>-</t>
        </is>
      </c>
      <c r="AF68" s="60" t="inlineStr">
        <is>
          <t>No card product</t>
        </is>
      </c>
      <c r="AG68" s="60" t="inlineStr">
        <is>
          <t>Debit/ATM only, no credit card. VERIFIED.</t>
        </is>
      </c>
      <c r="AH68" s="64" t="inlineStr">
        <is>
          <t>americancontinentalbank.com/Products-Services</t>
        </is>
      </c>
    </row>
    <row r="69" ht="15.75" customHeight="1">
      <c r="A69" s="57" t="n">
        <v>68</v>
      </c>
      <c r="B69" s="80" t="inlineStr">
        <is>
          <t>D - No business card</t>
        </is>
      </c>
      <c r="C69" s="79" t="inlineStr">
        <is>
          <t>Eagle Community Credit Union</t>
        </is>
      </c>
      <c r="D69" s="60" t="inlineStr">
        <is>
          <t>- no business card</t>
        </is>
      </c>
      <c r="E69" s="61" t="inlineStr">
        <is>
          <t>Credit Union</t>
        </is>
      </c>
      <c r="F69" s="61" t="inlineStr">
        <is>
          <t>Yes</t>
        </is>
      </c>
      <c r="G69" s="60" t="inlineStr">
        <is>
          <t>SoCal - Orange County</t>
        </is>
      </c>
      <c r="H69" s="62" t="inlineStr">
        <is>
          <t>CA-HQ (Southern California)</t>
        </is>
      </c>
      <c r="I69" s="79" t="inlineStr">
        <is>
          <t>N/A (no business card)</t>
        </is>
      </c>
      <c r="J69" s="60" t="inlineStr">
        <is>
          <t>~$0.35B</t>
        </is>
      </c>
      <c r="K69" s="60" t="inlineStr">
        <is>
          <t>~$0.3B (shares)</t>
        </is>
      </c>
      <c r="L69" s="60" t="inlineStr">
        <is>
          <t>OC CU; biz deposits, consumer cards</t>
        </is>
      </c>
      <c r="M69" s="60" t="n">
        <v>-63</v>
      </c>
      <c r="N69" s="60" t="inlineStr">
        <is>
          <t>Lake Forest</t>
        </is>
      </c>
      <c r="O69" s="60" t="inlineStr">
        <is>
          <t>Orange</t>
        </is>
      </c>
      <c r="P69" s="64" t="inlineStr">
        <is>
          <t>eaglecu.org</t>
        </is>
      </c>
      <c r="Q69" s="81" t="inlineStr">
        <is>
          <t>No</t>
        </is>
      </c>
      <c r="R69" s="60" t="inlineStr">
        <is>
          <t>-</t>
        </is>
      </c>
      <c r="S69" s="67" t="inlineStr">
        <is>
          <t>No card</t>
        </is>
      </c>
      <c r="T69" s="60" t="inlineStr">
        <is>
          <t>-</t>
        </is>
      </c>
      <c r="U69" s="67" t="inlineStr">
        <is>
          <t>-</t>
        </is>
      </c>
      <c r="V69" s="79" t="inlineStr">
        <is>
          <t>None (no business card)</t>
        </is>
      </c>
      <c r="W69" s="57" t="inlineStr">
        <is>
          <t>-</t>
        </is>
      </c>
      <c r="X69" s="67" t="inlineStr">
        <is>
          <t>-</t>
        </is>
      </c>
      <c r="Y69" s="60" t="inlineStr">
        <is>
          <t>No business credit card</t>
        </is>
      </c>
      <c r="Z69" s="60" t="inlineStr">
        <is>
          <t>-</t>
        </is>
      </c>
      <c r="AA69" s="60" t="inlineStr">
        <is>
          <t>-</t>
        </is>
      </c>
      <c r="AB69" s="60" t="inlineStr">
        <is>
          <t>-</t>
        </is>
      </c>
      <c r="AC69" s="60" t="inlineStr">
        <is>
          <t>-</t>
        </is>
      </c>
      <c r="AD69" s="60" t="inlineStr">
        <is>
          <t>-</t>
        </is>
      </c>
      <c r="AE69" s="60" t="inlineStr">
        <is>
          <t>-</t>
        </is>
      </c>
      <c r="AF69" s="60" t="inlineStr">
        <is>
          <t>No card product</t>
        </is>
      </c>
      <c r="AG69" s="60" t="inlineStr">
        <is>
          <t>No business card (biz deposit accts; consumer MC only). VERIFIED.</t>
        </is>
      </c>
      <c r="AH69" s="64" t="inlineStr">
        <is>
          <t>eaglecu.org/CreditCards</t>
        </is>
      </c>
    </row>
    <row r="70" ht="15.75" customHeight="1">
      <c r="A70" s="57" t="n">
        <v>69</v>
      </c>
      <c r="B70" s="80" t="inlineStr">
        <is>
          <t>D - No business card</t>
        </is>
      </c>
      <c r="C70" s="79" t="inlineStr">
        <is>
          <t>Bank Irvine</t>
        </is>
      </c>
      <c r="D70" s="60" t="inlineStr">
        <is>
          <t>- no business card</t>
        </is>
      </c>
      <c r="E70" s="69" t="inlineStr">
        <is>
          <t>Bank</t>
        </is>
      </c>
      <c r="F70" s="61" t="inlineStr">
        <is>
          <t>Yes</t>
        </is>
      </c>
      <c r="G70" s="60" t="inlineStr">
        <is>
          <t>SoCal - Orange County</t>
        </is>
      </c>
      <c r="H70" s="62" t="inlineStr">
        <is>
          <t>CA-HQ (Southern California)</t>
        </is>
      </c>
      <c r="I70" s="79" t="inlineStr">
        <is>
          <t>N/A (no business card)</t>
        </is>
      </c>
      <c r="J70" s="60" t="inlineStr">
        <is>
          <t>$0.25B</t>
        </is>
      </c>
      <c r="K70" s="60" t="inlineStr">
        <is>
          <t>$0.18B</t>
        </is>
      </c>
      <c r="L70" s="60" t="inlineStr">
        <is>
          <t>OC community bank; debit/Zelle</t>
        </is>
      </c>
      <c r="M70" s="60" t="n">
        <v>-63</v>
      </c>
      <c r="N70" s="60" t="inlineStr">
        <is>
          <t>Irvine</t>
        </is>
      </c>
      <c r="O70" s="60" t="inlineStr">
        <is>
          <t>Orange</t>
        </is>
      </c>
      <c r="P70" s="64" t="inlineStr">
        <is>
          <t>bankirvine.com</t>
        </is>
      </c>
      <c r="Q70" s="81" t="inlineStr">
        <is>
          <t>No</t>
        </is>
      </c>
      <c r="R70" s="60" t="inlineStr">
        <is>
          <t>-</t>
        </is>
      </c>
      <c r="S70" s="67" t="inlineStr">
        <is>
          <t>No card</t>
        </is>
      </c>
      <c r="T70" s="60" t="inlineStr">
        <is>
          <t>-</t>
        </is>
      </c>
      <c r="U70" s="67" t="inlineStr">
        <is>
          <t>-</t>
        </is>
      </c>
      <c r="V70" s="79" t="inlineStr">
        <is>
          <t>None (no business card)</t>
        </is>
      </c>
      <c r="W70" s="57" t="inlineStr">
        <is>
          <t>-</t>
        </is>
      </c>
      <c r="X70" s="67" t="inlineStr">
        <is>
          <t>-</t>
        </is>
      </c>
      <c r="Y70" s="60" t="inlineStr">
        <is>
          <t>No business credit card</t>
        </is>
      </c>
      <c r="Z70" s="60" t="inlineStr">
        <is>
          <t>-</t>
        </is>
      </c>
      <c r="AA70" s="60" t="inlineStr">
        <is>
          <t>-</t>
        </is>
      </c>
      <c r="AB70" s="60" t="inlineStr">
        <is>
          <t>-</t>
        </is>
      </c>
      <c r="AC70" s="60" t="inlineStr">
        <is>
          <t>-</t>
        </is>
      </c>
      <c r="AD70" s="60" t="inlineStr">
        <is>
          <t>-</t>
        </is>
      </c>
      <c r="AE70" s="60" t="inlineStr">
        <is>
          <t>-</t>
        </is>
      </c>
      <c r="AF70" s="60" t="inlineStr">
        <is>
          <t>No card product</t>
        </is>
      </c>
      <c r="AG70" s="60" t="inlineStr">
        <is>
          <t>Debit card only, no credit card. VERIFIED.</t>
        </is>
      </c>
      <c r="AH70" s="64" t="inlineStr">
        <is>
          <t>bankirvine.com</t>
        </is>
      </c>
    </row>
    <row r="71" ht="15.75" customHeight="1">
      <c r="A71" s="57" t="n">
        <v>70</v>
      </c>
      <c r="B71" s="80" t="inlineStr">
        <is>
          <t>D - No business card</t>
        </is>
      </c>
      <c r="C71" s="79" t="inlineStr">
        <is>
          <t>United Pacific Bank</t>
        </is>
      </c>
      <c r="D71" s="60" t="inlineStr">
        <is>
          <t>- no business card</t>
        </is>
      </c>
      <c r="E71" s="69" t="inlineStr">
        <is>
          <t>Bank</t>
        </is>
      </c>
      <c r="F71" s="61" t="inlineStr">
        <is>
          <t>Yes</t>
        </is>
      </c>
      <c r="G71" s="60" t="inlineStr">
        <is>
          <t>SoCal - LA County</t>
        </is>
      </c>
      <c r="H71" s="62" t="inlineStr">
        <is>
          <t>CA-HQ (Southern California)</t>
        </is>
      </c>
      <c r="I71" s="79" t="inlineStr">
        <is>
          <t>N/A (no business card)</t>
        </is>
      </c>
      <c r="J71" s="60" t="inlineStr">
        <is>
          <t>$0.19B</t>
        </is>
      </c>
      <c r="K71" s="60" t="inlineStr">
        <is>
          <t>$0.15B</t>
        </is>
      </c>
      <c r="L71" s="60" t="inlineStr">
        <is>
          <t>SGV; loans/SBA/merchant</t>
        </is>
      </c>
      <c r="M71" s="60" t="n">
        <v>-63</v>
      </c>
      <c r="N71" s="60" t="inlineStr">
        <is>
          <t>City of Industry</t>
        </is>
      </c>
      <c r="O71" s="60" t="inlineStr">
        <is>
          <t>Los Angeles</t>
        </is>
      </c>
      <c r="P71" s="64" t="inlineStr">
        <is>
          <t>upbnet.com</t>
        </is>
      </c>
      <c r="Q71" s="81" t="inlineStr">
        <is>
          <t>No</t>
        </is>
      </c>
      <c r="R71" s="60" t="inlineStr">
        <is>
          <t>-</t>
        </is>
      </c>
      <c r="S71" s="67" t="inlineStr">
        <is>
          <t>No card</t>
        </is>
      </c>
      <c r="T71" s="60" t="inlineStr">
        <is>
          <t>-</t>
        </is>
      </c>
      <c r="U71" s="67" t="inlineStr">
        <is>
          <t>-</t>
        </is>
      </c>
      <c r="V71" s="79" t="inlineStr">
        <is>
          <t>None (no business card)</t>
        </is>
      </c>
      <c r="W71" s="57" t="inlineStr">
        <is>
          <t>-</t>
        </is>
      </c>
      <c r="X71" s="67" t="inlineStr">
        <is>
          <t>-</t>
        </is>
      </c>
      <c r="Y71" s="60" t="inlineStr">
        <is>
          <t>No business credit card</t>
        </is>
      </c>
      <c r="Z71" s="60" t="inlineStr">
        <is>
          <t>-</t>
        </is>
      </c>
      <c r="AA71" s="60" t="inlineStr">
        <is>
          <t>-</t>
        </is>
      </c>
      <c r="AB71" s="60" t="inlineStr">
        <is>
          <t>-</t>
        </is>
      </c>
      <c r="AC71" s="60" t="inlineStr">
        <is>
          <t>-</t>
        </is>
      </c>
      <c r="AD71" s="60" t="inlineStr">
        <is>
          <t>-</t>
        </is>
      </c>
      <c r="AE71" s="60" t="inlineStr">
        <is>
          <t>-</t>
        </is>
      </c>
      <c r="AF71" s="60" t="inlineStr">
        <is>
          <t>No card product</t>
        </is>
      </c>
      <c r="AG71" s="60" t="inlineStr">
        <is>
          <t>No business credit card. INFERRED.</t>
        </is>
      </c>
      <c r="AH71" s="64" t="inlineStr">
        <is>
          <t>upbnet.com/Business-Loan-Credit.aspx</t>
        </is>
      </c>
    </row>
    <row r="72" ht="15.75" customHeight="1">
      <c r="A72" s="57" t="n">
        <v>71</v>
      </c>
      <c r="B72" s="80" t="inlineStr">
        <is>
          <t>D - No business card</t>
        </is>
      </c>
      <c r="C72" s="79" t="inlineStr">
        <is>
          <t>Bank of Whittier, N.A.</t>
        </is>
      </c>
      <c r="D72" s="60" t="inlineStr">
        <is>
          <t>- no business card</t>
        </is>
      </c>
      <c r="E72" s="69" t="inlineStr">
        <is>
          <t>Bank</t>
        </is>
      </c>
      <c r="F72" s="61" t="inlineStr">
        <is>
          <t>Yes</t>
        </is>
      </c>
      <c r="G72" s="60" t="inlineStr">
        <is>
          <t>SoCal - LA County</t>
        </is>
      </c>
      <c r="H72" s="62" t="inlineStr">
        <is>
          <t>CA-HQ (Southern California)</t>
        </is>
      </c>
      <c r="I72" s="79" t="inlineStr">
        <is>
          <t>N/A (no business card)</t>
        </is>
      </c>
      <c r="J72" s="60" t="inlineStr">
        <is>
          <t>$0.17B</t>
        </is>
      </c>
      <c r="K72" s="60" t="inlineStr">
        <is>
          <t>$0.14B</t>
        </is>
      </c>
      <c r="L72" s="60" t="inlineStr">
        <is>
          <t>Riba-free community bank</t>
        </is>
      </c>
      <c r="M72" s="60" t="n">
        <v>-63</v>
      </c>
      <c r="N72" s="60" t="inlineStr">
        <is>
          <t>Whittier</t>
        </is>
      </c>
      <c r="O72" s="60" t="inlineStr">
        <is>
          <t>Los Angeles</t>
        </is>
      </c>
      <c r="P72" s="64" t="inlineStr">
        <is>
          <t>bankofwhittier.com</t>
        </is>
      </c>
      <c r="Q72" s="81" t="inlineStr">
        <is>
          <t>No</t>
        </is>
      </c>
      <c r="R72" s="60" t="inlineStr">
        <is>
          <t>-</t>
        </is>
      </c>
      <c r="S72" s="67" t="inlineStr">
        <is>
          <t>No card</t>
        </is>
      </c>
      <c r="T72" s="60" t="inlineStr">
        <is>
          <t>-</t>
        </is>
      </c>
      <c r="U72" s="67" t="inlineStr">
        <is>
          <t>-</t>
        </is>
      </c>
      <c r="V72" s="79" t="inlineStr">
        <is>
          <t>None (no business card)</t>
        </is>
      </c>
      <c r="W72" s="57" t="inlineStr">
        <is>
          <t>-</t>
        </is>
      </c>
      <c r="X72" s="67" t="inlineStr">
        <is>
          <t>-</t>
        </is>
      </c>
      <c r="Y72" s="60" t="inlineStr">
        <is>
          <t>No business credit card</t>
        </is>
      </c>
      <c r="Z72" s="60" t="inlineStr">
        <is>
          <t>-</t>
        </is>
      </c>
      <c r="AA72" s="60" t="inlineStr">
        <is>
          <t>-</t>
        </is>
      </c>
      <c r="AB72" s="60" t="inlineStr">
        <is>
          <t>-</t>
        </is>
      </c>
      <c r="AC72" s="60" t="inlineStr">
        <is>
          <t>-</t>
        </is>
      </c>
      <c r="AD72" s="60" t="inlineStr">
        <is>
          <t>-</t>
        </is>
      </c>
      <c r="AE72" s="60" t="inlineStr">
        <is>
          <t>-</t>
        </is>
      </c>
      <c r="AF72" s="60" t="inlineStr">
        <is>
          <t>No card product</t>
        </is>
      </c>
      <c r="AG72" s="60" t="inlineStr">
        <is>
          <t>States 'we do not recommend a credit card'; debit only. VERIFIED.</t>
        </is>
      </c>
      <c r="AH72" s="64" t="inlineStr">
        <is>
          <t>bankofwhittier.com/debit-cards.php</t>
        </is>
      </c>
    </row>
    <row r="73" ht="15.75" customHeight="1">
      <c r="A73" s="57" t="n">
        <v>72</v>
      </c>
      <c r="B73" s="80" t="inlineStr">
        <is>
          <t>D - No business card</t>
        </is>
      </c>
      <c r="C73" s="79" t="inlineStr">
        <is>
          <t>California Business Bank</t>
        </is>
      </c>
      <c r="D73" s="60" t="inlineStr">
        <is>
          <t>- no business card</t>
        </is>
      </c>
      <c r="E73" s="69" t="inlineStr">
        <is>
          <t>Bank</t>
        </is>
      </c>
      <c r="F73" s="61" t="inlineStr">
        <is>
          <t>Yes</t>
        </is>
      </c>
      <c r="G73" s="60" t="inlineStr">
        <is>
          <t>SoCal - Orange County</t>
        </is>
      </c>
      <c r="H73" s="62" t="inlineStr">
        <is>
          <t>CA-HQ (Southern California)</t>
        </is>
      </c>
      <c r="I73" s="79" t="inlineStr">
        <is>
          <t>N/A (no business card)</t>
        </is>
      </c>
      <c r="J73" s="60" t="inlineStr">
        <is>
          <t>$0.13B</t>
        </is>
      </c>
      <c r="K73" s="60" t="inlineStr">
        <is>
          <t>$0.11B</t>
        </is>
      </c>
      <c r="L73" s="60" t="inlineStr">
        <is>
          <t>OC; debit/loans/cash mgmt</t>
        </is>
      </c>
      <c r="M73" s="60" t="n">
        <v>-63</v>
      </c>
      <c r="N73" s="60" t="inlineStr">
        <is>
          <t>Irvine</t>
        </is>
      </c>
      <c r="O73" s="60" t="inlineStr">
        <is>
          <t>Orange</t>
        </is>
      </c>
      <c r="P73" s="64" t="inlineStr">
        <is>
          <t>californiabusinessbank.com</t>
        </is>
      </c>
      <c r="Q73" s="81" t="inlineStr">
        <is>
          <t>No</t>
        </is>
      </c>
      <c r="R73" s="60" t="inlineStr">
        <is>
          <t>-</t>
        </is>
      </c>
      <c r="S73" s="67" t="inlineStr">
        <is>
          <t>No card</t>
        </is>
      </c>
      <c r="T73" s="60" t="inlineStr">
        <is>
          <t>-</t>
        </is>
      </c>
      <c r="U73" s="67" t="inlineStr">
        <is>
          <t>-</t>
        </is>
      </c>
      <c r="V73" s="79" t="inlineStr">
        <is>
          <t>None (no business card)</t>
        </is>
      </c>
      <c r="W73" s="57" t="inlineStr">
        <is>
          <t>-</t>
        </is>
      </c>
      <c r="X73" s="67" t="inlineStr">
        <is>
          <t>-</t>
        </is>
      </c>
      <c r="Y73" s="60" t="inlineStr">
        <is>
          <t>No business credit card</t>
        </is>
      </c>
      <c r="Z73" s="60" t="inlineStr">
        <is>
          <t>-</t>
        </is>
      </c>
      <c r="AA73" s="60" t="inlineStr">
        <is>
          <t>-</t>
        </is>
      </c>
      <c r="AB73" s="60" t="inlineStr">
        <is>
          <t>-</t>
        </is>
      </c>
      <c r="AC73" s="60" t="inlineStr">
        <is>
          <t>-</t>
        </is>
      </c>
      <c r="AD73" s="60" t="inlineStr">
        <is>
          <t>-</t>
        </is>
      </c>
      <c r="AE73" s="60" t="inlineStr">
        <is>
          <t>-</t>
        </is>
      </c>
      <c r="AF73" s="60" t="inlineStr">
        <is>
          <t>No card product</t>
        </is>
      </c>
      <c r="AG73" s="60" t="inlineStr">
        <is>
          <t>Debit only, no credit-card product. INFERRED.</t>
        </is>
      </c>
      <c r="AH73" s="64" t="inlineStr">
        <is>
          <t>californiabusinessbank.com</t>
        </is>
      </c>
    </row>
    <row r="74" ht="15.75" customHeight="1">
      <c r="A74" s="57" t="n">
        <v>73</v>
      </c>
      <c r="B74" s="80" t="inlineStr">
        <is>
          <t>D - No business card</t>
        </is>
      </c>
      <c r="C74" s="79" t="inlineStr">
        <is>
          <t>Legacy Bank</t>
        </is>
      </c>
      <c r="D74" s="60" t="inlineStr">
        <is>
          <t>- no business card</t>
        </is>
      </c>
      <c r="E74" s="69" t="inlineStr">
        <is>
          <t>Bank</t>
        </is>
      </c>
      <c r="F74" s="61" t="inlineStr">
        <is>
          <t>Yes</t>
        </is>
      </c>
      <c r="G74" s="60" t="inlineStr">
        <is>
          <t>SoCal - Inland Empire</t>
        </is>
      </c>
      <c r="H74" s="62" t="inlineStr">
        <is>
          <t>CA-HQ (Southern California)</t>
        </is>
      </c>
      <c r="I74" s="79" t="inlineStr">
        <is>
          <t>N/A (no business card)</t>
        </is>
      </c>
      <c r="J74" s="60" t="inlineStr">
        <is>
          <t>$0.11B</t>
        </is>
      </c>
      <c r="K74" s="60" t="inlineStr">
        <is>
          <t>$0.094B</t>
        </is>
      </c>
      <c r="L74" s="60" t="inlineStr">
        <is>
          <t>Inland Empire (Murrieta); loans/deposits</t>
        </is>
      </c>
      <c r="M74" s="60" t="n">
        <v>-63</v>
      </c>
      <c r="N74" s="60" t="inlineStr">
        <is>
          <t>Murrieta</t>
        </is>
      </c>
      <c r="O74" s="60" t="inlineStr">
        <is>
          <t>Riverside</t>
        </is>
      </c>
      <c r="P74" s="64" t="inlineStr">
        <is>
          <t>legacybankca.com</t>
        </is>
      </c>
      <c r="Q74" s="81" t="inlineStr">
        <is>
          <t>No</t>
        </is>
      </c>
      <c r="R74" s="60" t="inlineStr">
        <is>
          <t>-</t>
        </is>
      </c>
      <c r="S74" s="67" t="inlineStr">
        <is>
          <t>No card</t>
        </is>
      </c>
      <c r="T74" s="60" t="inlineStr">
        <is>
          <t>-</t>
        </is>
      </c>
      <c r="U74" s="67" t="inlineStr">
        <is>
          <t>-</t>
        </is>
      </c>
      <c r="V74" s="79" t="inlineStr">
        <is>
          <t>None (no business card)</t>
        </is>
      </c>
      <c r="W74" s="57" t="inlineStr">
        <is>
          <t>-</t>
        </is>
      </c>
      <c r="X74" s="67" t="inlineStr">
        <is>
          <t>-</t>
        </is>
      </c>
      <c r="Y74" s="60" t="inlineStr">
        <is>
          <t>No business credit card</t>
        </is>
      </c>
      <c r="Z74" s="60" t="inlineStr">
        <is>
          <t>-</t>
        </is>
      </c>
      <c r="AA74" s="60" t="inlineStr">
        <is>
          <t>-</t>
        </is>
      </c>
      <c r="AB74" s="60" t="inlineStr">
        <is>
          <t>-</t>
        </is>
      </c>
      <c r="AC74" s="60" t="inlineStr">
        <is>
          <t>-</t>
        </is>
      </c>
      <c r="AD74" s="60" t="inlineStr">
        <is>
          <t>-</t>
        </is>
      </c>
      <c r="AE74" s="60" t="inlineStr">
        <is>
          <t>-</t>
        </is>
      </c>
      <c r="AF74" s="60" t="inlineStr">
        <is>
          <t>No card product</t>
        </is>
      </c>
      <c r="AG74" s="60" t="inlineStr">
        <is>
          <t>No card in site nav. INFERRED.</t>
        </is>
      </c>
      <c r="AH74" s="64" t="inlineStr">
        <is>
          <t>legacybankca.com</t>
        </is>
      </c>
    </row>
    <row r="75" ht="15.75" customHeight="1">
      <c r="A75" s="57" t="n">
        <v>74</v>
      </c>
      <c r="B75" s="80" t="inlineStr">
        <is>
          <t>D - No business card</t>
        </is>
      </c>
      <c r="C75" s="79" t="inlineStr">
        <is>
          <t>Mission Federal Credit Union</t>
        </is>
      </c>
      <c r="D75" s="60" t="inlineStr">
        <is>
          <t>- no business card</t>
        </is>
      </c>
      <c r="E75" s="61" t="inlineStr">
        <is>
          <t>Credit Union</t>
        </is>
      </c>
      <c r="F75" s="61" t="inlineStr">
        <is>
          <t>Yes</t>
        </is>
      </c>
      <c r="G75" s="60" t="inlineStr">
        <is>
          <t>SoCal - San Diego</t>
        </is>
      </c>
      <c r="H75" s="62" t="inlineStr">
        <is>
          <t>CA-HQ (Southern California)</t>
        </is>
      </c>
      <c r="I75" s="79" t="inlineStr">
        <is>
          <t>N/A (no business card)</t>
        </is>
      </c>
      <c r="J75" s="60" t="inlineStr">
        <is>
          <t>~$6.98B</t>
        </is>
      </c>
      <c r="K75" s="60" t="inlineStr">
        <is>
          <t>~$6B (shares)</t>
        </is>
      </c>
      <c r="L75" s="60" t="inlineStr">
        <is>
          <t>San Diego CU; consumer cards only</t>
        </is>
      </c>
      <c r="M75" s="60" t="n">
        <v>-70</v>
      </c>
      <c r="N75" s="60" t="inlineStr">
        <is>
          <t>San Diego</t>
        </is>
      </c>
      <c r="O75" s="60" t="inlineStr">
        <is>
          <t>San Diego</t>
        </is>
      </c>
      <c r="P75" s="64" t="inlineStr">
        <is>
          <t>missionfed.com</t>
        </is>
      </c>
      <c r="Q75" s="81" t="inlineStr">
        <is>
          <t>No</t>
        </is>
      </c>
      <c r="R75" s="60" t="inlineStr">
        <is>
          <t>-</t>
        </is>
      </c>
      <c r="S75" s="67" t="inlineStr">
        <is>
          <t>No card</t>
        </is>
      </c>
      <c r="T75" s="60" t="inlineStr">
        <is>
          <t>-</t>
        </is>
      </c>
      <c r="U75" s="67" t="inlineStr">
        <is>
          <t>-</t>
        </is>
      </c>
      <c r="V75" s="79" t="inlineStr">
        <is>
          <t>None (no business card)</t>
        </is>
      </c>
      <c r="W75" s="57" t="inlineStr">
        <is>
          <t>-</t>
        </is>
      </c>
      <c r="X75" s="67" t="inlineStr">
        <is>
          <t>-</t>
        </is>
      </c>
      <c r="Y75" s="60" t="inlineStr">
        <is>
          <t>No business credit card</t>
        </is>
      </c>
      <c r="Z75" s="60" t="inlineStr">
        <is>
          <t>-</t>
        </is>
      </c>
      <c r="AA75" s="60" t="inlineStr">
        <is>
          <t>-</t>
        </is>
      </c>
      <c r="AB75" s="60" t="inlineStr">
        <is>
          <t>-</t>
        </is>
      </c>
      <c r="AC75" s="60" t="inlineStr">
        <is>
          <t>-</t>
        </is>
      </c>
      <c r="AD75" s="60" t="inlineStr">
        <is>
          <t>-</t>
        </is>
      </c>
      <c r="AE75" s="60" t="inlineStr">
        <is>
          <t>-</t>
        </is>
      </c>
      <c r="AF75" s="60" t="inlineStr">
        <is>
          <t>No card product</t>
        </is>
      </c>
      <c r="AG75" s="60" t="inlineStr">
        <is>
          <t>No business card (3 consumer MCs); has biz checking. VERIFIED.</t>
        </is>
      </c>
      <c r="AH75" s="64" t="inlineStr">
        <is>
          <t>missionfed.com/credit-card-benefits/</t>
        </is>
      </c>
    </row>
    <row r="76" ht="15.75" customHeight="1">
      <c r="A76" s="57" t="n">
        <v>75</v>
      </c>
      <c r="B76" s="80" t="inlineStr">
        <is>
          <t>D - No business card</t>
        </is>
      </c>
      <c r="C76" s="79" t="inlineStr">
        <is>
          <t>Frontwave Credit Union</t>
        </is>
      </c>
      <c r="D76" s="60" t="inlineStr">
        <is>
          <t>- no business card</t>
        </is>
      </c>
      <c r="E76" s="61" t="inlineStr">
        <is>
          <t>Credit Union</t>
        </is>
      </c>
      <c r="F76" s="61" t="inlineStr">
        <is>
          <t>Yes</t>
        </is>
      </c>
      <c r="G76" s="60" t="inlineStr">
        <is>
          <t>SoCal - San Diego</t>
        </is>
      </c>
      <c r="H76" s="62" t="inlineStr">
        <is>
          <t>CA-HQ (Southern California)</t>
        </is>
      </c>
      <c r="I76" s="79" t="inlineStr">
        <is>
          <t>N/A (no business card)</t>
        </is>
      </c>
      <c r="J76" s="60" t="inlineStr">
        <is>
          <t>~$1.52B</t>
        </is>
      </c>
      <c r="K76" s="60" t="inlineStr">
        <is>
          <t>~$1.3B (shares)</t>
        </is>
      </c>
      <c r="L76" s="60" t="inlineStr">
        <is>
          <t>SD/Riverside/SB/Imperial CU</t>
        </is>
      </c>
      <c r="M76" s="60" t="n">
        <v>-72</v>
      </c>
      <c r="N76" s="60" t="inlineStr">
        <is>
          <t>Oceanside</t>
        </is>
      </c>
      <c r="O76" s="60" t="inlineStr">
        <is>
          <t>San Diego</t>
        </is>
      </c>
      <c r="P76" s="64" t="inlineStr">
        <is>
          <t>frontwavecu.com</t>
        </is>
      </c>
      <c r="Q76" s="81" t="inlineStr">
        <is>
          <t>No</t>
        </is>
      </c>
      <c r="R76" s="60" t="inlineStr">
        <is>
          <t>-</t>
        </is>
      </c>
      <c r="S76" s="67" t="inlineStr">
        <is>
          <t>No card</t>
        </is>
      </c>
      <c r="T76" s="60" t="inlineStr">
        <is>
          <t>-</t>
        </is>
      </c>
      <c r="U76" s="67" t="inlineStr">
        <is>
          <t>-</t>
        </is>
      </c>
      <c r="V76" s="79" t="inlineStr">
        <is>
          <t>None (no business card)</t>
        </is>
      </c>
      <c r="W76" s="57" t="inlineStr">
        <is>
          <t>-</t>
        </is>
      </c>
      <c r="X76" s="67" t="inlineStr">
        <is>
          <t>-</t>
        </is>
      </c>
      <c r="Y76" s="60" t="inlineStr">
        <is>
          <t>No business credit card</t>
        </is>
      </c>
      <c r="Z76" s="60" t="inlineStr">
        <is>
          <t>-</t>
        </is>
      </c>
      <c r="AA76" s="60" t="inlineStr">
        <is>
          <t>-</t>
        </is>
      </c>
      <c r="AB76" s="60" t="inlineStr">
        <is>
          <t>-</t>
        </is>
      </c>
      <c r="AC76" s="60" t="inlineStr">
        <is>
          <t>-</t>
        </is>
      </c>
      <c r="AD76" s="60" t="inlineStr">
        <is>
          <t>-</t>
        </is>
      </c>
      <c r="AE76" s="60" t="inlineStr">
        <is>
          <t>-</t>
        </is>
      </c>
      <c r="AF76" s="60" t="inlineStr">
        <is>
          <t>No card product</t>
        </is>
      </c>
      <c r="AG76" s="60" t="inlineStr">
        <is>
          <t>No business card (biz checking/loans; consumer Visa only). VERIFIED.</t>
        </is>
      </c>
      <c r="AH76" s="64" t="inlineStr">
        <is>
          <t>frontwavecu.com/Personal/Borrow/Credit-Cards</t>
        </is>
      </c>
    </row>
    <row r="77" ht="15.75" customHeight="1">
      <c r="A77" s="57" t="n">
        <v>76</v>
      </c>
      <c r="B77" s="80" t="inlineStr">
        <is>
          <t>D - No business card</t>
        </is>
      </c>
      <c r="C77" s="79" t="inlineStr">
        <is>
          <t>BluPeak Credit Union (ex-USE)</t>
        </is>
      </c>
      <c r="D77" s="60" t="inlineStr">
        <is>
          <t>- no business card</t>
        </is>
      </c>
      <c r="E77" s="61" t="inlineStr">
        <is>
          <t>Credit Union</t>
        </is>
      </c>
      <c r="F77" s="61" t="inlineStr">
        <is>
          <t>Yes</t>
        </is>
      </c>
      <c r="G77" s="60" t="inlineStr">
        <is>
          <t>SoCal - San Diego</t>
        </is>
      </c>
      <c r="H77" s="62" t="inlineStr">
        <is>
          <t>CA-HQ (Southern California)</t>
        </is>
      </c>
      <c r="I77" s="79" t="inlineStr">
        <is>
          <t>N/A (no business card)</t>
        </is>
      </c>
      <c r="J77" s="60" t="inlineStr">
        <is>
          <t>~$1.14B</t>
        </is>
      </c>
      <c r="K77" s="60" t="inlineStr">
        <is>
          <t>~$1B (shares)</t>
        </is>
      </c>
      <c r="L77" s="60" t="inlineStr">
        <is>
          <t>SD CU (rebranded from USE 2022)</t>
        </is>
      </c>
      <c r="M77" s="60" t="n">
        <v>-72</v>
      </c>
      <c r="N77" s="60" t="inlineStr">
        <is>
          <t>San Diego</t>
        </is>
      </c>
      <c r="O77" s="60" t="inlineStr">
        <is>
          <t>San Diego</t>
        </is>
      </c>
      <c r="P77" s="64" t="inlineStr">
        <is>
          <t>blupeak.com</t>
        </is>
      </c>
      <c r="Q77" s="81" t="inlineStr">
        <is>
          <t>No</t>
        </is>
      </c>
      <c r="R77" s="60" t="inlineStr">
        <is>
          <t>-</t>
        </is>
      </c>
      <c r="S77" s="67" t="inlineStr">
        <is>
          <t>No card</t>
        </is>
      </c>
      <c r="T77" s="60" t="inlineStr">
        <is>
          <t>-</t>
        </is>
      </c>
      <c r="U77" s="67" t="inlineStr">
        <is>
          <t>-</t>
        </is>
      </c>
      <c r="V77" s="79" t="inlineStr">
        <is>
          <t>None (no business card)</t>
        </is>
      </c>
      <c r="W77" s="57" t="inlineStr">
        <is>
          <t>-</t>
        </is>
      </c>
      <c r="X77" s="67" t="inlineStr">
        <is>
          <t>-</t>
        </is>
      </c>
      <c r="Y77" s="60" t="inlineStr">
        <is>
          <t>No business credit card</t>
        </is>
      </c>
      <c r="Z77" s="60" t="inlineStr">
        <is>
          <t>-</t>
        </is>
      </c>
      <c r="AA77" s="60" t="inlineStr">
        <is>
          <t>-</t>
        </is>
      </c>
      <c r="AB77" s="60" t="inlineStr">
        <is>
          <t>-</t>
        </is>
      </c>
      <c r="AC77" s="60" t="inlineStr">
        <is>
          <t>-</t>
        </is>
      </c>
      <c r="AD77" s="60" t="inlineStr">
        <is>
          <t>-</t>
        </is>
      </c>
      <c r="AE77" s="60" t="inlineStr">
        <is>
          <t>-</t>
        </is>
      </c>
      <c r="AF77" s="60" t="inlineStr">
        <is>
          <t>No card product</t>
        </is>
      </c>
      <c r="AG77" s="60" t="inlineStr">
        <is>
          <t>No distinct business card advertised (biz accounts in-branch). INFERRED.</t>
        </is>
      </c>
      <c r="AH77" s="64" t="inlineStr">
        <is>
          <t>blupeak.com/.../checking-savings-credit-cards/</t>
        </is>
      </c>
    </row>
    <row r="78" ht="15.75" customHeight="1">
      <c r="A78" s="57" t="n">
        <v>77</v>
      </c>
      <c r="B78" s="80" t="inlineStr">
        <is>
          <t>D - No business card</t>
        </is>
      </c>
      <c r="C78" s="79" t="inlineStr">
        <is>
          <t>C3bank, N.A.</t>
        </is>
      </c>
      <c r="D78" s="60" t="inlineStr">
        <is>
          <t>- no business card</t>
        </is>
      </c>
      <c r="E78" s="69" t="inlineStr">
        <is>
          <t>Bank</t>
        </is>
      </c>
      <c r="F78" s="61" t="inlineStr">
        <is>
          <t>Yes</t>
        </is>
      </c>
      <c r="G78" s="60" t="inlineStr">
        <is>
          <t>SoCal - San Diego</t>
        </is>
      </c>
      <c r="H78" s="62" t="inlineStr">
        <is>
          <t>CA-HQ (Southern California)</t>
        </is>
      </c>
      <c r="I78" s="79" t="inlineStr">
        <is>
          <t>N/A (no business card)</t>
        </is>
      </c>
      <c r="J78" s="60" t="inlineStr">
        <is>
          <t>$0.93B</t>
        </is>
      </c>
      <c r="K78" s="60" t="inlineStr">
        <is>
          <t>$0.83B</t>
        </is>
      </c>
      <c r="L78" s="60" t="inlineStr">
        <is>
          <t>North County SD; FNB So.Cal/Sunwest lineage</t>
        </is>
      </c>
      <c r="M78" s="60" t="n">
        <v>-74</v>
      </c>
      <c r="N78" s="60" t="inlineStr">
        <is>
          <t>Encinitas</t>
        </is>
      </c>
      <c r="O78" s="60" t="inlineStr">
        <is>
          <t>San Diego</t>
        </is>
      </c>
      <c r="P78" s="64" t="inlineStr">
        <is>
          <t>c3bank.com</t>
        </is>
      </c>
      <c r="Q78" s="81" t="inlineStr">
        <is>
          <t>No</t>
        </is>
      </c>
      <c r="R78" s="60" t="inlineStr">
        <is>
          <t>-</t>
        </is>
      </c>
      <c r="S78" s="67" t="inlineStr">
        <is>
          <t>No card</t>
        </is>
      </c>
      <c r="T78" s="60" t="inlineStr">
        <is>
          <t>-</t>
        </is>
      </c>
      <c r="U78" s="67" t="inlineStr">
        <is>
          <t>-</t>
        </is>
      </c>
      <c r="V78" s="79" t="inlineStr">
        <is>
          <t>None (no business card)</t>
        </is>
      </c>
      <c r="W78" s="57" t="inlineStr">
        <is>
          <t>-</t>
        </is>
      </c>
      <c r="X78" s="67" t="inlineStr">
        <is>
          <t>-</t>
        </is>
      </c>
      <c r="Y78" s="60" t="inlineStr">
        <is>
          <t>No business credit card</t>
        </is>
      </c>
      <c r="Z78" s="60" t="inlineStr">
        <is>
          <t>-</t>
        </is>
      </c>
      <c r="AA78" s="60" t="inlineStr">
        <is>
          <t>-</t>
        </is>
      </c>
      <c r="AB78" s="60" t="inlineStr">
        <is>
          <t>-</t>
        </is>
      </c>
      <c r="AC78" s="60" t="inlineStr">
        <is>
          <t>-</t>
        </is>
      </c>
      <c r="AD78" s="60" t="inlineStr">
        <is>
          <t>-</t>
        </is>
      </c>
      <c r="AE78" s="60" t="inlineStr">
        <is>
          <t>-</t>
        </is>
      </c>
      <c r="AF78" s="60" t="inlineStr">
        <is>
          <t>No card product</t>
        </is>
      </c>
      <c r="AG78" s="60" t="inlineStr">
        <is>
          <t>Visa debit only, no credit card. VERIFIED.</t>
        </is>
      </c>
      <c r="AH78" s="64" t="inlineStr">
        <is>
          <t>c3bank.com/services.aspx</t>
        </is>
      </c>
    </row>
    <row r="79" ht="15.75" customHeight="1">
      <c r="A79" s="57" t="n">
        <v>78</v>
      </c>
      <c r="B79" s="80" t="inlineStr">
        <is>
          <t>D - No business card</t>
        </is>
      </c>
      <c r="C79" s="79" t="inlineStr">
        <is>
          <t>Neighborhood National Bank</t>
        </is>
      </c>
      <c r="D79" s="60" t="inlineStr">
        <is>
          <t>- no business card</t>
        </is>
      </c>
      <c r="E79" s="69" t="inlineStr">
        <is>
          <t>Bank</t>
        </is>
      </c>
      <c r="F79" s="61" t="inlineStr">
        <is>
          <t>Yes</t>
        </is>
      </c>
      <c r="G79" s="60" t="inlineStr">
        <is>
          <t>SoCal - San Diego</t>
        </is>
      </c>
      <c r="H79" s="62" t="inlineStr">
        <is>
          <t>CA-HQ (Southern California)</t>
        </is>
      </c>
      <c r="I79" s="79" t="inlineStr">
        <is>
          <t>N/A (no business card)</t>
        </is>
      </c>
      <c r="J79" s="60" t="inlineStr">
        <is>
          <t>$0.21B</t>
        </is>
      </c>
      <c r="K79" s="60" t="inlineStr">
        <is>
          <t>$0.17B</t>
        </is>
      </c>
      <c r="L79" s="60" t="inlineStr">
        <is>
          <t>San Diego community bank</t>
        </is>
      </c>
      <c r="M79" s="60" t="n">
        <v>-74</v>
      </c>
      <c r="N79" s="60" t="inlineStr">
        <is>
          <t>El Cajon (HQ National City)</t>
        </is>
      </c>
      <c r="O79" s="60" t="inlineStr">
        <is>
          <t>San Diego</t>
        </is>
      </c>
      <c r="P79" s="64" t="inlineStr">
        <is>
          <t>mynnb.com</t>
        </is>
      </c>
      <c r="Q79" s="81" t="inlineStr">
        <is>
          <t>No</t>
        </is>
      </c>
      <c r="R79" s="60" t="inlineStr">
        <is>
          <t>-</t>
        </is>
      </c>
      <c r="S79" s="67" t="inlineStr">
        <is>
          <t>No card</t>
        </is>
      </c>
      <c r="T79" s="60" t="inlineStr">
        <is>
          <t>-</t>
        </is>
      </c>
      <c r="U79" s="67" t="inlineStr">
        <is>
          <t>-</t>
        </is>
      </c>
      <c r="V79" s="79" t="inlineStr">
        <is>
          <t>None (no business card)</t>
        </is>
      </c>
      <c r="W79" s="57" t="inlineStr">
        <is>
          <t>-</t>
        </is>
      </c>
      <c r="X79" s="67" t="inlineStr">
        <is>
          <t>-</t>
        </is>
      </c>
      <c r="Y79" s="60" t="inlineStr">
        <is>
          <t>No business credit card</t>
        </is>
      </c>
      <c r="Z79" s="60" t="inlineStr">
        <is>
          <t>-</t>
        </is>
      </c>
      <c r="AA79" s="60" t="inlineStr">
        <is>
          <t>-</t>
        </is>
      </c>
      <c r="AB79" s="60" t="inlineStr">
        <is>
          <t>-</t>
        </is>
      </c>
      <c r="AC79" s="60" t="inlineStr">
        <is>
          <t>-</t>
        </is>
      </c>
      <c r="AD79" s="60" t="inlineStr">
        <is>
          <t>-</t>
        </is>
      </c>
      <c r="AE79" s="60" t="inlineStr">
        <is>
          <t>-</t>
        </is>
      </c>
      <c r="AF79" s="60" t="inlineStr">
        <is>
          <t>No card product</t>
        </is>
      </c>
      <c r="AG79" s="60" t="inlineStr">
        <is>
          <t>No credit card (checking/savings/loans/merchant). VERIFIED.</t>
        </is>
      </c>
      <c r="AH79" s="64" t="inlineStr">
        <is>
          <t>mynnb.com</t>
        </is>
      </c>
    </row>
    <row r="80" ht="15.75" customHeight="1">
      <c r="A80" s="57" t="n">
        <v>79</v>
      </c>
      <c r="B80" s="80" t="inlineStr">
        <is>
          <t>D - No business card</t>
        </is>
      </c>
      <c r="C80" s="79" t="inlineStr">
        <is>
          <t>Hatch Bank</t>
        </is>
      </c>
      <c r="D80" s="60" t="inlineStr">
        <is>
          <t>- no business card</t>
        </is>
      </c>
      <c r="E80" s="69" t="inlineStr">
        <is>
          <t>Bank</t>
        </is>
      </c>
      <c r="F80" s="61" t="inlineStr">
        <is>
          <t>Yes</t>
        </is>
      </c>
      <c r="G80" s="60" t="inlineStr">
        <is>
          <t>SoCal - San Diego</t>
        </is>
      </c>
      <c r="H80" s="62" t="inlineStr">
        <is>
          <t>CA-HQ (Southern California)</t>
        </is>
      </c>
      <c r="I80" s="79" t="inlineStr">
        <is>
          <t>N/A (no business card)</t>
        </is>
      </c>
      <c r="J80" s="60" t="inlineStr">
        <is>
          <t>$0.16B</t>
        </is>
      </c>
      <c r="K80" s="60" t="inlineStr">
        <is>
          <t>$0.054B</t>
        </is>
      </c>
      <c r="L80" s="60" t="inlineStr">
        <is>
          <t>BaaS sponsor bank (fintech partners)</t>
        </is>
      </c>
      <c r="M80" s="60" t="n">
        <v>-74</v>
      </c>
      <c r="N80" s="60" t="inlineStr">
        <is>
          <t>San Marcos</t>
        </is>
      </c>
      <c r="O80" s="60" t="inlineStr">
        <is>
          <t>San Diego</t>
        </is>
      </c>
      <c r="P80" s="64" t="inlineStr">
        <is>
          <t>hatchbank.com</t>
        </is>
      </c>
      <c r="Q80" s="81" t="inlineStr">
        <is>
          <t>No</t>
        </is>
      </c>
      <c r="R80" s="60" t="inlineStr">
        <is>
          <t>-</t>
        </is>
      </c>
      <c r="S80" s="67" t="inlineStr">
        <is>
          <t>No card</t>
        </is>
      </c>
      <c r="T80" s="60" t="inlineStr">
        <is>
          <t>-</t>
        </is>
      </c>
      <c r="U80" s="67" t="inlineStr">
        <is>
          <t>-</t>
        </is>
      </c>
      <c r="V80" s="79" t="inlineStr">
        <is>
          <t>None (no business card)</t>
        </is>
      </c>
      <c r="W80" s="57" t="inlineStr">
        <is>
          <t>-</t>
        </is>
      </c>
      <c r="X80" s="67" t="inlineStr">
        <is>
          <t>-</t>
        </is>
      </c>
      <c r="Y80" s="60" t="inlineStr">
        <is>
          <t>No business credit card</t>
        </is>
      </c>
      <c r="Z80" s="60" t="inlineStr">
        <is>
          <t>-</t>
        </is>
      </c>
      <c r="AA80" s="60" t="inlineStr">
        <is>
          <t>-</t>
        </is>
      </c>
      <c r="AB80" s="60" t="inlineStr">
        <is>
          <t>-</t>
        </is>
      </c>
      <c r="AC80" s="60" t="inlineStr">
        <is>
          <t>-</t>
        </is>
      </c>
      <c r="AD80" s="60" t="inlineStr">
        <is>
          <t>-</t>
        </is>
      </c>
      <c r="AE80" s="60" t="inlineStr">
        <is>
          <t>-</t>
        </is>
      </c>
      <c r="AF80" s="60" t="inlineStr">
        <is>
          <t>No card product</t>
        </is>
      </c>
      <c r="AG80" s="60" t="inlineStr">
        <is>
          <t>BaaS sponsor; no direct/self-branded business card. VERIFIED.</t>
        </is>
      </c>
      <c r="AH80" s="64" t="inlineStr">
        <is>
          <t>hatchbank.com/solutions</t>
        </is>
      </c>
    </row>
    <row r="81" ht="15.75" customHeight="1">
      <c r="A81" s="57" t="n"/>
      <c r="B81" s="58" t="inlineStr">
        <is>
          <t>A - Self-issued, apply online</t>
        </is>
      </c>
      <c r="C81" s="59" t="inlineStr">
        <is>
          <t>Chase (Ink Business)</t>
        </is>
      </c>
      <c r="D81" s="60" t="inlineStr">
        <is>
          <t>3/4 (missing: SoCal)</t>
        </is>
      </c>
      <c r="E81" s="69" t="inlineStr">
        <is>
          <t>Bank</t>
        </is>
      </c>
      <c r="F81" s="67" t="inlineStr">
        <is>
          <t>No</t>
        </is>
      </c>
      <c r="G81" s="60" t="inlineStr">
        <is>
          <t>Out-of-state (national)</t>
        </is>
      </c>
      <c r="H81" s="62" t="inlineStr">
        <is>
          <t>Has CA branches statewide; apply online (CA-accessible)</t>
        </is>
      </c>
      <c r="I81" s="63" t="inlineStr">
        <is>
          <t>$3k-$50k (myFICO: thin-file ~$4k to ~$36k; auto-CLI to ~$90k)</t>
        </is>
      </c>
      <c r="J81" s="60" t="inlineStr">
        <is>
          <t>~$3.9T</t>
        </is>
      </c>
      <c r="K81" s="60" t="inlineStr">
        <is>
          <t>~$2.4T</t>
        </is>
      </c>
      <c r="L81" s="60" t="inlineStr">
        <is>
          <t>National; largest U.S. bank</t>
        </is>
      </c>
      <c r="M81" s="60" t="n">
        <v>166</v>
      </c>
      <c r="N81" s="60" t="inlineStr">
        <is>
          <t>New York</t>
        </is>
      </c>
      <c r="O81" s="60" t="inlineStr">
        <is>
          <t>New York (NY)</t>
        </is>
      </c>
      <c r="P81" s="64" t="inlineStr">
        <is>
          <t>chase.com</t>
        </is>
      </c>
      <c r="Q81" s="65" t="inlineStr">
        <is>
          <t>Yes</t>
        </is>
      </c>
      <c r="R81" s="64" t="inlineStr">
        <is>
          <t>creditcards.chase.com/business-credit-cards</t>
        </is>
      </c>
      <c r="S81" s="65" t="inlineStr">
        <is>
          <t>Online</t>
        </is>
      </c>
      <c r="T81" s="60" t="inlineStr">
        <is>
          <t>creditcards.chase.com/business-credit-cards</t>
        </is>
      </c>
      <c r="U81" s="65" t="inlineStr">
        <is>
          <t>Yes</t>
        </is>
      </c>
      <c r="V81" s="62" t="inlineStr">
        <is>
          <t>Self-issued (JPMorgan Chase Bank, N.A.)</t>
        </is>
      </c>
      <c r="W81" s="57" t="inlineStr">
        <is>
          <t>Yes (revolving)</t>
        </is>
      </c>
      <c r="X81" s="66" t="inlineStr">
        <is>
          <t>Yes - 12 mo (Ink Unlimited/Cash)</t>
        </is>
      </c>
      <c r="Y81" s="60" t="inlineStr">
        <is>
          <t>Ink Unlimited/Cash: 0% 12mo, ~16.74-24.74% var, $0 AF, $750 bonus. Ink Preferred $95 (3x cats)</t>
        </is>
      </c>
      <c r="Z81" s="60" t="inlineStr">
        <is>
          <t>Experian most common (state-dependent)</t>
        </is>
      </c>
      <c r="AA81" s="60" t="inlineStr">
        <is>
          <t>D&amp;B, Experian Biz, Equifax Biz, SBFE</t>
        </is>
      </c>
      <c r="AB81" s="60" t="inlineStr">
        <is>
          <t>No (negative/default only)</t>
        </is>
      </c>
      <c r="AC81" s="60" t="inlineStr">
        <is>
          <t>SLs ~$3k-$50k; ~$36k at $500k rev/$200k income; thin-file ~$4k; auto-CLI to ~$90k over time</t>
        </is>
      </c>
      <c r="AD81" s="64" t="inlineStr">
        <is>
          <t>myFICO 6823313, 6589293; DoC</t>
        </is>
      </c>
      <c r="AE81" s="60" t="inlineStr">
        <is>
          <t>No</t>
        </is>
      </c>
      <c r="AF81" s="60" t="inlineStr">
        <is>
          <t>No - SBA/LOC/term underwritten</t>
        </is>
      </c>
      <c r="AG81" s="60" t="inlineStr">
        <is>
          <t>SELF-ISSUED VERIFIED. KEY RULE: 5/24 (denied if 5+ personal cards/24mo). Richest forum data.</t>
        </is>
      </c>
      <c r="AH81" s="64" t="inlineStr">
        <is>
          <t>creditcards.chase.com/business-credit-cards; thepointsguy.com 5/24</t>
        </is>
      </c>
    </row>
    <row r="82" ht="15.75" customHeight="1">
      <c r="A82" s="57" t="n"/>
      <c r="B82" s="58" t="inlineStr">
        <is>
          <t>A - Self-issued, apply online</t>
        </is>
      </c>
      <c r="C82" s="59" t="inlineStr">
        <is>
          <t>U.S. Bank</t>
        </is>
      </c>
      <c r="D82" s="60" t="inlineStr">
        <is>
          <t>3/4 (missing: SoCal)</t>
        </is>
      </c>
      <c r="E82" s="69" t="inlineStr">
        <is>
          <t>Bank</t>
        </is>
      </c>
      <c r="F82" s="67" t="inlineStr">
        <is>
          <t>No</t>
        </is>
      </c>
      <c r="G82" s="60" t="inlineStr">
        <is>
          <t>Out-of-state (national)</t>
        </is>
      </c>
      <c r="H82" s="62" t="inlineStr">
        <is>
          <t>Has CA branches statewide; apply online (CA-accessible)</t>
        </is>
      </c>
      <c r="I82" s="63" t="inlineStr">
        <is>
          <t>$10k-$30k (myFICO datapoints)</t>
        </is>
      </c>
      <c r="J82" s="60" t="inlineStr">
        <is>
          <t>~$680B</t>
        </is>
      </c>
      <c r="K82" s="60" t="inlineStr">
        <is>
          <t>~$510B</t>
        </is>
      </c>
      <c r="L82" s="60" t="inlineStr">
        <is>
          <t>National; ~2,000 branches; large CA presence</t>
        </is>
      </c>
      <c r="M82" s="60" t="n">
        <v>166</v>
      </c>
      <c r="N82" s="60" t="inlineStr">
        <is>
          <t>Minneapolis</t>
        </is>
      </c>
      <c r="O82" s="60" t="inlineStr">
        <is>
          <t>Hennepin (MN)</t>
        </is>
      </c>
      <c r="P82" s="64" t="inlineStr">
        <is>
          <t>usbank.com</t>
        </is>
      </c>
      <c r="Q82" s="65" t="inlineStr">
        <is>
          <t>Yes</t>
        </is>
      </c>
      <c r="R82" s="64" t="inlineStr">
        <is>
          <t>usbank.com/business-banking/business-credit-cards</t>
        </is>
      </c>
      <c r="S82" s="65" t="inlineStr">
        <is>
          <t>Online</t>
        </is>
      </c>
      <c r="T82" s="60" t="inlineStr">
        <is>
          <t>creditcardapply.usbank.com/.../business-triplecash-rewards</t>
        </is>
      </c>
      <c r="U82" s="65" t="inlineStr">
        <is>
          <t>Yes</t>
        </is>
      </c>
      <c r="V82" s="62" t="inlineStr">
        <is>
          <t>Self-issued (U.S. Bank N.A., own-brand)</t>
        </is>
      </c>
      <c r="W82" s="57" t="inlineStr">
        <is>
          <t>Yes (revolving)</t>
        </is>
      </c>
      <c r="X82" s="66" t="inlineStr">
        <is>
          <t>Yes - 15 billing cycles (Triple Cash)</t>
        </is>
      </c>
      <c r="Y82" s="60" t="inlineStr">
        <is>
          <t>Business Triple Cash: 0% 15 cycles, ~17.24-26.24% var, $0 AF, 3% cats, $750 bonus. Business Leverage $95 (wvd yr1)</t>
        </is>
      </c>
      <c r="Z82" s="60" t="inlineStr">
        <is>
          <t>TransUnion most common (state-dependent)</t>
        </is>
      </c>
      <c r="AA82" s="60" t="inlineStr">
        <is>
          <t>D&amp;B + SBFE (VERIFIED, U.S. Bank KB)</t>
        </is>
      </c>
      <c r="AB82" s="60" t="inlineStr">
        <is>
          <t>No (good standing)</t>
        </is>
      </c>
      <c r="AC82" s="60" t="inlineStr">
        <is>
          <t>Triple Cash: ~$10k-$30k start; no 5/24; soft CLIs. $25k at ~750 FICO datapoint</t>
        </is>
      </c>
      <c r="AD82" s="64" t="inlineStr">
        <is>
          <t>myFICO 6845780, 6792967, 6524750</t>
        </is>
      </c>
      <c r="AE82" s="60" t="inlineStr">
        <is>
          <t>No</t>
        </is>
      </c>
      <c r="AF82" s="60" t="inlineStr">
        <is>
          <t>No - SBA/LOC/term underwritten</t>
        </is>
      </c>
      <c r="AG82" s="60" t="inlineStr">
        <is>
          <t>SELF-ISSUED VERIFIED (own-brand; 'creditor is U.S. Bank N.A.'). Note: U.S. Bank OWNS Elan but own-brand is self.</t>
        </is>
      </c>
      <c r="AH82" s="64" t="inlineStr">
        <is>
          <t>usbank.com/.../business-triple-cash; usbank.com KB0096233 (biz bureaus)</t>
        </is>
      </c>
    </row>
    <row r="83" ht="15.75" customHeight="1">
      <c r="A83" s="57" t="n"/>
      <c r="B83" s="58" t="inlineStr">
        <is>
          <t>A - Self-issued, apply online</t>
        </is>
      </c>
      <c r="C83" s="59" t="inlineStr">
        <is>
          <t>Capital One (Spark/Venture Business)</t>
        </is>
      </c>
      <c r="D83" s="60" t="inlineStr">
        <is>
          <t>3/4 (missing: SoCal)</t>
        </is>
      </c>
      <c r="E83" s="69" t="inlineStr">
        <is>
          <t>Bank</t>
        </is>
      </c>
      <c r="F83" s="67" t="inlineStr">
        <is>
          <t>No</t>
        </is>
      </c>
      <c r="G83" s="60" t="inlineStr">
        <is>
          <t>Out-of-state (national)</t>
        </is>
      </c>
      <c r="H83" s="62" t="inlineStr">
        <is>
          <t>Online nationwide - no branch needed (CA-accessible)</t>
        </is>
      </c>
      <c r="I83" s="63" t="inlineStr">
        <is>
          <t>Cash Plus: no preset limit; Cash Select ~$5k+ (myFICO)</t>
        </is>
      </c>
      <c r="J83" s="60" t="inlineStr">
        <is>
          <t>~$480B</t>
        </is>
      </c>
      <c r="K83" s="60" t="inlineStr">
        <is>
          <t>~$360B</t>
        </is>
      </c>
      <c r="L83" s="60" t="inlineStr">
        <is>
          <t>National; bank HQ Richmond VA</t>
        </is>
      </c>
      <c r="M83" s="60" t="n">
        <v>166</v>
      </c>
      <c r="N83" s="60" t="inlineStr">
        <is>
          <t>McLean</t>
        </is>
      </c>
      <c r="O83" s="60" t="inlineStr">
        <is>
          <t>Fairfax (VA)</t>
        </is>
      </c>
      <c r="P83" s="64" t="inlineStr">
        <is>
          <t>capitalone.com</t>
        </is>
      </c>
      <c r="Q83" s="65" t="inlineStr">
        <is>
          <t>Yes</t>
        </is>
      </c>
      <c r="R83" s="64" t="inlineStr">
        <is>
          <t>capitalone.com/small-business/credit-cards/</t>
        </is>
      </c>
      <c r="S83" s="65" t="inlineStr">
        <is>
          <t>Online</t>
        </is>
      </c>
      <c r="T83" s="60" t="inlineStr">
        <is>
          <t>capitalone.com/.../preapprove (soft pre-qual)</t>
        </is>
      </c>
      <c r="U83" s="65" t="inlineStr">
        <is>
          <t>Yes</t>
        </is>
      </c>
      <c r="V83" s="62" t="inlineStr">
        <is>
          <t>Self-issued (Capital One, N.A.)</t>
        </is>
      </c>
      <c r="W83" s="57" t="inlineStr">
        <is>
          <t>Yes (revolving)</t>
        </is>
      </c>
      <c r="X83" s="66" t="inlineStr">
        <is>
          <t>Yes - 9 mo (Spark Cash Select)</t>
        </is>
      </c>
      <c r="Y83" s="60" t="inlineStr">
        <is>
          <t>Spark Cash Select: 0% 9mo, 17.49-23.49%, $0 AF, 1.5%. Spark Cash Plus $150 (charge, NPSL, 2%). Venture Business $95</t>
        </is>
      </c>
      <c r="Z83" s="60" t="inlineStr">
        <is>
          <t>ALL THREE (EQ+EX+TU) - triple hard pull</t>
        </is>
      </c>
      <c r="AA83" s="60" t="inlineStr">
        <is>
          <t>D&amp;B, Experian Biz, Equifax Biz, SBFE</t>
        </is>
      </c>
      <c r="AB83" s="60" t="inlineStr">
        <is>
          <t>YES for most Spark (NOT Cash Plus/Venture X)</t>
        </is>
      </c>
      <c r="AC83" s="60" t="inlineStr">
        <is>
          <t>Spark Cash Plus NPSL warms up (one ran ~$89k); revolving SLs ~$5k+; triple pull; PG required; FICO ~720+</t>
        </is>
      </c>
      <c r="AD83" s="64" t="inlineStr">
        <is>
          <t>myFICO 6822160, 6555884</t>
        </is>
      </c>
      <c r="AE83" s="60" t="inlineStr">
        <is>
          <t>No</t>
        </is>
      </c>
      <c r="AF83" s="60" t="inlineStr">
        <is>
          <t>No - underwritten</t>
        </is>
      </c>
      <c r="AG83" s="60" t="inlineStr">
        <is>
          <t>SELF-ISSUED VERIFIED. TRIPLE hard pull. Most Spark cards REPORT to personal bureaus (key differentiator).</t>
        </is>
      </c>
      <c r="AH83" s="64" t="inlineStr">
        <is>
          <t>capitalone.com/small-business/credit-cards; doctorofcredit.com (Cap One pull)</t>
        </is>
      </c>
    </row>
    <row r="84" ht="15.75" customHeight="1">
      <c r="A84" s="57" t="n"/>
      <c r="B84" s="58" t="inlineStr">
        <is>
          <t>A - Self-issued, apply online</t>
        </is>
      </c>
      <c r="C84" s="59" t="inlineStr">
        <is>
          <t>First Tech FCU</t>
        </is>
      </c>
      <c r="D84" s="60" t="inlineStr">
        <is>
          <t>3/4 (missing: SoCal)</t>
        </is>
      </c>
      <c r="E84" s="61" t="inlineStr">
        <is>
          <t>Credit Union</t>
        </is>
      </c>
      <c r="F84" s="67" t="inlineStr">
        <is>
          <t>No</t>
        </is>
      </c>
      <c r="G84" s="60" t="inlineStr">
        <is>
          <t>Other California</t>
        </is>
      </c>
      <c r="H84" s="62" t="inlineStr">
        <is>
          <t>CA-HQ (NorCal/Central CA)</t>
        </is>
      </c>
      <c r="I84" s="63" t="inlineStr">
        <is>
          <t>$10k-$25k (myFICO: $25k card on one application)</t>
        </is>
      </c>
      <c r="J84" s="60" t="inlineStr">
        <is>
          <t>~$28.7B</t>
        </is>
      </c>
      <c r="K84" s="60" t="inlineStr">
        <is>
          <t>~$24B</t>
        </is>
      </c>
      <c r="L84" s="60" t="inlineStr">
        <is>
          <t>Bay Area + OR; post-DCU merger adds MA/New England; 50+ branches, 8 states</t>
        </is>
      </c>
      <c r="M84" s="60" t="n">
        <v>161</v>
      </c>
      <c r="N84" s="60" t="inlineStr">
        <is>
          <t>San Jose</t>
        </is>
      </c>
      <c r="O84" s="60" t="inlineStr">
        <is>
          <t>Santa Clara</t>
        </is>
      </c>
      <c r="P84" s="64" t="inlineStr">
        <is>
          <t>firsttechfed.com</t>
        </is>
      </c>
      <c r="Q84" s="65" t="inlineStr">
        <is>
          <t>Yes</t>
        </is>
      </c>
      <c r="R84" s="64" t="inlineStr">
        <is>
          <t>firsttechfed.com/bank/business</t>
        </is>
      </c>
      <c r="S84" s="65" t="inlineStr">
        <is>
          <t>Online</t>
        </is>
      </c>
      <c r="T84" s="60" t="inlineStr">
        <is>
          <t>firsttechfed.com/application</t>
        </is>
      </c>
      <c r="U84" s="65" t="inlineStr">
        <is>
          <t>Yes</t>
        </is>
      </c>
      <c r="V84" s="62" t="inlineStr">
        <is>
          <t>Self-issued (First Tech FCU)</t>
        </is>
      </c>
      <c r="W84" s="57" t="inlineStr">
        <is>
          <t>Yes (revolving)</t>
        </is>
      </c>
      <c r="X84" s="67" t="inlineStr">
        <is>
          <t>No long biz 0% (not Elan partner)</t>
        </is>
      </c>
      <c r="Y84" s="60" t="inlineStr">
        <is>
          <t>Business Credit Mastercard (member-gated); consumer APR 10.49-18% (CA 18% cap); no annual fee typical</t>
        </is>
      </c>
      <c r="Z84" s="60" t="inlineStr">
        <is>
          <t>Experian primary (anecdotal TU/EQ)</t>
        </is>
      </c>
      <c r="AA84" s="60" t="inlineStr">
        <is>
          <t>D&amp;B, Experian Biz, Equifax Biz (SBFE unconfirmed)</t>
        </is>
      </c>
      <c r="AB84" s="60" t="inlineStr">
        <is>
          <t>Verify</t>
        </is>
      </c>
      <c r="AC84" s="60" t="inlineStr">
        <is>
          <t>Double-approval datapoint: $25k card + $10k PLOC on ONE app. Sensitive to high existing available credit</t>
        </is>
      </c>
      <c r="AD84" s="64" t="inlineStr">
        <is>
          <t>myFICO 6709004</t>
        </is>
      </c>
      <c r="AE84" s="60" t="inlineStr">
        <is>
          <t>Membership req (EASY: join via Financial Fitness Assn ~$8/yr, they pay it)</t>
        </is>
      </c>
      <c r="AF84" s="60" t="inlineStr">
        <is>
          <t>Commercial + CRE lending (full-doc). No unsecured no-doc biz LOC</t>
        </is>
      </c>
      <c r="AG84" s="60" t="inlineStr">
        <is>
          <t>SELF-ISSUED (VERIFIED-moderate). Easiest membership. Only top-CU with a real biz card.</t>
        </is>
      </c>
      <c r="AH84" s="64" t="inlineStr">
        <is>
          <t>firsttechfed.com/merger, /bank/business; myFICO 6709004</t>
        </is>
      </c>
    </row>
    <row r="85" ht="15.75" customHeight="1">
      <c r="A85" s="57" t="n"/>
      <c r="B85" s="58" t="inlineStr">
        <is>
          <t>A - Self-issued, apply online</t>
        </is>
      </c>
      <c r="C85" s="59" t="inlineStr">
        <is>
          <t>Truist</t>
        </is>
      </c>
      <c r="D85" s="60" t="inlineStr">
        <is>
          <t>3/4 (missing: SoCal)</t>
        </is>
      </c>
      <c r="E85" s="69" t="inlineStr">
        <is>
          <t>Bank</t>
        </is>
      </c>
      <c r="F85" s="67" t="inlineStr">
        <is>
          <t>No</t>
        </is>
      </c>
      <c r="G85" s="60" t="inlineStr">
        <is>
          <t>Out-of-state (national)</t>
        </is>
      </c>
      <c r="H85" s="82" t="inlineStr">
        <is>
          <t>NO CA branches - local relationship required (NOT CA-accessible)</t>
        </is>
      </c>
      <c r="I85" s="63" t="inlineStr">
        <is>
          <t>~$10k start (myFICO) - but no CA branches</t>
        </is>
      </c>
      <c r="J85" s="60" t="inlineStr">
        <is>
          <t>~$540B</t>
        </is>
      </c>
      <c r="K85" s="60" t="inlineStr">
        <is>
          <t>~$400B</t>
        </is>
      </c>
      <c r="L85" s="60" t="inlineStr">
        <is>
          <t>National (Southeast/Mid-Atlantic heavy); ~1,900 branches</t>
        </is>
      </c>
      <c r="M85" s="60" t="n">
        <v>159</v>
      </c>
      <c r="N85" s="60" t="inlineStr">
        <is>
          <t>Charlotte</t>
        </is>
      </c>
      <c r="O85" s="60" t="inlineStr">
        <is>
          <t>Mecklenburg (NC)</t>
        </is>
      </c>
      <c r="P85" s="64" t="inlineStr">
        <is>
          <t>truist.com</t>
        </is>
      </c>
      <c r="Q85" s="65" t="inlineStr">
        <is>
          <t>Yes</t>
        </is>
      </c>
      <c r="R85" s="64" t="inlineStr">
        <is>
          <t>truist.com/small-business/credit-cards</t>
        </is>
      </c>
      <c r="S85" s="65" t="inlineStr">
        <is>
          <t>Online</t>
        </is>
      </c>
      <c r="T85" s="60" t="inlineStr">
        <is>
          <t>businesscreditcard.digitalcommerce.truist.com/product/SBC</t>
        </is>
      </c>
      <c r="U85" s="65" t="inlineStr">
        <is>
          <t>Yes</t>
        </is>
      </c>
      <c r="V85" s="62" t="inlineStr">
        <is>
          <t>Self-issued (Truist Bank)</t>
        </is>
      </c>
      <c r="W85" s="57" t="inlineStr">
        <is>
          <t>Yes (revolving)</t>
        </is>
      </c>
      <c r="X85" s="66" t="inlineStr">
        <is>
          <t>Yes - 12 billing cycles (Business Card)</t>
        </is>
      </c>
      <c r="Y85" s="60" t="inlineStr">
        <is>
          <t>Business Card: 0% 12 cycles, go-to 13.74-22.74%, $0 AF. Cash Rewards: 0% 9 cycles, 2% cats. Premium Visa Infinite $299 (wvd)</t>
        </is>
      </c>
      <c r="Z85" s="60" t="inlineStr">
        <is>
          <t>Equifax (forum-strong)</t>
        </is>
      </c>
      <c r="AA85" s="60" t="inlineStr">
        <is>
          <t>Unknown (likely SBFE)</t>
        </is>
      </c>
      <c r="AB85" s="60" t="inlineStr">
        <is>
          <t>No</t>
        </is>
      </c>
      <c r="AC85" s="60" t="inlineStr">
        <is>
          <t>EQ pulls at ~754; ~$10k starting limits; users obtain a 2nd Truist biz card</t>
        </is>
      </c>
      <c r="AD85" s="64" t="inlineStr">
        <is>
          <t>myFICO 6693085, 6693086, 6741527</t>
        </is>
      </c>
      <c r="AE85" s="60" t="inlineStr">
        <is>
          <t>No</t>
        </is>
      </c>
      <c r="AF85" s="60" t="inlineStr">
        <is>
          <t>No - SBA/commercial underwritten</t>
        </is>
      </c>
      <c r="AG85" s="60" t="inlineStr">
        <is>
          <t>SELF-ISSUED VERIFIED ('issued by Truist'). 12-cycle 0%. EQ pull.</t>
        </is>
      </c>
      <c r="AH85" s="64" t="inlineStr">
        <is>
          <t>truist.com/.../business-card/disclosures; digitalcommerce.truist.com</t>
        </is>
      </c>
    </row>
    <row r="86" ht="15.75" customHeight="1">
      <c r="A86" s="57" t="n"/>
      <c r="B86" s="58" t="inlineStr">
        <is>
          <t>A - Self-issued, apply online</t>
        </is>
      </c>
      <c r="C86" s="59" t="inlineStr">
        <is>
          <t>American Express (Business)</t>
        </is>
      </c>
      <c r="D86" s="60" t="inlineStr">
        <is>
          <t>3/4 (missing: SoCal)</t>
        </is>
      </c>
      <c r="E86" s="83" t="inlineStr">
        <is>
          <t>Card issuer</t>
        </is>
      </c>
      <c r="F86" s="67" t="inlineStr">
        <is>
          <t>No</t>
        </is>
      </c>
      <c r="G86" s="60" t="inlineStr">
        <is>
          <t>Out-of-state (national)</t>
        </is>
      </c>
      <c r="H86" s="62" t="inlineStr">
        <is>
          <t>Online nationwide - no branch/local presence needed (CA-accessible)</t>
        </is>
      </c>
      <c r="I86" s="63" t="inlineStr">
        <is>
          <t>Blue: $2k-$20k (common ~$10k, myFICO); Gold/Platinum: no preset limit</t>
        </is>
      </c>
      <c r="J86" s="60" t="inlineStr">
        <is>
          <t>~$270B</t>
        </is>
      </c>
      <c r="K86" s="60" t="inlineStr">
        <is>
          <t>~$140B</t>
        </is>
      </c>
      <c r="L86" s="60" t="inlineStr">
        <is>
          <t>National card issuer</t>
        </is>
      </c>
      <c r="M86" s="60" t="n">
        <v>159</v>
      </c>
      <c r="N86" s="60" t="inlineStr">
        <is>
          <t>New York</t>
        </is>
      </c>
      <c r="O86" s="60" t="inlineStr">
        <is>
          <t>New York (NY)</t>
        </is>
      </c>
      <c r="P86" s="64" t="inlineStr">
        <is>
          <t>americanexpress.com</t>
        </is>
      </c>
      <c r="Q86" s="65" t="inlineStr">
        <is>
          <t>Yes</t>
        </is>
      </c>
      <c r="R86" s="64" t="inlineStr">
        <is>
          <t>americanexpress.com/us/credit-cards/business/business-credit-cards/</t>
        </is>
      </c>
      <c r="S86" s="65" t="inlineStr">
        <is>
          <t>Online</t>
        </is>
      </c>
      <c r="T86" s="60" t="inlineStr">
        <is>
          <t>americanexpress.com/.../business-credit-cards/</t>
        </is>
      </c>
      <c r="U86" s="65" t="inlineStr">
        <is>
          <t>Yes</t>
        </is>
      </c>
      <c r="V86" s="62" t="inlineStr">
        <is>
          <t>Self-issued (American Express)</t>
        </is>
      </c>
      <c r="W86" s="57" t="inlineStr">
        <is>
          <t>Yes (revolving)</t>
        </is>
      </c>
      <c r="X86" s="66" t="inlineStr">
        <is>
          <t>Yes - 12 mo (Blue Business Cash/Plus)</t>
        </is>
      </c>
      <c r="Y86" s="60" t="inlineStr">
        <is>
          <t>Blue Business Cash: 0% 12mo, 18.49-26.49%, $0 AF, 2% to $50k/yr. Business Gold $375 / Platinum $895 (charge)</t>
        </is>
      </c>
      <c r="Z86" s="60" t="inlineStr">
        <is>
          <t>Experian (~90%)</t>
        </is>
      </c>
      <c r="AA86" s="60" t="inlineStr">
        <is>
          <t>SBFE; D&amp;B negative-only</t>
        </is>
      </c>
      <c r="AB86" s="60" t="inlineStr">
        <is>
          <t>No (negative/default only)</t>
        </is>
      </c>
      <c r="AC86" s="60" t="inlineStr">
        <is>
          <t>Blue SLs ~$2k-$20k (common $9-12k); existing members often SOFT-pull approved; accepts EIN/ITIN</t>
        </is>
      </c>
      <c r="AD86" s="64" t="inlineStr">
        <is>
          <t>myFICO 5497108, 6587048; DoC</t>
        </is>
      </c>
      <c r="AE86" s="60" t="inlineStr">
        <is>
          <t>No</t>
        </is>
      </c>
      <c r="AF86" s="60" t="inlineStr">
        <is>
          <t>Charge cards (Gold/Platinum) = NPSL pay-in-full</t>
        </is>
      </c>
      <c r="AG86" s="60" t="inlineStr">
        <is>
          <t>SELF-ISSUED VERIFIED. RULES: 1-in-5-days, 2-in-90-days. Soft-pull for existing members.</t>
        </is>
      </c>
      <c r="AH86" s="64" t="inlineStr">
        <is>
          <t>americanexpress.com/.../business; doctorofcredit.com (Amex pull)</t>
        </is>
      </c>
    </row>
    <row r="87" ht="15.75" customHeight="1">
      <c r="A87" s="57" t="n"/>
      <c r="B87" s="58" t="inlineStr">
        <is>
          <t>A - Self-issued, apply online</t>
        </is>
      </c>
      <c r="C87" s="59" t="inlineStr">
        <is>
          <t>Citizens (Citizens Bank, N.A.)</t>
        </is>
      </c>
      <c r="D87" s="60" t="inlineStr">
        <is>
          <t>3/4 (missing: SoCal)</t>
        </is>
      </c>
      <c r="E87" s="69" t="inlineStr">
        <is>
          <t>Bank</t>
        </is>
      </c>
      <c r="F87" s="67" t="inlineStr">
        <is>
          <t>No</t>
        </is>
      </c>
      <c r="G87" s="60" t="inlineStr">
        <is>
          <t>Out-of-state (national)</t>
        </is>
      </c>
      <c r="H87" s="82" t="inlineStr">
        <is>
          <t>NO CA branches - Northeast only (NOT CA-accessible)</t>
        </is>
      </c>
      <c r="I87" s="63" t="inlineStr">
        <is>
          <t>Up to $25k (myFICO Everyday Points)</t>
        </is>
      </c>
      <c r="J87" s="60" t="inlineStr">
        <is>
          <t>~$220B</t>
        </is>
      </c>
      <c r="K87" s="60" t="inlineStr">
        <is>
          <t>~$175B</t>
        </is>
      </c>
      <c r="L87" s="60" t="inlineStr">
        <is>
          <t>Northeast/Mid-Atlantic (CT DE FL MD MA MI NH NJ NY OH PA RI VT VA DC)</t>
        </is>
      </c>
      <c r="M87" s="60" t="n">
        <v>159</v>
      </c>
      <c r="N87" s="60" t="inlineStr">
        <is>
          <t>Providence</t>
        </is>
      </c>
      <c r="O87" s="60" t="inlineStr">
        <is>
          <t>Providence (RI)</t>
        </is>
      </c>
      <c r="P87" s="64" t="inlineStr">
        <is>
          <t>citizensbank.com</t>
        </is>
      </c>
      <c r="Q87" s="65" t="inlineStr">
        <is>
          <t>Yes</t>
        </is>
      </c>
      <c r="R87" s="64" t="inlineStr">
        <is>
          <t>citizensbank.com/small-business/business-credit-cards/overview.aspx</t>
        </is>
      </c>
      <c r="S87" s="65" t="inlineStr">
        <is>
          <t>Online</t>
        </is>
      </c>
      <c r="T87" s="60" t="inlineStr">
        <is>
          <t>citizensbank.com (online or 888-333-5145)</t>
        </is>
      </c>
      <c r="U87" s="65" t="inlineStr">
        <is>
          <t>Yes</t>
        </is>
      </c>
      <c r="V87" s="62" t="inlineStr">
        <is>
          <t>Self-issued (Citizens Bank, N.A.)</t>
        </is>
      </c>
      <c r="W87" s="57" t="inlineStr">
        <is>
          <t>Yes (revolving)</t>
        </is>
      </c>
      <c r="X87" s="66" t="inlineStr">
        <is>
          <t>Yes - 12 months (Business Platinum)</t>
        </is>
      </c>
      <c r="Y87" s="60" t="inlineStr">
        <is>
          <t>Everyday Points Business MC; Business Platinum MC (0% 12mo, $0 AF). APR per Pricing Addendum</t>
        </is>
      </c>
      <c r="Z87" s="60" t="inlineStr">
        <is>
          <t>Experian (shifted from soft-pull EQ ~2023)</t>
        </is>
      </c>
      <c r="AA87" s="60" t="inlineStr">
        <is>
          <t>Business Experian + D&amp;B (inferred); asks ~3mo bank statements</t>
        </is>
      </c>
      <c r="AB87" s="60" t="inlineStr">
        <is>
          <t>No</t>
        </is>
      </c>
      <c r="AC87" s="60" t="inlineStr">
        <is>
          <t>Everyday Points approvals up to $25k; soft-pull era ended 2023 (now hard EX)</t>
        </is>
      </c>
      <c r="AD87" s="64" t="inlineStr">
        <is>
          <t>myFICO 6605401, 6666893, 6515847</t>
        </is>
      </c>
      <c r="AE87" s="60" t="inlineStr">
        <is>
          <t>No</t>
        </is>
      </c>
      <c r="AF87" s="60" t="inlineStr">
        <is>
          <t>No - SBA/commercial underwritten</t>
        </is>
      </c>
      <c r="AG87" s="60" t="inlineStr">
        <is>
          <t>SELF-ISSUED VERIFIED ('issued by Citizens Bank, N.A.'). Now hard-pull Experian.</t>
        </is>
      </c>
      <c r="AH87" s="64" t="inlineStr">
        <is>
          <t>citizensbank.com/small-business/business-credit-cards</t>
        </is>
      </c>
    </row>
    <row r="88" ht="15.75" customHeight="1">
      <c r="A88" s="57" t="n"/>
      <c r="B88" s="58" t="inlineStr">
        <is>
          <t>A - Self-issued, apply online</t>
        </is>
      </c>
      <c r="C88" s="59" t="inlineStr">
        <is>
          <t>Bank of Stockton</t>
        </is>
      </c>
      <c r="D88" s="60" t="inlineStr">
        <is>
          <t>3/4 (missing: SoCal)</t>
        </is>
      </c>
      <c r="E88" s="69" t="inlineStr">
        <is>
          <t>Bank</t>
        </is>
      </c>
      <c r="F88" s="67" t="inlineStr">
        <is>
          <t>No</t>
        </is>
      </c>
      <c r="G88" s="60" t="inlineStr">
        <is>
          <t>Other California</t>
        </is>
      </c>
      <c r="H88" s="62" t="inlineStr">
        <is>
          <t>CA-HQ (NorCal/Central CA)</t>
        </is>
      </c>
      <c r="I88" s="63" t="inlineStr">
        <is>
          <t>$5k-$25k (est; self-issued community pattern)</t>
        </is>
      </c>
      <c r="J88" s="60" t="inlineStr">
        <is>
          <t>$4.74B</t>
        </is>
      </c>
      <c r="K88" s="60" t="inlineStr">
        <is>
          <t>$3.70B</t>
        </is>
      </c>
      <c r="L88" s="60" t="inlineStr">
        <is>
          <t>Central Valley; founded 1867; ~20 branches</t>
        </is>
      </c>
      <c r="M88" s="60" t="n">
        <v>156</v>
      </c>
      <c r="N88" s="60" t="inlineStr">
        <is>
          <t>Stockton</t>
        </is>
      </c>
      <c r="O88" s="60" t="inlineStr">
        <is>
          <t>San Joaquin</t>
        </is>
      </c>
      <c r="P88" s="64" t="inlineStr">
        <is>
          <t>bankofstockton.com</t>
        </is>
      </c>
      <c r="Q88" s="65" t="inlineStr">
        <is>
          <t>Yes</t>
        </is>
      </c>
      <c r="R88" s="64" t="inlineStr">
        <is>
          <t>bankofstockton.com/business_credit_cards</t>
        </is>
      </c>
      <c r="S88" s="65" t="inlineStr">
        <is>
          <t>Online</t>
        </is>
      </c>
      <c r="T88" s="60" t="inlineStr">
        <is>
          <t>bankofstockton.com/business_credit_cards (Apply Online)</t>
        </is>
      </c>
      <c r="U88" s="65" t="inlineStr">
        <is>
          <t>Yes</t>
        </is>
      </c>
      <c r="V88" s="62" t="inlineStr">
        <is>
          <t>Self-issued (Bank of Stockton)</t>
        </is>
      </c>
      <c r="W88" s="57" t="inlineStr">
        <is>
          <t>Yes (revolving)</t>
        </is>
      </c>
      <c r="X88" s="67" t="inlineStr">
        <is>
          <t>No</t>
        </is>
      </c>
      <c r="Y88" s="60" t="inlineStr">
        <is>
          <t>Visa Business/Classic, MC Standard/Gold: 16.00% fixed APR, $0 AF, cash adv 3%, FX 1%</t>
        </is>
      </c>
      <c r="Z88" s="60" t="inlineStr">
        <is>
          <t>One of Experian/Equifax/TransUnion/Innovis (per agreement)</t>
        </is>
      </c>
      <c r="AA88" s="60" t="inlineStr">
        <is>
          <t>Unknown</t>
        </is>
      </c>
      <c r="AB88" s="60" t="inlineStr">
        <is>
          <t>Unknown</t>
        </is>
      </c>
      <c r="AC88" s="60" t="inlineStr">
        <is>
          <t>None found</t>
        </is>
      </c>
      <c r="AD88" s="60" t="inlineStr">
        <is>
          <t>-</t>
        </is>
      </c>
      <c r="AE88" s="60" t="inlineStr">
        <is>
          <t>No</t>
        </is>
      </c>
      <c r="AF88" s="60" t="inlineStr">
        <is>
          <t>No - commercial underwritten</t>
        </is>
      </c>
      <c r="AG88" s="60" t="inlineStr">
        <is>
          <t>SELF-ISSUED VERIFIED (own agreement, creditor = Bank of Stockton). ONLINE apply. Fiserv servicing, but BoS is creditor.</t>
        </is>
      </c>
      <c r="AH88" s="64" t="inlineStr">
        <is>
          <t>bankofstockton.com/credit_card_agreement; /business_credit_cards</t>
        </is>
      </c>
    </row>
    <row r="89" ht="15.75" customHeight="1">
      <c r="A89" s="57" t="n"/>
      <c r="B89" s="58" t="inlineStr">
        <is>
          <t>A - Self-issued, apply online</t>
        </is>
      </c>
      <c r="C89" s="60" t="inlineStr">
        <is>
          <t>PNC Bank</t>
        </is>
      </c>
      <c r="D89" s="60" t="inlineStr">
        <is>
          <t>2/4 (missing: apply online, SoCal)</t>
        </is>
      </c>
      <c r="E89" s="69" t="inlineStr">
        <is>
          <t>Bank</t>
        </is>
      </c>
      <c r="F89" s="67" t="inlineStr">
        <is>
          <t>No</t>
        </is>
      </c>
      <c r="G89" s="60" t="inlineStr">
        <is>
          <t>Out-of-state (national)</t>
        </is>
      </c>
      <c r="H89" s="82" t="inlineStr">
        <is>
          <t>NO CA retail branches - local relationship required (NOT CA-accessible)</t>
        </is>
      </c>
      <c r="I89" s="63" t="inlineStr">
        <is>
          <t>~$25k start; six-figure aggregate (myFICO) - but CA approval unlikely (no branches)</t>
        </is>
      </c>
      <c r="J89" s="60" t="inlineStr">
        <is>
          <t>~$560B</t>
        </is>
      </c>
      <c r="K89" s="60" t="inlineStr">
        <is>
          <t>~$420B</t>
        </is>
      </c>
      <c r="L89" s="60" t="inlineStr">
        <is>
          <t>National; ~2,300 branches</t>
        </is>
      </c>
      <c r="M89" s="60" t="n">
        <v>151</v>
      </c>
      <c r="N89" s="60" t="inlineStr">
        <is>
          <t>Pittsburgh</t>
        </is>
      </c>
      <c r="O89" s="60" t="inlineStr">
        <is>
          <t>Allegheny (PA)</t>
        </is>
      </c>
      <c r="P89" s="64" t="inlineStr">
        <is>
          <t>pnc.com</t>
        </is>
      </c>
      <c r="Q89" s="65" t="inlineStr">
        <is>
          <t>Yes</t>
        </is>
      </c>
      <c r="R89" s="64" t="inlineStr">
        <is>
          <t>pnc.com/.../business-credit-cards</t>
        </is>
      </c>
      <c r="S89" s="66" t="inlineStr">
        <is>
          <t>Partial online</t>
        </is>
      </c>
      <c r="T89" s="60" t="inlineStr">
        <is>
          <t>Cash Rewards online; BusinessOptions phone (855-762-2365)</t>
        </is>
      </c>
      <c r="U89" s="65" t="inlineStr">
        <is>
          <t>Yes</t>
        </is>
      </c>
      <c r="V89" s="62" t="inlineStr">
        <is>
          <t>Self-issued (PNC Bank N.A.)</t>
        </is>
      </c>
      <c r="W89" s="57" t="inlineStr">
        <is>
          <t>Yes (revolving)</t>
        </is>
      </c>
      <c r="X89" s="67" t="inlineStr">
        <is>
          <t>Varies by product</t>
        </is>
      </c>
      <c r="Y89" s="60" t="inlineStr">
        <is>
          <t>Cash Rewards Visa Sig Business: 1.5% cash back, $0 AF, $400 bonus. BusinessOptions Visa Sig</t>
        </is>
      </c>
      <c r="Z89" s="60" t="inlineStr">
        <is>
          <t>Equifax most common (EX/TU possible)</t>
        </is>
      </c>
      <c r="AA89" s="60" t="inlineStr">
        <is>
          <t>Business bureaus (not personal) - inferred</t>
        </is>
      </c>
      <c r="AB89" s="60" t="inlineStr">
        <is>
          <t>No</t>
        </is>
      </c>
      <c r="AC89" s="60" t="inlineStr">
        <is>
          <t>BusinessOptions ~$25k start (+BLOC ~$20k); six-figure aggregate reported</t>
        </is>
      </c>
      <c r="AD89" s="64" t="inlineStr">
        <is>
          <t>myFICO 6509179, 6589727, 6675929</t>
        </is>
      </c>
      <c r="AE89" s="60" t="inlineStr">
        <is>
          <t>No</t>
        </is>
      </c>
      <c r="AF89" s="60" t="inlineStr">
        <is>
          <t>No - SBA/LOC/term underwritten</t>
        </is>
      </c>
      <c r="AG89" s="60" t="inlineStr">
        <is>
          <t>SELF-ISSUED VERIFIED ('PNC Bank N.A. is the creditor and issuer'). Strong reported limits.</t>
        </is>
      </c>
      <c r="AH89" s="64" t="inlineStr">
        <is>
          <t>pnc.com/.../pnc-cash-rewards-visa-signature-business; term sheet PDF</t>
        </is>
      </c>
    </row>
    <row r="90" ht="15.75" customHeight="1">
      <c r="A90" s="57" t="n"/>
      <c r="B90" s="58" t="inlineStr">
        <is>
          <t>A - Self-issued, apply online</t>
        </is>
      </c>
      <c r="C90" s="59" t="inlineStr">
        <is>
          <t>Regions Bank</t>
        </is>
      </c>
      <c r="D90" s="60" t="inlineStr">
        <is>
          <t>3/4 (missing: SoCal)</t>
        </is>
      </c>
      <c r="E90" s="69" t="inlineStr">
        <is>
          <t>Bank</t>
        </is>
      </c>
      <c r="F90" s="67" t="inlineStr">
        <is>
          <t>No</t>
        </is>
      </c>
      <c r="G90" s="60" t="inlineStr">
        <is>
          <t>Out-of-state (national)</t>
        </is>
      </c>
      <c r="H90" s="82" t="inlineStr">
        <is>
          <t>NO CA branches - South (NOT CA-accessible)</t>
        </is>
      </c>
      <c r="I90" s="63" t="inlineStr">
        <is>
          <t>$5k-$25k (est; self-issued community pattern)</t>
        </is>
      </c>
      <c r="J90" s="60" t="inlineStr">
        <is>
          <t>~$160B</t>
        </is>
      </c>
      <c r="K90" s="60" t="inlineStr">
        <is>
          <t>~$125B</t>
        </is>
      </c>
      <c r="L90" s="60" t="inlineStr">
        <is>
          <t>National (South/Midwest); ~1,250 branches</t>
        </is>
      </c>
      <c r="M90" s="60" t="n">
        <v>151</v>
      </c>
      <c r="N90" s="60" t="inlineStr">
        <is>
          <t>Birmingham</t>
        </is>
      </c>
      <c r="O90" s="60" t="inlineStr">
        <is>
          <t>Jefferson (AL)</t>
        </is>
      </c>
      <c r="P90" s="64" t="inlineStr">
        <is>
          <t>regions.com</t>
        </is>
      </c>
      <c r="Q90" s="65" t="inlineStr">
        <is>
          <t>Yes</t>
        </is>
      </c>
      <c r="R90" s="64" t="inlineStr">
        <is>
          <t>regions.com/small-business/business-credit-cards</t>
        </is>
      </c>
      <c r="S90" s="65" t="inlineStr">
        <is>
          <t>Online</t>
        </is>
      </c>
      <c r="T90" s="60" t="inlineStr">
        <is>
          <t>regions.com online application</t>
        </is>
      </c>
      <c r="U90" s="65" t="inlineStr">
        <is>
          <t>Yes</t>
        </is>
      </c>
      <c r="V90" s="62" t="inlineStr">
        <is>
          <t>Self-issued (Regions Bank)</t>
        </is>
      </c>
      <c r="W90" s="57" t="inlineStr">
        <is>
          <t>Yes (revolving)</t>
        </is>
      </c>
      <c r="X90" s="66" t="inlineStr">
        <is>
          <t>Yes - 6 mo (Business) / 12 mo (Enhanced)</t>
        </is>
      </c>
      <c r="Y90" s="60" t="inlineStr">
        <is>
          <t>Business: 0% 6mo, 13.99-23.99%, $0 AF. Enhanced: 0% 12mo, 15.99-25.99%, $0 AF, 2% cash back offer</t>
        </is>
      </c>
      <c r="Z90" s="60" t="inlineStr">
        <is>
          <t>Unknown (not named)</t>
        </is>
      </c>
      <c r="AA90" s="60" t="inlineStr">
        <is>
          <t>Unknown</t>
        </is>
      </c>
      <c r="AB90" s="60" t="inlineStr">
        <is>
          <t>Unknown</t>
        </is>
      </c>
      <c r="AC90" s="60" t="inlineStr">
        <is>
          <t>Thin forum data</t>
        </is>
      </c>
      <c r="AD90" s="60" t="inlineStr">
        <is>
          <t>-</t>
        </is>
      </c>
      <c r="AE90" s="60" t="inlineStr">
        <is>
          <t>No</t>
        </is>
      </c>
      <c r="AF90" s="60" t="inlineStr">
        <is>
          <t>No - SBA/commercial underwritten</t>
        </is>
      </c>
      <c r="AG90" s="60" t="inlineStr">
        <is>
          <t>SELF-ISSUED VERIFIED (Regions Bank creditor). 0% 6-12mo. Online apply.</t>
        </is>
      </c>
      <c r="AH90" s="64" t="inlineStr">
        <is>
          <t>regions.com/.../business-credit-card; Business pricing PDF</t>
        </is>
      </c>
    </row>
    <row r="91" ht="15.75" customHeight="1">
      <c r="A91" s="57" t="n"/>
      <c r="B91" s="58" t="inlineStr">
        <is>
          <t>A - Self-issued, apply online</t>
        </is>
      </c>
      <c r="C91" s="59" t="inlineStr">
        <is>
          <t>Travis Credit Union</t>
        </is>
      </c>
      <c r="D91" s="60" t="inlineStr">
        <is>
          <t>3/4 (missing: SoCal)</t>
        </is>
      </c>
      <c r="E91" s="61" t="inlineStr">
        <is>
          <t>Credit Union</t>
        </is>
      </c>
      <c r="F91" s="67" t="inlineStr">
        <is>
          <t>No</t>
        </is>
      </c>
      <c r="G91" s="60" t="inlineStr">
        <is>
          <t>Other California</t>
        </is>
      </c>
      <c r="H91" s="62" t="inlineStr">
        <is>
          <t>CA-HQ (NorCal/Central CA)</t>
        </is>
      </c>
      <c r="I91" s="63" t="inlineStr">
        <is>
          <t>$5k-$25k (est; self-issued community pattern)</t>
        </is>
      </c>
      <c r="J91" s="60" t="inlineStr">
        <is>
          <t>~$5.7B</t>
        </is>
      </c>
      <c r="K91" s="60" t="inlineStr">
        <is>
          <t>~$5B (shares)</t>
        </is>
      </c>
      <c r="L91" s="60" t="inlineStr">
        <is>
          <t>12 NorCal counties; ~271k members</t>
        </is>
      </c>
      <c r="M91" s="60" t="n">
        <v>151</v>
      </c>
      <c r="N91" s="60" t="inlineStr">
        <is>
          <t>Vacaville</t>
        </is>
      </c>
      <c r="O91" s="60" t="inlineStr">
        <is>
          <t>Solano</t>
        </is>
      </c>
      <c r="P91" s="64" t="inlineStr">
        <is>
          <t>traviscu.org</t>
        </is>
      </c>
      <c r="Q91" s="65" t="inlineStr">
        <is>
          <t>Yes</t>
        </is>
      </c>
      <c r="R91" s="64" t="inlineStr">
        <is>
          <t>traviscu.org/business/lending/business-visa/</t>
        </is>
      </c>
      <c r="S91" s="65" t="inlineStr">
        <is>
          <t>Online</t>
        </is>
      </c>
      <c r="T91" s="60" t="inlineStr">
        <is>
          <t>traviscu.org (online or in-person)</t>
        </is>
      </c>
      <c r="U91" s="65" t="inlineStr">
        <is>
          <t>Yes</t>
        </is>
      </c>
      <c r="V91" s="62" t="inlineStr">
        <is>
          <t>Self-issued (Travis CU)</t>
        </is>
      </c>
      <c r="W91" s="57" t="inlineStr">
        <is>
          <t>Yes (revolving)</t>
        </is>
      </c>
      <c r="X91" s="67" t="inlineStr">
        <is>
          <t>No</t>
        </is>
      </c>
      <c r="Y91" s="60" t="inlineStr">
        <is>
          <t>TCU Business Visa: variable, $0 AF for members, ScoreCard Bonus Points</t>
        </is>
      </c>
      <c r="Z91" s="60" t="inlineStr">
        <is>
          <t>Unknown</t>
        </is>
      </c>
      <c r="AA91" s="60" t="inlineStr">
        <is>
          <t>Unknown</t>
        </is>
      </c>
      <c r="AB91" s="60" t="inlineStr">
        <is>
          <t>Unknown</t>
        </is>
      </c>
      <c r="AC91" s="60" t="inlineStr">
        <is>
          <t>None found</t>
        </is>
      </c>
      <c r="AD91" s="60" t="inlineStr">
        <is>
          <t>-</t>
        </is>
      </c>
      <c r="AE91" s="60" t="inlineStr">
        <is>
          <t>Membership req (OPEN: anyone in 12 NorCal counties)</t>
        </is>
      </c>
      <c r="AF91" s="60" t="inlineStr">
        <is>
          <t>Business lending separate</t>
        </is>
      </c>
      <c r="AG91" s="60" t="inlineStr">
        <is>
          <t>SELF-ISSUED VERIFIED (CFPB filing; ScoreCard, not Elan). Online/in-person apply. Open membership.</t>
        </is>
      </c>
      <c r="AH91" s="64" t="inlineStr">
        <is>
          <t>traviscu.org/business/lending/business-visa/; CFPB DB</t>
        </is>
      </c>
    </row>
    <row r="92" ht="15.75" customHeight="1">
      <c r="A92" s="57" t="n"/>
      <c r="B92" s="58" t="inlineStr">
        <is>
          <t>A - Self-issued, apply online</t>
        </is>
      </c>
      <c r="C92" s="59" t="inlineStr">
        <is>
          <t>SAFE Credit Union</t>
        </is>
      </c>
      <c r="D92" s="60" t="inlineStr">
        <is>
          <t>3/4 (missing: SoCal)</t>
        </is>
      </c>
      <c r="E92" s="61" t="inlineStr">
        <is>
          <t>Credit Union</t>
        </is>
      </c>
      <c r="F92" s="67" t="inlineStr">
        <is>
          <t>No</t>
        </is>
      </c>
      <c r="G92" s="60" t="inlineStr">
        <is>
          <t>Other California</t>
        </is>
      </c>
      <c r="H92" s="62" t="inlineStr">
        <is>
          <t>CA-HQ (NorCal/Central CA)</t>
        </is>
      </c>
      <c r="I92" s="63" t="inlineStr">
        <is>
          <t>$5k-$25k (est; self-issued community pattern)</t>
        </is>
      </c>
      <c r="J92" s="60" t="inlineStr">
        <is>
          <t>~$5B</t>
        </is>
      </c>
      <c r="K92" s="60" t="inlineStr">
        <is>
          <t>~$4.3B (shares)</t>
        </is>
      </c>
      <c r="L92" s="60" t="inlineStr">
        <is>
          <t>13 NorCal counties; ~246k members</t>
        </is>
      </c>
      <c r="M92" s="60" t="n">
        <v>151</v>
      </c>
      <c r="N92" s="60" t="inlineStr">
        <is>
          <t>Folsom</t>
        </is>
      </c>
      <c r="O92" s="60" t="inlineStr">
        <is>
          <t>Sacramento</t>
        </is>
      </c>
      <c r="P92" s="64" t="inlineStr">
        <is>
          <t>safecu.org</t>
        </is>
      </c>
      <c r="Q92" s="65" t="inlineStr">
        <is>
          <t>Yes</t>
        </is>
      </c>
      <c r="R92" s="64" t="inlineStr">
        <is>
          <t>safecu.org/business/grow-your-business/visa-business</t>
        </is>
      </c>
      <c r="S92" s="65" t="inlineStr">
        <is>
          <t>Online</t>
        </is>
      </c>
      <c r="T92" s="60" t="inlineStr">
        <is>
          <t>safecu.org business Visa (online/in-person)</t>
        </is>
      </c>
      <c r="U92" s="65" t="inlineStr">
        <is>
          <t>Yes</t>
        </is>
      </c>
      <c r="V92" s="62" t="inlineStr">
        <is>
          <t>Self-issued (SAFE CU)</t>
        </is>
      </c>
      <c r="W92" s="57" t="inlineStr">
        <is>
          <t>Yes (revolving)</t>
        </is>
      </c>
      <c r="X92" s="67" t="inlineStr">
        <is>
          <t>No</t>
        </is>
      </c>
      <c r="Y92" s="60" t="inlineStr">
        <is>
          <t>SAFE Visa Business: variable WSJ Prime+margin, $0 AF (likely)</t>
        </is>
      </c>
      <c r="Z92" s="60" t="inlineStr">
        <is>
          <t>Unknown</t>
        </is>
      </c>
      <c r="AA92" s="60" t="inlineStr">
        <is>
          <t>Unknown</t>
        </is>
      </c>
      <c r="AB92" s="60" t="inlineStr">
        <is>
          <t>Unknown</t>
        </is>
      </c>
      <c r="AC92" s="60" t="inlineStr">
        <is>
          <t>None found</t>
        </is>
      </c>
      <c r="AD92" s="60" t="inlineStr">
        <is>
          <t>-</t>
        </is>
      </c>
      <c r="AE92" s="60" t="inlineStr">
        <is>
          <t>Membership req (13 NorCal counties: Sacramento/Placer/El Dorado/Yolo +9)</t>
        </is>
      </c>
      <c r="AF92" s="60" t="inlineStr">
        <is>
          <t>Business lending separate</t>
        </is>
      </c>
      <c r="AG92" s="60" t="inlineStr">
        <is>
          <t>SELF-ISSUED VERIFIED ('issued by SAFE'). Online apply.</t>
        </is>
      </c>
      <c r="AH92" s="64" t="inlineStr">
        <is>
          <t>safecu.org/business/grow-your-business/visa-business; Web_Business_Credit_Agreement PDF</t>
        </is>
      </c>
    </row>
    <row r="93" ht="15.75" customHeight="1">
      <c r="A93" s="57" t="n"/>
      <c r="B93" s="58" t="inlineStr">
        <is>
          <t>A - Self-issued, apply online</t>
        </is>
      </c>
      <c r="C93" s="59" t="inlineStr">
        <is>
          <t>Redwood Credit Union</t>
        </is>
      </c>
      <c r="D93" s="60" t="inlineStr">
        <is>
          <t>3/4 (missing: SoCal)</t>
        </is>
      </c>
      <c r="E93" s="61" t="inlineStr">
        <is>
          <t>Credit Union</t>
        </is>
      </c>
      <c r="F93" s="67" t="inlineStr">
        <is>
          <t>No</t>
        </is>
      </c>
      <c r="G93" s="60" t="inlineStr">
        <is>
          <t>Other California</t>
        </is>
      </c>
      <c r="H93" s="62" t="inlineStr">
        <is>
          <t>CA-HQ (NorCal/Central CA)</t>
        </is>
      </c>
      <c r="I93" s="63" t="inlineStr">
        <is>
          <t>$5k-$25k (est; self-issued community pattern)</t>
        </is>
      </c>
      <c r="J93" s="60" t="inlineStr">
        <is>
          <t>~$4.7B</t>
        </is>
      </c>
      <c r="K93" s="60" t="inlineStr">
        <is>
          <t>~$4B (shares)</t>
        </is>
      </c>
      <c r="L93" s="60" t="inlineStr">
        <is>
          <t>8 NorCal counties (Sonoma/Marin/Napa/Mendocino/Lake/SF/Solano/Contra Costa)</t>
        </is>
      </c>
      <c r="M93" s="60" t="n">
        <v>151</v>
      </c>
      <c r="N93" s="60" t="inlineStr">
        <is>
          <t>Santa Rosa</t>
        </is>
      </c>
      <c r="O93" s="60" t="inlineStr">
        <is>
          <t>Sonoma</t>
        </is>
      </c>
      <c r="P93" s="64" t="inlineStr">
        <is>
          <t>redwoodcu.org</t>
        </is>
      </c>
      <c r="Q93" s="65" t="inlineStr">
        <is>
          <t>Yes</t>
        </is>
      </c>
      <c r="R93" s="64" t="inlineStr">
        <is>
          <t>redwoodcu.org/business/cards/business-visa-platinum/</t>
        </is>
      </c>
      <c r="S93" s="65" t="inlineStr">
        <is>
          <t>Online</t>
        </is>
      </c>
      <c r="T93" s="60" t="inlineStr">
        <is>
          <t>redwoodcu.org (biz membership before funding)</t>
        </is>
      </c>
      <c r="U93" s="65" t="inlineStr">
        <is>
          <t>Yes</t>
        </is>
      </c>
      <c r="V93" s="62" t="inlineStr">
        <is>
          <t>Self-issued (Redwood CU)</t>
        </is>
      </c>
      <c r="W93" s="57" t="inlineStr">
        <is>
          <t>Yes (revolving)</t>
        </is>
      </c>
      <c r="X93" s="67" t="inlineStr">
        <is>
          <t>No</t>
        </is>
      </c>
      <c r="Y93" s="60" t="inlineStr">
        <is>
          <t>Business Visa Platinum: variable Prime-based, $0 AF, no BT fee, 1 pt/$1, employee cards</t>
        </is>
      </c>
      <c r="Z93" s="60" t="inlineStr">
        <is>
          <t>Equifax (consumer; biz unconfirmed)</t>
        </is>
      </c>
      <c r="AA93" s="60" t="inlineStr">
        <is>
          <t>Unknown</t>
        </is>
      </c>
      <c r="AB93" s="60" t="inlineStr">
        <is>
          <t>Unknown</t>
        </is>
      </c>
      <c r="AC93" s="60" t="inlineStr">
        <is>
          <t>Consumer Platinum $25k approval (EQ pull); no biz-card thread</t>
        </is>
      </c>
      <c r="AD93" s="64" t="inlineStr">
        <is>
          <t>ficoforums.myfico.com 6675557</t>
        </is>
      </c>
      <c r="AE93" s="60" t="inlineStr">
        <is>
          <t>Membership req (8-county FOM); biz membership before funding</t>
        </is>
      </c>
      <c r="AF93" s="60" t="inlineStr">
        <is>
          <t>Business lending separate</t>
        </is>
      </c>
      <c r="AG93" s="60" t="inlineStr">
        <is>
          <t>SELF-ISSUED VERIFIED (CFPB filing; ScoreCard rewards, not Elan). Online apply.</t>
        </is>
      </c>
      <c r="AH93" s="64" t="inlineStr">
        <is>
          <t>redwoodcu.org/business/cards/business-visa-platinum/; CFPB DB</t>
        </is>
      </c>
    </row>
    <row r="94" ht="15.75" customHeight="1">
      <c r="A94" s="57" t="n"/>
      <c r="B94" s="58" t="inlineStr">
        <is>
          <t>A - Self-issued, apply online</t>
        </is>
      </c>
      <c r="C94" s="59" t="inlineStr">
        <is>
          <t>Stanford Federal Credit Union</t>
        </is>
      </c>
      <c r="D94" s="60" t="inlineStr">
        <is>
          <t>3/4 (missing: SoCal)</t>
        </is>
      </c>
      <c r="E94" s="61" t="inlineStr">
        <is>
          <t>Credit Union</t>
        </is>
      </c>
      <c r="F94" s="67" t="inlineStr">
        <is>
          <t>No</t>
        </is>
      </c>
      <c r="G94" s="60" t="inlineStr">
        <is>
          <t>Other California</t>
        </is>
      </c>
      <c r="H94" s="62" t="inlineStr">
        <is>
          <t>CA-HQ (NorCal/Central CA)</t>
        </is>
      </c>
      <c r="I94" s="63" t="inlineStr">
        <is>
          <t>Up to $50k (VERIFIED published)</t>
        </is>
      </c>
      <c r="J94" s="60" t="inlineStr">
        <is>
          <t>~$4.55B</t>
        </is>
      </c>
      <c r="K94" s="60" t="inlineStr">
        <is>
          <t>~$4B (shares)</t>
        </is>
      </c>
      <c r="L94" s="60" t="inlineStr">
        <is>
          <t>Open membership nationwide; ~$4.55B</t>
        </is>
      </c>
      <c r="M94" s="60" t="n">
        <v>151</v>
      </c>
      <c r="N94" s="60" t="inlineStr">
        <is>
          <t>Palo Alto</t>
        </is>
      </c>
      <c r="O94" s="60" t="inlineStr">
        <is>
          <t>Santa Clara</t>
        </is>
      </c>
      <c r="P94" s="64" t="inlineStr">
        <is>
          <t>sfcu.org</t>
        </is>
      </c>
      <c r="Q94" s="65" t="inlineStr">
        <is>
          <t>Yes</t>
        </is>
      </c>
      <c r="R94" s="64" t="inlineStr">
        <is>
          <t>sfcu.org/business/business-credit-card</t>
        </is>
      </c>
      <c r="S94" s="65" t="inlineStr">
        <is>
          <t>Online</t>
        </is>
      </c>
      <c r="T94" s="60" t="inlineStr">
        <is>
          <t>sfcu.org (online; 6-mo biz checking required first)</t>
        </is>
      </c>
      <c r="U94" s="65" t="inlineStr">
        <is>
          <t>Yes</t>
        </is>
      </c>
      <c r="V94" s="62" t="inlineStr">
        <is>
          <t>Self-issued (Stanford FCU)</t>
        </is>
      </c>
      <c r="W94" s="57" t="inlineStr">
        <is>
          <t>Yes (revolving)</t>
        </is>
      </c>
      <c r="X94" s="67" t="inlineStr">
        <is>
          <t>No</t>
        </is>
      </c>
      <c r="Y94" s="60" t="inlineStr">
        <is>
          <t>Business Rewards Visa: 16.00-17.99% var, $0 AF, 2% food/food-delivery + 1% else, limits up to $50,000</t>
        </is>
      </c>
      <c r="Z94" s="60" t="inlineStr">
        <is>
          <t>Equifax</t>
        </is>
      </c>
      <c r="AA94" s="60" t="inlineStr">
        <is>
          <t>Unknown</t>
        </is>
      </c>
      <c r="AB94" s="60" t="inlineStr">
        <is>
          <t>Unknown</t>
        </is>
      </c>
      <c r="AC94" s="60" t="inlineStr">
        <is>
          <t>Consumer Stanford approvals (EQ pull); no biz-card thread</t>
        </is>
      </c>
      <c r="AD94" s="64" t="inlineStr">
        <is>
          <t>ficoforums.myfico.com 6036159</t>
        </is>
      </c>
      <c r="AE94" s="60" t="inlineStr">
        <is>
          <t>Membership req (OPEN: join FOPAL or Museum of American Heritage); 6-mo biz checking first; 640+ score, 2yr+ biz</t>
        </is>
      </c>
      <c r="AF94" s="60" t="inlineStr">
        <is>
          <t>Business lending separate</t>
        </is>
      </c>
      <c r="AG94" s="60" t="inlineStr">
        <is>
          <t>SELF-ISSUED VERIFIED ('issuer is Stanford FCU'). Online apply but needs 6-mo biz checking tenure first.</t>
        </is>
      </c>
      <c r="AH94" s="64" t="inlineStr">
        <is>
          <t>sfcu.org/business/business-credit-card; A&amp;S disclosure</t>
        </is>
      </c>
    </row>
    <row r="95" ht="15.75" customHeight="1">
      <c r="A95" s="57" t="n"/>
      <c r="B95" s="58" t="inlineStr">
        <is>
          <t>A - Self-issued, apply online</t>
        </is>
      </c>
      <c r="C95" s="60" t="inlineStr">
        <is>
          <t>Huntington Bank</t>
        </is>
      </c>
      <c r="D95" s="60" t="inlineStr">
        <is>
          <t>2/4 (missing: apply online, SoCal)</t>
        </is>
      </c>
      <c r="E95" s="69" t="inlineStr">
        <is>
          <t>Bank</t>
        </is>
      </c>
      <c r="F95" s="67" t="inlineStr">
        <is>
          <t>No</t>
        </is>
      </c>
      <c r="G95" s="60" t="inlineStr">
        <is>
          <t>Out-of-state (national)</t>
        </is>
      </c>
      <c r="H95" s="82" t="inlineStr">
        <is>
          <t>NO CA branches - Midwest (NOT CA-accessible)</t>
        </is>
      </c>
      <c r="I95" s="63" t="inlineStr">
        <is>
          <t>$1.5k-$25k (myFICO; mostly consumer Voice) - no CA branches</t>
        </is>
      </c>
      <c r="J95" s="60" t="inlineStr">
        <is>
          <t>~$210B</t>
        </is>
      </c>
      <c r="K95" s="60" t="inlineStr">
        <is>
          <t>~$160B</t>
        </is>
      </c>
      <c r="L95" s="60" t="inlineStr">
        <is>
          <t>National (Midwest); ~1,000 branches (11 states)</t>
        </is>
      </c>
      <c r="M95" s="60" t="n">
        <v>149</v>
      </c>
      <c r="N95" s="60" t="inlineStr">
        <is>
          <t>Columbus</t>
        </is>
      </c>
      <c r="O95" s="60" t="inlineStr">
        <is>
          <t>Franklin (OH)</t>
        </is>
      </c>
      <c r="P95" s="64" t="inlineStr">
        <is>
          <t>huntington.com</t>
        </is>
      </c>
      <c r="Q95" s="65" t="inlineStr">
        <is>
          <t>Yes</t>
        </is>
      </c>
      <c r="R95" s="64" t="inlineStr">
        <is>
          <t>huntington.com/SmallBusiness/voice-business-credit-card</t>
        </is>
      </c>
      <c r="S95" s="66" t="inlineStr">
        <is>
          <t>Partial online</t>
        </is>
      </c>
      <c r="T95" s="60" t="inlineStr">
        <is>
          <t>huntington.com (connect with business banker)</t>
        </is>
      </c>
      <c r="U95" s="65" t="inlineStr">
        <is>
          <t>Yes</t>
        </is>
      </c>
      <c r="V95" s="62" t="inlineStr">
        <is>
          <t>Self-issued (Huntington National Bank)</t>
        </is>
      </c>
      <c r="W95" s="57" t="inlineStr">
        <is>
          <t>Yes (revolving)</t>
        </is>
      </c>
      <c r="X95" s="66" t="inlineStr">
        <is>
          <t>Yes - 12 months (Voice Business)</t>
        </is>
      </c>
      <c r="Y95" s="60" t="inlineStr">
        <is>
          <t>Voice Business: 0% 12mo purch + 12-cycle BT, go-to 16.74-26.74%, $0 AF, no FX, choose-4% category</t>
        </is>
      </c>
      <c r="Z95" s="60" t="inlineStr">
        <is>
          <t>Equifax + TransUnion (inferred; mostly consumer Voice data)</t>
        </is>
      </c>
      <c r="AA95" s="60" t="inlineStr">
        <is>
          <t>Unknown</t>
        </is>
      </c>
      <c r="AB95" s="60" t="inlineStr">
        <is>
          <t>Unknown</t>
        </is>
      </c>
      <c r="AC95" s="60" t="inlineStr">
        <is>
          <t>Voice (consumer) limits $1.5k-$25k; auto-CLIs; min ~640 score</t>
        </is>
      </c>
      <c r="AD95" s="64" t="inlineStr">
        <is>
          <t>myFICO 2425987, 4480000; DoC Business Voice</t>
        </is>
      </c>
      <c r="AE95" s="60" t="inlineStr">
        <is>
          <t>No (banker-assisted apply)</t>
        </is>
      </c>
      <c r="AF95" s="60" t="inlineStr">
        <is>
          <t>No - SBA/commercial underwritten</t>
        </is>
      </c>
      <c r="AG95" s="60" t="inlineStr">
        <is>
          <t>SELF-ISSUED VERIFIED ('credit extended by Huntington National Bank'). 0% 12mo.</t>
        </is>
      </c>
      <c r="AH95" s="64" t="inlineStr">
        <is>
          <t>huntington.com/SmallBusiness/voice-business-credit-card; Voice Business T&amp;C PDF</t>
        </is>
      </c>
    </row>
    <row r="96" ht="15.75" customHeight="1">
      <c r="A96" s="57" t="n"/>
      <c r="B96" s="58" t="inlineStr">
        <is>
          <t>A - Self-issued, apply online</t>
        </is>
      </c>
      <c r="C96" s="59" t="inlineStr">
        <is>
          <t>Navy Federal Credit Union</t>
        </is>
      </c>
      <c r="D96" s="60" t="inlineStr">
        <is>
          <t>3/4 (missing: SoCal)</t>
        </is>
      </c>
      <c r="E96" s="61" t="inlineStr">
        <is>
          <t>Credit Union</t>
        </is>
      </c>
      <c r="F96" s="67" t="inlineStr">
        <is>
          <t>No</t>
        </is>
      </c>
      <c r="G96" s="60" t="inlineStr">
        <is>
          <t>Out-of-state (national)</t>
        </is>
      </c>
      <c r="H96" s="62" t="inlineStr">
        <is>
          <t>CA branches near military bases; membership = military/DoD</t>
        </is>
      </c>
      <c r="I96" s="63" t="inlineStr">
        <is>
          <t>$5k-$25k (est; WalletHub: generous starting limits)</t>
        </is>
      </c>
      <c r="J96" s="60" t="inlineStr">
        <is>
          <t>~$180B</t>
        </is>
      </c>
      <c r="K96" s="60" t="inlineStr">
        <is>
          <t>~$145B (shares)</t>
        </is>
      </c>
      <c r="L96" s="60" t="inlineStr">
        <is>
          <t>National; ~360 branches worldwide; military/DoD</t>
        </is>
      </c>
      <c r="M96" s="60" t="n">
        <v>141</v>
      </c>
      <c r="N96" s="60" t="inlineStr">
        <is>
          <t>Vienna</t>
        </is>
      </c>
      <c r="O96" s="60" t="inlineStr">
        <is>
          <t>Fairfax (VA)</t>
        </is>
      </c>
      <c r="P96" s="64" t="inlineStr">
        <is>
          <t>navyfederal.org</t>
        </is>
      </c>
      <c r="Q96" s="65" t="inlineStr">
        <is>
          <t>Yes</t>
        </is>
      </c>
      <c r="R96" s="64" t="inlineStr">
        <is>
          <t>navyfederal.org/services/business/credit-cards.html</t>
        </is>
      </c>
      <c r="S96" s="65" t="inlineStr">
        <is>
          <t>Online</t>
        </is>
      </c>
      <c r="T96" s="60" t="inlineStr">
        <is>
          <t>navyfederal.org (after biz membership)</t>
        </is>
      </c>
      <c r="U96" s="65" t="inlineStr">
        <is>
          <t>Yes</t>
        </is>
      </c>
      <c r="V96" s="62" t="inlineStr">
        <is>
          <t>Self-issued (Navy Federal)</t>
        </is>
      </c>
      <c r="W96" s="57" t="inlineStr">
        <is>
          <t>Yes (revolving)</t>
        </is>
      </c>
      <c r="X96" s="67" t="inlineStr">
        <is>
          <t>No</t>
        </is>
      </c>
      <c r="Y96" s="60" t="inlineStr">
        <is>
          <t>GO BIZ Rewards Visa/MC: APR 16.65-18% var, $0 AF, 1 pt/$1</t>
        </is>
      </c>
      <c r="Z96" s="60" t="inlineStr">
        <is>
          <t>Experian</t>
        </is>
      </c>
      <c r="AA96" s="60" t="inlineStr">
        <is>
          <t>None - reports to PERSONAL bureaus (EX/TU/EQ), not biz bureaus</t>
        </is>
      </c>
      <c r="AB96" s="60" t="inlineStr">
        <is>
          <t>YES (reports to personal bureaus)</t>
        </is>
      </c>
      <c r="AC96" s="60" t="inlineStr">
        <is>
          <t>~750 FICO for good odds; max 1 GO BIZ per membership (2 total); UW up to 5 days</t>
        </is>
      </c>
      <c r="AD96" s="64" t="inlineStr">
        <is>
          <t>WalletHub; NFCU FAQ</t>
        </is>
      </c>
      <c r="AE96" s="60" t="inlineStr">
        <is>
          <t>Membership req (military/DoD/veteran/family ONLY) + biz membership</t>
        </is>
      </c>
      <c r="AF96" s="60" t="inlineStr">
        <is>
          <t>Business LOC/term (PG required)</t>
        </is>
      </c>
      <c r="AG96" s="60" t="inlineStr">
        <is>
          <t>SELF-ISSUED VERIFIED. Reports biz card to PERSONAL bureaus (unusual). Restricted membership.</t>
        </is>
      </c>
      <c r="AH96" s="64" t="inlineStr">
        <is>
          <t>navyfederal.org/services/business/credit-cards.html</t>
        </is>
      </c>
    </row>
    <row r="97" ht="15.75" customHeight="1">
      <c r="A97" s="57" t="n"/>
      <c r="B97" s="58" t="inlineStr">
        <is>
          <t>A - Self-issued, apply online</t>
        </is>
      </c>
      <c r="C97" s="59" t="inlineStr">
        <is>
          <t>Randolph-Brooks FCU</t>
        </is>
      </c>
      <c r="D97" s="60" t="inlineStr">
        <is>
          <t>3/4 (missing: SoCal)</t>
        </is>
      </c>
      <c r="E97" s="61" t="inlineStr">
        <is>
          <t>Credit Union</t>
        </is>
      </c>
      <c r="F97" s="67" t="inlineStr">
        <is>
          <t>No</t>
        </is>
      </c>
      <c r="G97" s="60" t="inlineStr">
        <is>
          <t>Out-of-state (national)</t>
        </is>
      </c>
      <c r="H97" s="82" t="inlineStr">
        <is>
          <t>CU - membership restricted (Texas; CA cannot join)</t>
        </is>
      </c>
      <c r="I97" s="63" t="inlineStr">
        <is>
          <t>$5k-$25k (est; self-issued community pattern)</t>
        </is>
      </c>
      <c r="J97" s="60" t="inlineStr">
        <is>
          <t>~$17.5B</t>
        </is>
      </c>
      <c r="K97" s="60" t="inlineStr">
        <is>
          <t>~$15B (shares)</t>
        </is>
      </c>
      <c r="L97" s="60" t="inlineStr">
        <is>
          <t>Texas; ~$17.5B</t>
        </is>
      </c>
      <c r="M97" s="60" t="n">
        <v>141</v>
      </c>
      <c r="N97" s="60" t="inlineStr">
        <is>
          <t>Live Oak</t>
        </is>
      </c>
      <c r="O97" s="60" t="inlineStr">
        <is>
          <t>Bexar (TX)</t>
        </is>
      </c>
      <c r="P97" s="64" t="inlineStr">
        <is>
          <t>rbfcu.org</t>
        </is>
      </c>
      <c r="Q97" s="65" t="inlineStr">
        <is>
          <t>Yes</t>
        </is>
      </c>
      <c r="R97" s="64" t="inlineStr">
        <is>
          <t>rbfcu.org/business/business-credit-card</t>
        </is>
      </c>
      <c r="S97" s="65" t="inlineStr">
        <is>
          <t>Online</t>
        </is>
      </c>
      <c r="T97" s="60" t="inlineStr">
        <is>
          <t>rbfcu.org / mobile app (online) or branch</t>
        </is>
      </c>
      <c r="U97" s="65" t="inlineStr">
        <is>
          <t>Yes</t>
        </is>
      </c>
      <c r="V97" s="62" t="inlineStr">
        <is>
          <t>Self-issued (RBFCU)</t>
        </is>
      </c>
      <c r="W97" s="57" t="inlineStr">
        <is>
          <t>Yes (revolving)</t>
        </is>
      </c>
      <c r="X97" s="66" t="inlineStr">
        <is>
          <t>Low: 2.9% intro 12 cycles on BT/CA (not 0%)</t>
        </is>
      </c>
      <c r="Y97" s="60" t="inlineStr">
        <is>
          <t>Business Select MC: 18.00% var (Prime+14.65%), 2% cash back all, $0 AF, no FX, no penalty APR</t>
        </is>
      </c>
      <c r="Z97" s="60" t="inlineStr">
        <is>
          <t>Unknown (security interest in shares)</t>
        </is>
      </c>
      <c r="AA97" s="60" t="inlineStr">
        <is>
          <t>Unknown</t>
        </is>
      </c>
      <c r="AB97" s="60" t="inlineStr">
        <is>
          <t>Unknown</t>
        </is>
      </c>
      <c r="AC97" s="60" t="inlineStr">
        <is>
          <t>None found</t>
        </is>
      </c>
      <c r="AD97" s="60" t="inlineStr">
        <is>
          <t>-</t>
        </is>
      </c>
      <c r="AE97" s="60" t="inlineStr">
        <is>
          <t>Membership req (3,500+ paths; $1 savings)</t>
        </is>
      </c>
      <c r="AF97" s="60" t="inlineStr">
        <is>
          <t>Business lending separate</t>
        </is>
      </c>
      <c r="AG97" s="60" t="inlineStr">
        <is>
          <t>SELF-ISSUED VERIFIED. 2% flat cash back. (Earlier '0%' snippet wrong; it is 2.9% intro.)</t>
        </is>
      </c>
      <c r="AH97" s="64" t="inlineStr">
        <is>
          <t>rbfcu.org businessselectmastercard rates PDF</t>
        </is>
      </c>
    </row>
    <row r="98" ht="15.75" customHeight="1">
      <c r="A98" s="57" t="n"/>
      <c r="B98" s="58" t="inlineStr">
        <is>
          <t>A - Self-issued, apply online</t>
        </is>
      </c>
      <c r="C98" s="60" t="inlineStr">
        <is>
          <t>Patelco Credit Union</t>
        </is>
      </c>
      <c r="D98" s="60" t="inlineStr">
        <is>
          <t>2/4 (missing: apply online, SoCal)</t>
        </is>
      </c>
      <c r="E98" s="61" t="inlineStr">
        <is>
          <t>Credit Union</t>
        </is>
      </c>
      <c r="F98" s="67" t="inlineStr">
        <is>
          <t>No</t>
        </is>
      </c>
      <c r="G98" s="60" t="inlineStr">
        <is>
          <t>Other California</t>
        </is>
      </c>
      <c r="H98" s="62" t="inlineStr">
        <is>
          <t>CA-HQ (NorCal/Central CA)</t>
        </is>
      </c>
      <c r="I98" s="63" t="inlineStr">
        <is>
          <t>$5k-$25k (est; self-issued community pattern)</t>
        </is>
      </c>
      <c r="J98" s="60" t="inlineStr">
        <is>
          <t>~$9B</t>
        </is>
      </c>
      <c r="K98" s="60" t="inlineStr">
        <is>
          <t>~$7.5B (shares)</t>
        </is>
      </c>
      <c r="L98" s="60" t="inlineStr">
        <is>
          <t>Bay Area; ~500k members</t>
        </is>
      </c>
      <c r="M98" s="60" t="n">
        <v>141</v>
      </c>
      <c r="N98" s="60" t="inlineStr">
        <is>
          <t>Dublin</t>
        </is>
      </c>
      <c r="O98" s="60" t="inlineStr">
        <is>
          <t>Alameda</t>
        </is>
      </c>
      <c r="P98" s="64" t="inlineStr">
        <is>
          <t>patelco.org</t>
        </is>
      </c>
      <c r="Q98" s="65" t="inlineStr">
        <is>
          <t>Yes</t>
        </is>
      </c>
      <c r="R98" s="64" t="inlineStr">
        <is>
          <t>patelco.org/business-banking/business-rewards-card</t>
        </is>
      </c>
      <c r="S98" s="66" t="inlineStr">
        <is>
          <t>Partial online</t>
        </is>
      </c>
      <c r="T98" s="60" t="inlineStr">
        <is>
          <t>Patelco Virtual Branch (appointment)</t>
        </is>
      </c>
      <c r="U98" s="65" t="inlineStr">
        <is>
          <t>Yes</t>
        </is>
      </c>
      <c r="V98" s="62" t="inlineStr">
        <is>
          <t>Self-issued (Patelco CU)</t>
        </is>
      </c>
      <c r="W98" s="57" t="inlineStr">
        <is>
          <t>Yes (revolving)</t>
        </is>
      </c>
      <c r="X98" s="67" t="inlineStr">
        <is>
          <t>No</t>
        </is>
      </c>
      <c r="Y98" s="60" t="inlineStr">
        <is>
          <t>Business Rewards Mastercard: ~10.65% var, $0 AF, 1.5 pts/$1, 20,000-pt (~$200) bonus after $1,500/3mo</t>
        </is>
      </c>
      <c r="Z98" s="60" t="inlineStr">
        <is>
          <t>Experian (consumer; biz unconfirmed)</t>
        </is>
      </c>
      <c r="AA98" s="60" t="inlineStr">
        <is>
          <t>Reports to personal AND business credit (bureau not named)</t>
        </is>
      </c>
      <c r="AB98" s="60" t="inlineStr">
        <is>
          <t>Yes (personal + business)</t>
        </is>
      </c>
      <c r="AC98" s="60" t="inlineStr">
        <is>
          <t>Consumer myFICO datapoints; no biz-card-specific thread</t>
        </is>
      </c>
      <c r="AD98" s="64" t="inlineStr">
        <is>
          <t>ficoforums.myfico.com Patelco</t>
        </is>
      </c>
      <c r="AE98" s="60" t="inlineStr">
        <is>
          <t>Membership req (OPEN: Financial Fitness Assn, Patelco pays $8); biz 2yr+ established</t>
        </is>
      </c>
      <c r="AF98" s="60" t="inlineStr">
        <is>
          <t>Business lending separate</t>
        </is>
      </c>
      <c r="AG98" s="60" t="inlineStr">
        <is>
          <t>SELF-ISSUED VERIFIED ('Patelco is the issuer'; CFPB filing). Open membership. Partial online (Virtual Branch).</t>
        </is>
      </c>
      <c r="AH98" s="64" t="inlineStr">
        <is>
          <t>patelco.org/business-banking/business-rewards-card; Business-Banking-Credit-Card PDF</t>
        </is>
      </c>
    </row>
    <row r="99" ht="15.75" customHeight="1">
      <c r="A99" s="57" t="n"/>
      <c r="B99" s="58" t="inlineStr">
        <is>
          <t>A - Self-issued, apply online</t>
        </is>
      </c>
      <c r="C99" s="59" t="inlineStr">
        <is>
          <t>BECU</t>
        </is>
      </c>
      <c r="D99" s="60" t="inlineStr">
        <is>
          <t>3/4 (missing: SoCal)</t>
        </is>
      </c>
      <c r="E99" s="61" t="inlineStr">
        <is>
          <t>Credit Union</t>
        </is>
      </c>
      <c r="F99" s="67" t="inlineStr">
        <is>
          <t>No</t>
        </is>
      </c>
      <c r="G99" s="60" t="inlineStr">
        <is>
          <t>Out-of-state (national)</t>
        </is>
      </c>
      <c r="H99" s="74" t="inlineStr">
        <is>
          <t>CU - partial (WA + alumni assns; narrow CA path)</t>
        </is>
      </c>
      <c r="I99" s="63" t="inlineStr">
        <is>
          <t>$5k-$25k (est; self-issued community pattern)</t>
        </is>
      </c>
      <c r="J99" s="60" t="inlineStr">
        <is>
          <t>~$29.4B</t>
        </is>
      </c>
      <c r="K99" s="60" t="inlineStr">
        <is>
          <t>~$25B (shares)</t>
        </is>
      </c>
      <c r="L99" s="60" t="inlineStr">
        <is>
          <t>WA + select OR/ID counties; ~$29.4B</t>
        </is>
      </c>
      <c r="M99" s="60" t="n">
        <v>139</v>
      </c>
      <c r="N99" s="60" t="inlineStr">
        <is>
          <t>Tukwila</t>
        </is>
      </c>
      <c r="O99" s="60" t="inlineStr">
        <is>
          <t>King (WA)</t>
        </is>
      </c>
      <c r="P99" s="64" t="inlineStr">
        <is>
          <t>becu.org</t>
        </is>
      </c>
      <c r="Q99" s="65" t="inlineStr">
        <is>
          <t>Yes</t>
        </is>
      </c>
      <c r="R99" s="64" t="inlineStr">
        <is>
          <t>becu.org/business-banking/credit-card/low-rate-credit-card</t>
        </is>
      </c>
      <c r="S99" s="65" t="inlineStr">
        <is>
          <t>Online</t>
        </is>
      </c>
      <c r="T99" s="60" t="inlineStr">
        <is>
          <t>becu.org/support/business-forms/docusign-business-credit-card</t>
        </is>
      </c>
      <c r="U99" s="65" t="inlineStr">
        <is>
          <t>Yes</t>
        </is>
      </c>
      <c r="V99" s="62" t="inlineStr">
        <is>
          <t>Self-issued (BECU)</t>
        </is>
      </c>
      <c r="W99" s="57" t="inlineStr">
        <is>
          <t>Yes (revolving)</t>
        </is>
      </c>
      <c r="X99" s="67" t="inlineStr">
        <is>
          <t>No (low APR)</t>
        </is>
      </c>
      <c r="Y99" s="60" t="inlineStr">
        <is>
          <t>Business Low Rate (as low as 14.49% var, $0 AF, no CA/FX fee) + Business Cash Back (1.5% unlimited)</t>
        </is>
      </c>
      <c r="Z99" s="60" t="inlineStr">
        <is>
          <t>Unknown</t>
        </is>
      </c>
      <c r="AA99" s="60" t="inlineStr">
        <is>
          <t>Unknown</t>
        </is>
      </c>
      <c r="AB99" s="60" t="inlineStr">
        <is>
          <t>Unknown</t>
        </is>
      </c>
      <c r="AC99" s="60" t="inlineStr">
        <is>
          <t>None found</t>
        </is>
      </c>
      <c r="AD99" s="60" t="inlineStr">
        <is>
          <t>-</t>
        </is>
      </c>
      <c r="AE99" s="60" t="inlineStr">
        <is>
          <t>Business membership req (live/work/worship/school WA + partners; free)</t>
        </is>
      </c>
      <c r="AF99" s="60" t="inlineStr">
        <is>
          <t>Business lending separate</t>
        </is>
      </c>
      <c r="AG99" s="60" t="inlineStr">
        <is>
          <t>SELF-ISSUED VERIFIED (BECU-branded Visa, NMLS 490518). Online apply via DocuSign.</t>
        </is>
      </c>
      <c r="AH99" s="64" t="inlineStr">
        <is>
          <t>becu.org/business-banking/credit-card/low-rate-credit-card</t>
        </is>
      </c>
    </row>
    <row r="100" ht="15.75" customHeight="1">
      <c r="A100" s="57" t="n"/>
      <c r="B100" s="58" t="inlineStr">
        <is>
          <t>A - Self-issued, apply online</t>
        </is>
      </c>
      <c r="C100" s="59" t="inlineStr">
        <is>
          <t>America First Credit Union</t>
        </is>
      </c>
      <c r="D100" s="60" t="inlineStr">
        <is>
          <t>3/4 (missing: SoCal)</t>
        </is>
      </c>
      <c r="E100" s="61" t="inlineStr">
        <is>
          <t>Credit Union</t>
        </is>
      </c>
      <c r="F100" s="67" t="inlineStr">
        <is>
          <t>No</t>
        </is>
      </c>
      <c r="G100" s="60" t="inlineStr">
        <is>
          <t>Out-of-state (national)</t>
        </is>
      </c>
      <c r="H100" s="74" t="inlineStr">
        <is>
          <t>CU - membership restricted (UT/ID/NV/NM/AZ; verify CA)</t>
        </is>
      </c>
      <c r="I100" s="63" t="inlineStr">
        <is>
          <t>$1.5k-$10k (consumer myFICO; biz unconfirmed)</t>
        </is>
      </c>
      <c r="J100" s="60" t="inlineStr">
        <is>
          <t>~$22.6B</t>
        </is>
      </c>
      <c r="K100" s="60" t="inlineStr">
        <is>
          <t>~$19B (shares)</t>
        </is>
      </c>
      <c r="L100" s="60" t="inlineStr">
        <is>
          <t>UT/NV/ID/AZ/CA/NM (serves CA); ~$22.6B</t>
        </is>
      </c>
      <c r="M100" s="60" t="n">
        <v>139</v>
      </c>
      <c r="N100" s="60" t="inlineStr">
        <is>
          <t>Riverdale</t>
        </is>
      </c>
      <c r="O100" s="60" t="inlineStr">
        <is>
          <t>Weber (UT)</t>
        </is>
      </c>
      <c r="P100" s="64" t="inlineStr">
        <is>
          <t>americafirst.com</t>
        </is>
      </c>
      <c r="Q100" s="65" t="inlineStr">
        <is>
          <t>Yes</t>
        </is>
      </c>
      <c r="R100" s="64" t="inlineStr">
        <is>
          <t>americafirst.com/business/visa/credit-card.html</t>
        </is>
      </c>
      <c r="S100" s="65" t="inlineStr">
        <is>
          <t>Online</t>
        </is>
      </c>
      <c r="T100" s="60" t="inlineStr">
        <is>
          <t>americafirst.com business credit application (online/branch)</t>
        </is>
      </c>
      <c r="U100" s="65" t="inlineStr">
        <is>
          <t>Yes</t>
        </is>
      </c>
      <c r="V100" s="62" t="inlineStr">
        <is>
          <t>Self-issued (America First CU)</t>
        </is>
      </c>
      <c r="W100" s="57" t="inlineStr">
        <is>
          <t>Yes (revolving)</t>
        </is>
      </c>
      <c r="X100" s="67" t="inlineStr">
        <is>
          <t>No (low ongoing APR)</t>
        </is>
      </c>
      <c r="Y100" s="60" t="inlineStr">
        <is>
          <t>Business Visa Platinum/Rewards: variable Prime+margin, $0 AF, FX up to 1%, 25-day grace</t>
        </is>
      </c>
      <c r="Z100" s="60" t="inlineStr">
        <is>
          <t>Unknown (income verification reported)</t>
        </is>
      </c>
      <c r="AA100" s="60" t="inlineStr">
        <is>
          <t>Unknown</t>
        </is>
      </c>
      <c r="AB100" s="60" t="inlineStr">
        <is>
          <t>Unknown</t>
        </is>
      </c>
      <c r="AC100" s="60" t="inlineStr">
        <is>
          <t>Consumer datapoints $1.5k-$10k; biz unconfirmed</t>
        </is>
      </c>
      <c r="AD100" s="64" t="inlineStr">
        <is>
          <t>ficoforums.myfico.com 6485072</t>
        </is>
      </c>
      <c r="AE100" s="60" t="inlineStr">
        <is>
          <t>Membership req (live/work/worship/school UT/NV/ID/AZ/CA/NM; $1 savings)</t>
        </is>
      </c>
      <c r="AF100" s="60" t="inlineStr">
        <is>
          <t>Business lending separate</t>
        </is>
      </c>
      <c r="AG100" s="60" t="inlineStr">
        <is>
          <t>SELF-ISSUED VERIFIED ('issued by America First CU'). Online apply. Field of membership includes California.</t>
        </is>
      </c>
      <c r="AH100" s="64" t="inlineStr">
        <is>
          <t>americafirst.com/business/visa/credit-card.html</t>
        </is>
      </c>
    </row>
    <row r="101" ht="15.75" customHeight="1">
      <c r="A101" s="57" t="n"/>
      <c r="B101" s="58" t="inlineStr">
        <is>
          <t>A - Self-issued, apply online</t>
        </is>
      </c>
      <c r="C101" s="59" t="inlineStr">
        <is>
          <t>Suncoast Credit Union</t>
        </is>
      </c>
      <c r="D101" s="60" t="inlineStr">
        <is>
          <t>3/4 (missing: SoCal)</t>
        </is>
      </c>
      <c r="E101" s="61" t="inlineStr">
        <is>
          <t>Credit Union</t>
        </is>
      </c>
      <c r="F101" s="67" t="inlineStr">
        <is>
          <t>No</t>
        </is>
      </c>
      <c r="G101" s="60" t="inlineStr">
        <is>
          <t>Out-of-state (national)</t>
        </is>
      </c>
      <c r="H101" s="82" t="inlineStr">
        <is>
          <t>CU - membership restricted (Florida; CA cannot join)</t>
        </is>
      </c>
      <c r="I101" s="63" t="inlineStr">
        <is>
          <t>Online &lt;=$15k; lines up to $50k (published)</t>
        </is>
      </c>
      <c r="J101" s="60" t="inlineStr">
        <is>
          <t>~$19.1B</t>
        </is>
      </c>
      <c r="K101" s="60" t="inlineStr">
        <is>
          <t>~$16B (shares)</t>
        </is>
      </c>
      <c r="L101" s="60" t="inlineStr">
        <is>
          <t>Florida (served counties); ~$19.1B</t>
        </is>
      </c>
      <c r="M101" s="60" t="n">
        <v>139</v>
      </c>
      <c r="N101" s="60" t="inlineStr">
        <is>
          <t>Tampa</t>
        </is>
      </c>
      <c r="O101" s="60" t="inlineStr">
        <is>
          <t>Hillsborough (FL)</t>
        </is>
      </c>
      <c r="P101" s="64" t="inlineStr">
        <is>
          <t>suncoast.com</t>
        </is>
      </c>
      <c r="Q101" s="65" t="inlineStr">
        <is>
          <t>Yes</t>
        </is>
      </c>
      <c r="R101" s="64" t="inlineStr">
        <is>
          <t>suncoast.com/For-Your-Business/Loans-and-Credit-Cards/Business-Credit-Cards</t>
        </is>
      </c>
      <c r="S101" s="65" t="inlineStr">
        <is>
          <t>Online</t>
        </is>
      </c>
      <c r="T101" s="60" t="inlineStr">
        <is>
          <t>apply.suncoast.com (online up to $15k)</t>
        </is>
      </c>
      <c r="U101" s="65" t="inlineStr">
        <is>
          <t>Yes</t>
        </is>
      </c>
      <c r="V101" s="62" t="inlineStr">
        <is>
          <t>Self-issued (Suncoast CU)</t>
        </is>
      </c>
      <c r="W101" s="57" t="inlineStr">
        <is>
          <t>Yes (revolving)</t>
        </is>
      </c>
      <c r="X101" s="67" t="inlineStr">
        <is>
          <t>No (low APR)</t>
        </is>
      </c>
      <c r="Y101" s="60" t="inlineStr">
        <is>
          <t>Business Platinum Visa (+ Secured): low APR, $0 AF, lines up to $50k</t>
        </is>
      </c>
      <c r="Z101" s="60" t="inlineStr">
        <is>
          <t>Unknown</t>
        </is>
      </c>
      <c r="AA101" s="60" t="inlineStr">
        <is>
          <t>Unknown</t>
        </is>
      </c>
      <c r="AB101" s="60" t="inlineStr">
        <is>
          <t>Unknown</t>
        </is>
      </c>
      <c r="AC101" s="60" t="inlineStr">
        <is>
          <t>Online &lt;=$15k; &gt;$15k contact; biz ~3yr; Secured option for thin credit</t>
        </is>
      </c>
      <c r="AD101" s="60" t="inlineStr">
        <is>
          <t>-</t>
        </is>
      </c>
      <c r="AE101" s="60" t="inlineStr">
        <is>
          <t>Membership req (live/work/school/worship FL counties + FL College alumni; $5)</t>
        </is>
      </c>
      <c r="AF101" s="60" t="inlineStr">
        <is>
          <t>Business lending separate</t>
        </is>
      </c>
      <c r="AG101" s="60" t="inlineStr">
        <is>
          <t>SELF-ISSUED VERIFIED (CFPB filings; no Elan). Online apply up to $15k; lines up to $50k.</t>
        </is>
      </c>
      <c r="AH101" s="64" t="inlineStr">
        <is>
          <t>suncoast.com/.../Business-Credit-Cards; CFPB</t>
        </is>
      </c>
    </row>
    <row r="102" ht="15.75" customHeight="1">
      <c r="A102" s="57" t="n"/>
      <c r="B102" s="58" t="inlineStr">
        <is>
          <t>A - Self-issued, apply online</t>
        </is>
      </c>
      <c r="C102" s="59" t="inlineStr">
        <is>
          <t>Lake Michigan Credit Union</t>
        </is>
      </c>
      <c r="D102" s="60" t="inlineStr">
        <is>
          <t>3/4 (missing: SoCal)</t>
        </is>
      </c>
      <c r="E102" s="61" t="inlineStr">
        <is>
          <t>Credit Union</t>
        </is>
      </c>
      <c r="F102" s="67" t="inlineStr">
        <is>
          <t>No</t>
        </is>
      </c>
      <c r="G102" s="60" t="inlineStr">
        <is>
          <t>Out-of-state (national)</t>
        </is>
      </c>
      <c r="H102" s="62" t="inlineStr">
        <is>
          <t>CU - joinable from CA (ALS Assn $5)</t>
        </is>
      </c>
      <c r="I102" s="63" t="inlineStr">
        <is>
          <t>Not published; conservative underwriter (myFICO)</t>
        </is>
      </c>
      <c r="J102" s="60" t="inlineStr">
        <is>
          <t>~$15B</t>
        </is>
      </c>
      <c r="K102" s="60" t="inlineStr">
        <is>
          <t>~$13B (shares)</t>
        </is>
      </c>
      <c r="L102" s="60" t="inlineStr">
        <is>
          <t>Michigan + FL; ~$15B</t>
        </is>
      </c>
      <c r="M102" s="60" t="n">
        <v>139</v>
      </c>
      <c r="N102" s="60" t="inlineStr">
        <is>
          <t>Grand Rapids</t>
        </is>
      </c>
      <c r="O102" s="60" t="inlineStr">
        <is>
          <t>Kent (MI)</t>
        </is>
      </c>
      <c r="P102" s="64" t="inlineStr">
        <is>
          <t>lmcu.org</t>
        </is>
      </c>
      <c r="Q102" s="65" t="inlineStr">
        <is>
          <t>Yes</t>
        </is>
      </c>
      <c r="R102" s="64" t="inlineStr">
        <is>
          <t>lmcu.org/business/borrow/my-biz-visa/</t>
        </is>
      </c>
      <c r="S102" s="65" t="inlineStr">
        <is>
          <t>Online</t>
        </is>
      </c>
      <c r="T102" s="60" t="inlineStr">
        <is>
          <t>lmcu.org My Biz Visa (online)</t>
        </is>
      </c>
      <c r="U102" s="65" t="inlineStr">
        <is>
          <t>Yes</t>
        </is>
      </c>
      <c r="V102" s="62" t="inlineStr">
        <is>
          <t>Self-issued (LMCU) - INFERRED</t>
        </is>
      </c>
      <c r="W102" s="57" t="inlineStr">
        <is>
          <t>Yes (revolving)</t>
        </is>
      </c>
      <c r="X102" s="67" t="inlineStr">
        <is>
          <t>No</t>
        </is>
      </c>
      <c r="Y102" s="60" t="inlineStr">
        <is>
          <t>My Biz Visa: 2% cash back, $0 AF (consumer page); FX 1%, cash adv 3%</t>
        </is>
      </c>
      <c r="Z102" s="60" t="inlineStr">
        <is>
          <t>Unknown</t>
        </is>
      </c>
      <c r="AA102" s="60" t="inlineStr">
        <is>
          <t>Reports to all 3 bureaus (SuperMoney)</t>
        </is>
      </c>
      <c r="AB102" s="60" t="inlineStr">
        <is>
          <t>Unknown</t>
        </is>
      </c>
      <c r="AC102" s="60" t="inlineStr">
        <is>
          <t>Conservative underwriter; dislikes new accounts (myFICO)</t>
        </is>
      </c>
      <c r="AD102" s="60" t="inlineStr">
        <is>
          <t>-</t>
        </is>
      </c>
      <c r="AE102" s="60" t="inlineStr">
        <is>
          <t>Membership req (OPEN: $5 ALS Association donation)</t>
        </is>
      </c>
      <c r="AF102" s="60" t="inlineStr">
        <is>
          <t>Business lending separate</t>
        </is>
      </c>
      <c r="AG102" s="60" t="inlineStr">
        <is>
          <t>SELF-ISSUED INFERRED (own CFPB filing, MI law; not Elan). Online apply.</t>
        </is>
      </c>
      <c r="AH102" s="64" t="inlineStr">
        <is>
          <t>lmcu.org/business/borrow/my-biz-visa/; CFPB</t>
        </is>
      </c>
    </row>
    <row r="103" ht="15.75" customHeight="1">
      <c r="A103" s="57" t="n"/>
      <c r="B103" s="58" t="inlineStr">
        <is>
          <t>A - Self-issued, apply online</t>
        </is>
      </c>
      <c r="C103" s="59" t="inlineStr">
        <is>
          <t>Idaho Central Credit Union</t>
        </is>
      </c>
      <c r="D103" s="60" t="inlineStr">
        <is>
          <t>3/4 (missing: SoCal)</t>
        </is>
      </c>
      <c r="E103" s="61" t="inlineStr">
        <is>
          <t>Credit Union</t>
        </is>
      </c>
      <c r="F103" s="67" t="inlineStr">
        <is>
          <t>No</t>
        </is>
      </c>
      <c r="G103" s="60" t="inlineStr">
        <is>
          <t>Out-of-state (national)</t>
        </is>
      </c>
      <c r="H103" s="82" t="inlineStr">
        <is>
          <t>CU - membership restricted (Idaho; CA cannot join)</t>
        </is>
      </c>
      <c r="I103" s="63" t="inlineStr">
        <is>
          <t>$5k-$25k (est; self-issued community pattern)</t>
        </is>
      </c>
      <c r="J103" s="60" t="inlineStr">
        <is>
          <t>~$14.8B</t>
        </is>
      </c>
      <c r="K103" s="60" t="inlineStr">
        <is>
          <t>~$12B (shares)</t>
        </is>
      </c>
      <c r="L103" s="60" t="inlineStr">
        <is>
          <t>Idaho; ~$14.8B</t>
        </is>
      </c>
      <c r="M103" s="60" t="n">
        <v>139</v>
      </c>
      <c r="N103" s="60" t="inlineStr">
        <is>
          <t>Chubbuck</t>
        </is>
      </c>
      <c r="O103" s="60" t="inlineStr">
        <is>
          <t>Bannock (ID)</t>
        </is>
      </c>
      <c r="P103" s="64" t="inlineStr">
        <is>
          <t>iccu.com</t>
        </is>
      </c>
      <c r="Q103" s="65" t="inlineStr">
        <is>
          <t>Yes</t>
        </is>
      </c>
      <c r="R103" s="64" t="inlineStr">
        <is>
          <t>iccu.com/business/loans/visa-credit-cards/</t>
        </is>
      </c>
      <c r="S103" s="65" t="inlineStr">
        <is>
          <t>Online</t>
        </is>
      </c>
      <c r="T103" s="60" t="inlineStr">
        <is>
          <t>iccu.com Apply Now / 800-456-5067</t>
        </is>
      </c>
      <c r="U103" s="65" t="inlineStr">
        <is>
          <t>Yes</t>
        </is>
      </c>
      <c r="V103" s="62" t="inlineStr">
        <is>
          <t>Self-issued (ICCU) - INFERRED</t>
        </is>
      </c>
      <c r="W103" s="57" t="inlineStr">
        <is>
          <t>Yes (revolving)</t>
        </is>
      </c>
      <c r="X103" s="67" t="inlineStr">
        <is>
          <t>Unknown</t>
        </is>
      </c>
      <c r="Y103" s="60" t="inlineStr">
        <is>
          <t>Business Visa Platinum (11.24%+) / Rewards (12.24%+) / Premier Rewards ($95): variable</t>
        </is>
      </c>
      <c r="Z103" s="60" t="inlineStr">
        <is>
          <t>Unknown</t>
        </is>
      </c>
      <c r="AA103" s="60" t="inlineStr">
        <is>
          <t>Unknown</t>
        </is>
      </c>
      <c r="AB103" s="60" t="inlineStr">
        <is>
          <t>Unknown</t>
        </is>
      </c>
      <c r="AC103" s="60" t="inlineStr">
        <is>
          <t>None found</t>
        </is>
      </c>
      <c r="AD103" s="60" t="inlineStr">
        <is>
          <t>-</t>
        </is>
      </c>
      <c r="AE103" s="60" t="inlineStr">
        <is>
          <t>Membership req (OPEN: anyone living/working/studying in any ID county; $30)</t>
        </is>
      </c>
      <c r="AF103" s="60" t="inlineStr">
        <is>
          <t>Business lending separate</t>
        </is>
      </c>
      <c r="AG103" s="60" t="inlineStr">
        <is>
          <t>SELF-ISSUED INFERRED (own rates + CFPB TCCP; no Elan). Online apply.</t>
        </is>
      </c>
      <c r="AH103" s="64" t="inlineStr">
        <is>
          <t>iccu.com/business/loans/visa-credit-cards/</t>
        </is>
      </c>
    </row>
    <row r="104" ht="15.75" customHeight="1">
      <c r="A104" s="57" t="n"/>
      <c r="B104" s="59" t="inlineStr">
        <is>
          <t>B - Self-issued, in-person</t>
        </is>
      </c>
      <c r="C104" s="60" t="inlineStr">
        <is>
          <t>Tri Counties Bank</t>
        </is>
      </c>
      <c r="D104" s="60" t="inlineStr">
        <is>
          <t>2/4 (missing: apply online, SoCal)</t>
        </is>
      </c>
      <c r="E104" s="69" t="inlineStr">
        <is>
          <t>Bank</t>
        </is>
      </c>
      <c r="F104" s="67" t="inlineStr">
        <is>
          <t>No</t>
        </is>
      </c>
      <c r="G104" s="60" t="inlineStr">
        <is>
          <t>Other California</t>
        </is>
      </c>
      <c r="H104" s="62" t="inlineStr">
        <is>
          <t>CA-HQ (NorCal/Central CA)</t>
        </is>
      </c>
      <c r="I104" s="63" t="inlineStr">
        <is>
          <t>$5k-$25k (est; self-issued community pattern)</t>
        </is>
      </c>
      <c r="J104" s="60" t="inlineStr">
        <is>
          <t>$9.87B</t>
        </is>
      </c>
      <c r="K104" s="60" t="inlineStr">
        <is>
          <t>$8.34B</t>
        </is>
      </c>
      <c r="L104" s="60" t="inlineStr">
        <is>
          <t>NorCal/Central CA; ~75 branches</t>
        </is>
      </c>
      <c r="M104" s="60" t="n">
        <v>137</v>
      </c>
      <c r="N104" s="60" t="inlineStr">
        <is>
          <t>Chico</t>
        </is>
      </c>
      <c r="O104" s="60" t="inlineStr">
        <is>
          <t>Butte</t>
        </is>
      </c>
      <c r="P104" s="64" t="inlineStr">
        <is>
          <t>tcbk.com</t>
        </is>
      </c>
      <c r="Q104" s="65" t="inlineStr">
        <is>
          <t>Yes</t>
        </is>
      </c>
      <c r="R104" s="64" t="inlineStr">
        <is>
          <t>tcbk.com/business/credit-cards</t>
        </is>
      </c>
      <c r="S104" s="70" t="inlineStr">
        <is>
          <t>In-person</t>
        </is>
      </c>
      <c r="T104" s="60" t="inlineStr">
        <is>
          <t>Branch / banker 800-922-8742 (no online biz app)</t>
        </is>
      </c>
      <c r="U104" s="65" t="inlineStr">
        <is>
          <t>Yes</t>
        </is>
      </c>
      <c r="V104" s="62" t="inlineStr">
        <is>
          <t>Self-issued (Tri Counties Bank)</t>
        </is>
      </c>
      <c r="W104" s="57" t="inlineStr">
        <is>
          <t>Yes (revolving)</t>
        </is>
      </c>
      <c r="X104" s="67" t="inlineStr">
        <is>
          <t>No (promo APR possible, none standing)</t>
        </is>
      </c>
      <c r="Y104" s="60" t="inlineStr">
        <is>
          <t>Visa Business + Visa Platinum Business: variable WSJ Prime+margin (set at approval); Platinum 1.5% cash back; $0 AF</t>
        </is>
      </c>
      <c r="Z104" s="60" t="inlineStr">
        <is>
          <t>Unknown (agreement says 'credit bureaus', none named)</t>
        </is>
      </c>
      <c r="AA104" s="60" t="inlineStr">
        <is>
          <t>Unknown</t>
        </is>
      </c>
      <c r="AB104" s="60" t="inlineStr">
        <is>
          <t>Unknown</t>
        </is>
      </c>
      <c r="AC104" s="60" t="inlineStr">
        <is>
          <t>None found</t>
        </is>
      </c>
      <c r="AD104" s="60" t="inlineStr">
        <is>
          <t>-</t>
        </is>
      </c>
      <c r="AE104" s="60" t="inlineStr">
        <is>
          <t>No (UCC lien on any deposits held; not required to apply)</t>
        </is>
      </c>
      <c r="AF104" s="60" t="inlineStr">
        <is>
          <t>No - commercial underwritten</t>
        </is>
      </c>
      <c r="AG104" s="60" t="inlineStr">
        <is>
          <t>SELF-ISSUED VERIFIED (business cards; 'Credit cards are issued by Tri Counties Bank'). NOTE: personal cards = TCM. No online app.</t>
        </is>
      </c>
      <c r="AH104" s="64" t="inlineStr">
        <is>
          <t>tcbk.com/business/credit-cards; Business_Card_Disclosure_Booklet PDF</t>
        </is>
      </c>
    </row>
    <row r="105" ht="15.75" customHeight="1">
      <c r="A105" s="57" t="n"/>
      <c r="B105" s="58" t="inlineStr">
        <is>
          <t>A - Self-issued, apply online</t>
        </is>
      </c>
      <c r="C105" s="59" t="inlineStr">
        <is>
          <t>Coastal Credit Union</t>
        </is>
      </c>
      <c r="D105" s="60" t="inlineStr">
        <is>
          <t>3/4 (missing: SoCal)</t>
        </is>
      </c>
      <c r="E105" s="61" t="inlineStr">
        <is>
          <t>Credit Union</t>
        </is>
      </c>
      <c r="F105" s="67" t="inlineStr">
        <is>
          <t>No</t>
        </is>
      </c>
      <c r="G105" s="60" t="inlineStr">
        <is>
          <t>Out-of-state (national)</t>
        </is>
      </c>
      <c r="H105" s="62" t="inlineStr">
        <is>
          <t>CU - joinable from CA (NCSEA / NC Consumers Council $18)</t>
        </is>
      </c>
      <c r="I105" s="63" t="inlineStr">
        <is>
          <t>Starts $5k; &gt;$25k needs docs (published)</t>
        </is>
      </c>
      <c r="J105" s="60" t="inlineStr">
        <is>
          <t>~$5.15B</t>
        </is>
      </c>
      <c r="K105" s="60" t="inlineStr">
        <is>
          <t>~$4.4B (shares)</t>
        </is>
      </c>
      <c r="L105" s="60" t="inlineStr">
        <is>
          <t>North Carolina; ~$5.15B</t>
        </is>
      </c>
      <c r="M105" s="60" t="n">
        <v>137</v>
      </c>
      <c r="N105" s="60" t="inlineStr">
        <is>
          <t>Raleigh</t>
        </is>
      </c>
      <c r="O105" s="60" t="inlineStr">
        <is>
          <t>Wake (NC)</t>
        </is>
      </c>
      <c r="P105" s="64" t="inlineStr">
        <is>
          <t>coastal24.com</t>
        </is>
      </c>
      <c r="Q105" s="65" t="inlineStr">
        <is>
          <t>Yes</t>
        </is>
      </c>
      <c r="R105" s="64" t="inlineStr">
        <is>
          <t>coastal24.com/products/business-services/business-visa</t>
        </is>
      </c>
      <c r="S105" s="65" t="inlineStr">
        <is>
          <t>Online</t>
        </is>
      </c>
      <c r="T105" s="60" t="inlineStr">
        <is>
          <t>coastal24.com business Visa application (online/PDF)</t>
        </is>
      </c>
      <c r="U105" s="65" t="inlineStr">
        <is>
          <t>Yes</t>
        </is>
      </c>
      <c r="V105" s="62" t="inlineStr">
        <is>
          <t>Self-issued (Coastal FCU)</t>
        </is>
      </c>
      <c r="W105" s="57" t="inlineStr">
        <is>
          <t>Yes (revolving)</t>
        </is>
      </c>
      <c r="X105" s="67" t="inlineStr">
        <is>
          <t>No</t>
        </is>
      </c>
      <c r="Y105" s="60" t="inlineStr">
        <is>
          <t>Business Visa: 14.75% fixed purchases / 16.75% cash adv, $0 AF, no penalty APR, BT 3%</t>
        </is>
      </c>
      <c r="Z105" s="60" t="inlineStr">
        <is>
          <t>Unknown</t>
        </is>
      </c>
      <c r="AA105" s="60" t="inlineStr">
        <is>
          <t>Reports to multiple bureaus (SuperMoney)</t>
        </is>
      </c>
      <c r="AB105" s="60" t="inlineStr">
        <is>
          <t>Unknown</t>
        </is>
      </c>
      <c r="AC105" s="60" t="inlineStr">
        <is>
          <t>Starts $5k; &gt;$25k total line needs docs; accepts ~600+ credit; PG</t>
        </is>
      </c>
      <c r="AD105" s="60" t="inlineStr">
        <is>
          <t>-</t>
        </is>
      </c>
      <c r="AE105" s="60" t="inlineStr">
        <is>
          <t>Membership req (OPEN: Coastal CU Foundation ~$18; $25 savings)</t>
        </is>
      </c>
      <c r="AF105" s="60" t="inlineStr">
        <is>
          <t>Business lending separate</t>
        </is>
      </c>
      <c r="AG105" s="60" t="inlineStr">
        <is>
          <t>SELF-ISSUED VERIFIED ('Coastal FCU authorized to issue'). Online apply, fair-credit-friendly.</t>
        </is>
      </c>
      <c r="AH105" s="64" t="inlineStr">
        <is>
          <t>coastal24.com/products/business-services/business-visa; Business-Visa-Application PDF</t>
        </is>
      </c>
    </row>
    <row r="106" ht="15.75" customHeight="1">
      <c r="A106" s="57" t="n"/>
      <c r="B106" s="58" t="inlineStr">
        <is>
          <t>A - Self-issued, apply online</t>
        </is>
      </c>
      <c r="C106" s="60" t="inlineStr">
        <is>
          <t>Fifth Third Bank</t>
        </is>
      </c>
      <c r="D106" s="60" t="inlineStr">
        <is>
          <t>2/4 (missing: apply online, SoCal)</t>
        </is>
      </c>
      <c r="E106" s="69" t="inlineStr">
        <is>
          <t>Bank</t>
        </is>
      </c>
      <c r="F106" s="67" t="inlineStr">
        <is>
          <t>No</t>
        </is>
      </c>
      <c r="G106" s="60" t="inlineStr">
        <is>
          <t>Out-of-state (national)</t>
        </is>
      </c>
      <c r="H106" s="82" t="inlineStr">
        <is>
          <t>NO CA branches - Midwest/SE (NOT CA-accessible)</t>
        </is>
      </c>
      <c r="I106" s="63" t="inlineStr">
        <is>
          <t>$5k-$25k (est; self-issued community pattern)</t>
        </is>
      </c>
      <c r="J106" s="60" t="inlineStr">
        <is>
          <t>~$210B</t>
        </is>
      </c>
      <c r="K106" s="60" t="inlineStr">
        <is>
          <t>~$165B</t>
        </is>
      </c>
      <c r="L106" s="60" t="inlineStr">
        <is>
          <t>National (Midwest/Southeast); ~1,100 branches</t>
        </is>
      </c>
      <c r="M106" s="60" t="n">
        <v>136</v>
      </c>
      <c r="N106" s="60" t="inlineStr">
        <is>
          <t>Cincinnati</t>
        </is>
      </c>
      <c r="O106" s="60" t="inlineStr">
        <is>
          <t>Hamilton (OH)</t>
        </is>
      </c>
      <c r="P106" s="64" t="inlineStr">
        <is>
          <t>53.com</t>
        </is>
      </c>
      <c r="Q106" s="65" t="inlineStr">
        <is>
          <t>Yes</t>
        </is>
      </c>
      <c r="R106" s="64" t="inlineStr">
        <is>
          <t>53.com/.../credit-card-solutions.html</t>
        </is>
      </c>
      <c r="S106" s="66" t="inlineStr">
        <is>
          <t>Partial online</t>
        </is>
      </c>
      <c r="T106" s="60" t="inlineStr">
        <is>
          <t>Online if enrolled customer; else branch/phone (866-671-5353)</t>
        </is>
      </c>
      <c r="U106" s="65" t="inlineStr">
        <is>
          <t>Yes</t>
        </is>
      </c>
      <c r="V106" s="62" t="inlineStr">
        <is>
          <t>Self-issued (Fifth Third Bank, N.A.)</t>
        </is>
      </c>
      <c r="W106" s="57" t="inlineStr">
        <is>
          <t>Yes (revolving)</t>
        </is>
      </c>
      <c r="X106" s="67" t="inlineStr">
        <is>
          <t>Varies</t>
        </is>
      </c>
      <c r="Y106" s="60" t="inlineStr">
        <is>
          <t>Business / Business Rewards MC &amp; Visa; variable APR cap 29.99%. (Simply Business closed to new apps)</t>
        </is>
      </c>
      <c r="Z106" s="60" t="inlineStr">
        <is>
          <t>Equifax-leaning (regional, inferred)</t>
        </is>
      </c>
      <c r="AA106" s="60" t="inlineStr">
        <is>
          <t>Unknown</t>
        </is>
      </c>
      <c r="AB106" s="60" t="inlineStr">
        <is>
          <t>Unknown</t>
        </is>
      </c>
      <c r="AC106" s="60" t="inlineStr">
        <is>
          <t>Sparse for business product</t>
        </is>
      </c>
      <c r="AD106" s="60" t="inlineStr">
        <is>
          <t>-</t>
        </is>
      </c>
      <c r="AE106" s="60" t="inlineStr">
        <is>
          <t>Online apply needs existing customer</t>
        </is>
      </c>
      <c r="AF106" s="60" t="inlineStr">
        <is>
          <t>No - commercial/SBA underwritten</t>
        </is>
      </c>
      <c r="AG106" s="60" t="inlineStr">
        <is>
          <t>SELF-ISSUED VERIFIED (agreement: 'Fifth Third Bank, N.A.'). Online limited to customers.</t>
        </is>
      </c>
      <c r="AH106" s="64" t="inlineStr">
        <is>
          <t>53.com/.../credit-card-solutions; business card agreement PDF</t>
        </is>
      </c>
    </row>
    <row r="107" ht="15.75" customHeight="1">
      <c r="A107" s="57" t="n"/>
      <c r="B107" s="59" t="inlineStr">
        <is>
          <t>B - Self-issued, in-person</t>
        </is>
      </c>
      <c r="C107" s="60" t="inlineStr">
        <is>
          <t>First Citizens Bank</t>
        </is>
      </c>
      <c r="D107" s="60" t="inlineStr">
        <is>
          <t>2/4 (missing: apply online, SoCal)</t>
        </is>
      </c>
      <c r="E107" s="69" t="inlineStr">
        <is>
          <t>Bank</t>
        </is>
      </c>
      <c r="F107" s="67" t="inlineStr">
        <is>
          <t>No</t>
        </is>
      </c>
      <c r="G107" s="60" t="inlineStr">
        <is>
          <t>Out-of-state (national)</t>
        </is>
      </c>
      <c r="H107" s="74" t="inlineStr">
        <is>
          <t>Partial CA presence (owns SVB, Santa Clara)</t>
        </is>
      </c>
      <c r="I107" s="63" t="inlineStr">
        <is>
          <t>$5k-$25k (est; self-issued community pattern)</t>
        </is>
      </c>
      <c r="J107" s="60" t="inlineStr">
        <is>
          <t>~$220B</t>
        </is>
      </c>
      <c r="K107" s="60" t="inlineStr">
        <is>
          <t>~$155B</t>
        </is>
      </c>
      <c r="L107" s="60" t="inlineStr">
        <is>
          <t>National (owns former SVB); ~500 branches</t>
        </is>
      </c>
      <c r="M107" s="60" t="n">
        <v>132</v>
      </c>
      <c r="N107" s="60" t="inlineStr">
        <is>
          <t>Raleigh</t>
        </is>
      </c>
      <c r="O107" s="60" t="inlineStr">
        <is>
          <t>Wake (NC)</t>
        </is>
      </c>
      <c r="P107" s="64" t="inlineStr">
        <is>
          <t>firstcitizens.com</t>
        </is>
      </c>
      <c r="Q107" s="65" t="inlineStr">
        <is>
          <t>Yes</t>
        </is>
      </c>
      <c r="R107" s="64" t="inlineStr">
        <is>
          <t>firstcitizens.com/small-business/credit-financing/credit-cards</t>
        </is>
      </c>
      <c r="S107" s="70" t="inlineStr">
        <is>
          <t>In-person</t>
        </is>
      </c>
      <c r="T107" s="60" t="inlineStr">
        <is>
          <t>Visit local branch</t>
        </is>
      </c>
      <c r="U107" s="65" t="inlineStr">
        <is>
          <t>Yes</t>
        </is>
      </c>
      <c r="V107" s="62" t="inlineStr">
        <is>
          <t>Self-issued (First-Citizens Bank &amp; Trust)</t>
        </is>
      </c>
      <c r="W107" s="57" t="inlineStr">
        <is>
          <t>Yes (revolving)</t>
        </is>
      </c>
      <c r="X107" s="66" t="inlineStr">
        <is>
          <t>Yes - 9 months (Cash Rewards)</t>
        </is>
      </c>
      <c r="Y107" s="60" t="inlineStr">
        <is>
          <t>Cash Rewards Business: 0% 9mo, go-to 15.49-24.49%, $0 AF, 5% utilities/wireless yr1. Also Rewards / Smart Option</t>
        </is>
      </c>
      <c r="Z107" s="60" t="inlineStr">
        <is>
          <t>Unknown</t>
        </is>
      </c>
      <c r="AA107" s="60" t="inlineStr">
        <is>
          <t>Unknown</t>
        </is>
      </c>
      <c r="AB107" s="60" t="inlineStr">
        <is>
          <t>Unknown</t>
        </is>
      </c>
      <c r="AC107" s="60" t="inlineStr">
        <is>
          <t>No reliable forum dataset</t>
        </is>
      </c>
      <c r="AD107" s="60" t="inlineStr">
        <is>
          <t>-</t>
        </is>
      </c>
      <c r="AE107" s="60" t="inlineStr">
        <is>
          <t>No online apply (branch)</t>
        </is>
      </c>
      <c r="AF107" s="60" t="inlineStr">
        <is>
          <t>No - SBA/commercial underwritten</t>
        </is>
      </c>
      <c r="AG107" s="60" t="inlineStr">
        <is>
          <t>SELF-ISSUED VERIFIED (First-Citizens Bank &amp; Trust). NO online apply (branch).</t>
        </is>
      </c>
      <c r="AH107" s="64" t="inlineStr">
        <is>
          <t>firstcitizens.com/.../cash-rewards</t>
        </is>
      </c>
    </row>
    <row r="108" ht="15.75" customHeight="1">
      <c r="A108" s="57" t="n"/>
      <c r="B108" s="59" t="inlineStr">
        <is>
          <t>B - Self-issued, in-person</t>
        </is>
      </c>
      <c r="C108" s="60" t="inlineStr">
        <is>
          <t>M&amp;T Bank</t>
        </is>
      </c>
      <c r="D108" s="60" t="inlineStr">
        <is>
          <t>2/4 (missing: apply online, SoCal)</t>
        </is>
      </c>
      <c r="E108" s="69" t="inlineStr">
        <is>
          <t>Bank</t>
        </is>
      </c>
      <c r="F108" s="67" t="inlineStr">
        <is>
          <t>No</t>
        </is>
      </c>
      <c r="G108" s="60" t="inlineStr">
        <is>
          <t>Out-of-state (national)</t>
        </is>
      </c>
      <c r="H108" s="82" t="inlineStr">
        <is>
          <t>NO CA branches - Northeast (NOT CA-accessible)</t>
        </is>
      </c>
      <c r="I108" s="63" t="inlineStr">
        <is>
          <t>$5k-$25k (est; self-issued community pattern)</t>
        </is>
      </c>
      <c r="J108" s="60" t="inlineStr">
        <is>
          <t>~$210B</t>
        </is>
      </c>
      <c r="K108" s="60" t="inlineStr">
        <is>
          <t>~$160B</t>
        </is>
      </c>
      <c r="L108" s="60" t="inlineStr">
        <is>
          <t>Northeast/Mid-Atlantic; ~1,000 branches</t>
        </is>
      </c>
      <c r="M108" s="60" t="n">
        <v>132</v>
      </c>
      <c r="N108" s="60" t="inlineStr">
        <is>
          <t>Buffalo</t>
        </is>
      </c>
      <c r="O108" s="60" t="inlineStr">
        <is>
          <t>Erie (NY)</t>
        </is>
      </c>
      <c r="P108" s="64" t="inlineStr">
        <is>
          <t>mtb.com</t>
        </is>
      </c>
      <c r="Q108" s="65" t="inlineStr">
        <is>
          <t>Yes</t>
        </is>
      </c>
      <c r="R108" s="64" t="inlineStr">
        <is>
          <t>mtb.com/business/business-financing/business-credit-card-options</t>
        </is>
      </c>
      <c r="S108" s="70" t="inlineStr">
        <is>
          <t>In-person</t>
        </is>
      </c>
      <c r="T108" s="60" t="inlineStr">
        <is>
          <t>Appointment/phone (866-236-1219); no online app</t>
        </is>
      </c>
      <c r="U108" s="65" t="inlineStr">
        <is>
          <t>Yes</t>
        </is>
      </c>
      <c r="V108" s="62" t="inlineStr">
        <is>
          <t>Self-issued (M&amp;T Bank)</t>
        </is>
      </c>
      <c r="W108" s="57" t="inlineStr">
        <is>
          <t>Yes (revolving)</t>
        </is>
      </c>
      <c r="X108" s="66" t="inlineStr">
        <is>
          <t>Yes - 9 cycles (Rewards) / 12 cycles (Business Card)</t>
        </is>
      </c>
      <c r="Y108" s="60" t="inlineStr">
        <is>
          <t>Business Rewards: 0% 9 cycles, 16.74-23.74%, $0 AF, 1.5 pts/$1. Business Card: 0% 12 cycles, 13.74-20.74%</t>
        </is>
      </c>
      <c r="Z108" s="60" t="inlineStr">
        <is>
          <t>Unknown</t>
        </is>
      </c>
      <c r="AA108" s="60" t="inlineStr">
        <is>
          <t>Unknown</t>
        </is>
      </c>
      <c r="AB108" s="60" t="inlineStr">
        <is>
          <t>Unknown</t>
        </is>
      </c>
      <c r="AC108" s="60" t="inlineStr">
        <is>
          <t>No reliable forum dataset</t>
        </is>
      </c>
      <c r="AD108" s="60" t="inlineStr">
        <is>
          <t>-</t>
        </is>
      </c>
      <c r="AE108" s="60" t="inlineStr">
        <is>
          <t>No online apply (appointment/phone)</t>
        </is>
      </c>
      <c r="AF108" s="60" t="inlineStr">
        <is>
          <t>No - commercial/SBA underwritten</t>
        </is>
      </c>
      <c r="AG108" s="60" t="inlineStr">
        <is>
          <t>SELF-ISSUED VERIFIED ('M&amp;T Bank...issuer and account creditor'). NO online apply.</t>
        </is>
      </c>
      <c r="AH108" s="64" t="inlineStr">
        <is>
          <t>mtb.com/business/.../m-and-t-business-rewards-credit-card</t>
        </is>
      </c>
    </row>
    <row r="109" ht="15.75" customHeight="1">
      <c r="A109" s="57" t="n"/>
      <c r="B109" s="58" t="inlineStr">
        <is>
          <t>A - Self-issued, apply online</t>
        </is>
      </c>
      <c r="C109" s="60" t="inlineStr">
        <is>
          <t>Truliant FCU</t>
        </is>
      </c>
      <c r="D109" s="60" t="inlineStr">
        <is>
          <t>2/4 (missing: apply online, SoCal)</t>
        </is>
      </c>
      <c r="E109" s="61" t="inlineStr">
        <is>
          <t>Credit Union</t>
        </is>
      </c>
      <c r="F109" s="67" t="inlineStr">
        <is>
          <t>No</t>
        </is>
      </c>
      <c r="G109" s="60" t="inlineStr">
        <is>
          <t>Out-of-state (national)</t>
        </is>
      </c>
      <c r="H109" s="62" t="inlineStr">
        <is>
          <t>CU - membership restricted (ACC limited to GA/NC/SC/TN/VA)</t>
        </is>
      </c>
      <c r="I109" s="63" t="inlineStr">
        <is>
          <t>Up to $50k (marketed)</t>
        </is>
      </c>
      <c r="J109" s="60" t="inlineStr">
        <is>
          <t>~$5.4B</t>
        </is>
      </c>
      <c r="K109" s="60" t="inlineStr">
        <is>
          <t>~$4.6B (shares)</t>
        </is>
      </c>
      <c r="L109" s="60" t="inlineStr">
        <is>
          <t>NC/SC/GA/TN/VA; ~$5.4B</t>
        </is>
      </c>
      <c r="M109" s="60" t="n">
        <v>132</v>
      </c>
      <c r="N109" s="60" t="inlineStr">
        <is>
          <t>Winston-Salem</t>
        </is>
      </c>
      <c r="O109" s="60" t="inlineStr">
        <is>
          <t>Forsyth (NC)</t>
        </is>
      </c>
      <c r="P109" s="64" t="inlineStr">
        <is>
          <t>truliantfcu.org</t>
        </is>
      </c>
      <c r="Q109" s="65" t="inlineStr">
        <is>
          <t>Yes</t>
        </is>
      </c>
      <c r="R109" s="64" t="inlineStr">
        <is>
          <t>truliantfcu.org/business/borrow/credit-cards</t>
        </is>
      </c>
      <c r="S109" s="66" t="inlineStr">
        <is>
          <t>Partial online</t>
        </is>
      </c>
      <c r="T109" s="60" t="inlineStr">
        <is>
          <t>Business contact form (not instant online)</t>
        </is>
      </c>
      <c r="U109" s="65" t="inlineStr">
        <is>
          <t>Yes</t>
        </is>
      </c>
      <c r="V109" s="62" t="inlineStr">
        <is>
          <t>Self-issued (Truliant FCU)</t>
        </is>
      </c>
      <c r="W109" s="57" t="inlineStr">
        <is>
          <t>Yes (revolving)</t>
        </is>
      </c>
      <c r="X109" s="66" t="inlineStr">
        <is>
          <t>Yes - 9 months 0% on purchases</t>
        </is>
      </c>
      <c r="Y109" s="60" t="inlineStr">
        <is>
          <t>MaxBack Business Visa: 0% 9mo then 15.99-17.99% var (18% cap), $0 AF, 1.5% cash back, $300 bonus, up to $50k</t>
        </is>
      </c>
      <c r="Z109" s="60" t="inlineStr">
        <is>
          <t>Unknown (agreement reports to bureaus)</t>
        </is>
      </c>
      <c r="AA109" s="60" t="inlineStr">
        <is>
          <t>Unknown</t>
        </is>
      </c>
      <c r="AB109" s="60" t="inlineStr">
        <is>
          <t>Unknown</t>
        </is>
      </c>
      <c r="AC109" s="60" t="inlineStr">
        <is>
          <t>Up to $50k marketed; PG; security interest in shares</t>
        </is>
      </c>
      <c r="AD109" s="60" t="inlineStr">
        <is>
          <t>-</t>
        </is>
      </c>
      <c r="AE109" s="60" t="inlineStr">
        <is>
          <t>Membership req (OPEN: American Consumer Council; GA/NC/SC/TN/VA)</t>
        </is>
      </c>
      <c r="AF109" s="60" t="inlineStr">
        <is>
          <t>Business lending separate</t>
        </is>
      </c>
      <c r="AG109" s="60" t="inlineStr">
        <is>
          <t>SELF-ISSUED VERIFIED (own filed agreement, NC law). 0% 9mo + 1.5% cash back. Strong national self-issuer.</t>
        </is>
      </c>
      <c r="AH109" s="64" t="inlineStr">
        <is>
          <t>truliantfcu.org/business/borrow/credit-cards; G-17928 Visa Business PDF</t>
        </is>
      </c>
    </row>
    <row r="110" ht="15.75" customHeight="1">
      <c r="A110" s="57" t="n"/>
      <c r="B110" s="58" t="inlineStr">
        <is>
          <t>A - Self-issued, apply online</t>
        </is>
      </c>
      <c r="C110" s="60" t="inlineStr">
        <is>
          <t>ESL FCU</t>
        </is>
      </c>
      <c r="D110" s="60" t="inlineStr">
        <is>
          <t>2/4 (missing: apply online, SoCal)</t>
        </is>
      </c>
      <c r="E110" s="61" t="inlineStr">
        <is>
          <t>Credit Union</t>
        </is>
      </c>
      <c r="F110" s="67" t="inlineStr">
        <is>
          <t>No</t>
        </is>
      </c>
      <c r="G110" s="60" t="inlineStr">
        <is>
          <t>Out-of-state (national)</t>
        </is>
      </c>
      <c r="H110" s="62" t="inlineStr">
        <is>
          <t>CU - joinable from CA (George Eastman Museum ~$55)</t>
        </is>
      </c>
      <c r="I110" s="63" t="inlineStr">
        <is>
          <t>$5k-$25k (est; self-issued community pattern)</t>
        </is>
      </c>
      <c r="J110" s="60" t="inlineStr">
        <is>
          <t>~$10.6B</t>
        </is>
      </c>
      <c r="K110" s="60" t="inlineStr">
        <is>
          <t>~$9B (shares)</t>
        </is>
      </c>
      <c r="L110" s="60" t="inlineStr">
        <is>
          <t>Rochester NY area; ~$10.6B</t>
        </is>
      </c>
      <c r="M110" s="60" t="n">
        <v>131</v>
      </c>
      <c r="N110" s="60" t="inlineStr">
        <is>
          <t>Rochester</t>
        </is>
      </c>
      <c r="O110" s="60" t="inlineStr">
        <is>
          <t>Monroe (NY)</t>
        </is>
      </c>
      <c r="P110" s="64" t="inlineStr">
        <is>
          <t>esl.org</t>
        </is>
      </c>
      <c r="Q110" s="65" t="inlineStr">
        <is>
          <t>Yes</t>
        </is>
      </c>
      <c r="R110" s="64" t="inlineStr">
        <is>
          <t>esl.org/business/small-business/credit-cards/visa-business-credit-card</t>
        </is>
      </c>
      <c r="S110" s="66" t="inlineStr">
        <is>
          <t>Partial online</t>
        </is>
      </c>
      <c r="T110" s="60" t="inlineStr">
        <is>
          <t>esl.org (online/branch; Rochester area)</t>
        </is>
      </c>
      <c r="U110" s="65" t="inlineStr">
        <is>
          <t>Yes</t>
        </is>
      </c>
      <c r="V110" s="62" t="inlineStr">
        <is>
          <t>Self-issued (ESL FCU)</t>
        </is>
      </c>
      <c r="W110" s="57" t="inlineStr">
        <is>
          <t>Yes (revolving)</t>
        </is>
      </c>
      <c r="X110" s="66" t="inlineStr">
        <is>
          <t>Low: 3.99% intro 6 cycles (not 0%)</t>
        </is>
      </c>
      <c r="Y110" s="60" t="inlineStr">
        <is>
          <t>Visa Business: 3.99% intro 6mo then Prime+6.74% var, $0 AF ($50 if Rewards), no CA/BT fee</t>
        </is>
      </c>
      <c r="Z110" s="60" t="inlineStr">
        <is>
          <t>Unknown</t>
        </is>
      </c>
      <c r="AA110" s="60" t="inlineStr">
        <is>
          <t>Unknown</t>
        </is>
      </c>
      <c r="AB110" s="60" t="inlineStr">
        <is>
          <t>Unknown</t>
        </is>
      </c>
      <c r="AC110" s="60" t="inlineStr">
        <is>
          <t>None found</t>
        </is>
      </c>
      <c r="AD110" s="60" t="inlineStr">
        <is>
          <t>-</t>
        </is>
      </c>
      <c r="AE110" s="60" t="inlineStr">
        <is>
          <t>Membership req (Rochester area; open via George Eastman Museum ~$55)</t>
        </is>
      </c>
      <c r="AF110" s="60" t="inlineStr">
        <is>
          <t>Business lending separate</t>
        </is>
      </c>
      <c r="AG110" s="60" t="inlineStr">
        <is>
          <t>SELF-ISSUED VERIFIED (agreement 'ESL FCU', NY law). Fiserv servicing only.</t>
        </is>
      </c>
      <c r="AH110" s="64" t="inlineStr">
        <is>
          <t>esl.org business_visa_terms_conditions.pdf</t>
        </is>
      </c>
    </row>
    <row r="111" ht="15.75" customHeight="1">
      <c r="A111" s="57" t="n"/>
      <c r="B111" s="59" t="inlineStr">
        <is>
          <t>B - Self-issued, in-person</t>
        </is>
      </c>
      <c r="C111" s="60" t="inlineStr">
        <is>
          <t>Avidbank</t>
        </is>
      </c>
      <c r="D111" s="60" t="inlineStr">
        <is>
          <t>2/4 (missing: apply online, SoCal)</t>
        </is>
      </c>
      <c r="E111" s="69" t="inlineStr">
        <is>
          <t>Bank</t>
        </is>
      </c>
      <c r="F111" s="67" t="inlineStr">
        <is>
          <t>No</t>
        </is>
      </c>
      <c r="G111" s="60" t="inlineStr">
        <is>
          <t>Other California</t>
        </is>
      </c>
      <c r="H111" s="62" t="inlineStr">
        <is>
          <t>CA-HQ (NorCal/Central CA)</t>
        </is>
      </c>
      <c r="I111" s="63" t="inlineStr">
        <is>
          <t>$5k-$25k (est; self-issued community pattern)</t>
        </is>
      </c>
      <c r="J111" s="60" t="inlineStr">
        <is>
          <t>$2.36B</t>
        </is>
      </c>
      <c r="K111" s="60" t="inlineStr">
        <is>
          <t>$2.06B</t>
        </is>
      </c>
      <c r="L111" s="60" t="inlineStr">
        <is>
          <t>Bay Area commercial/tech bank</t>
        </is>
      </c>
      <c r="M111" s="60" t="n">
        <v>130</v>
      </c>
      <c r="N111" s="60" t="inlineStr">
        <is>
          <t>San Jose</t>
        </is>
      </c>
      <c r="O111" s="60" t="inlineStr">
        <is>
          <t>Santa Clara</t>
        </is>
      </c>
      <c r="P111" s="64" t="inlineStr">
        <is>
          <t>avidbank.com</t>
        </is>
      </c>
      <c r="Q111" s="65" t="inlineStr">
        <is>
          <t>Yes</t>
        </is>
      </c>
      <c r="R111" s="64" t="inlineStr">
        <is>
          <t>avidbank.com/treasury-management</t>
        </is>
      </c>
      <c r="S111" s="70" t="inlineStr">
        <is>
          <t>In-person</t>
        </is>
      </c>
      <c r="T111" s="60" t="inlineStr">
        <is>
          <t>Treasury Mgmt / relationship officer (portal avidbank.myapexcard.com)</t>
        </is>
      </c>
      <c r="U111" s="65" t="inlineStr">
        <is>
          <t>Yes</t>
        </is>
      </c>
      <c r="V111" s="62" t="inlineStr">
        <is>
          <t>Self-issued (Avidbank, via CorServ Account-Issuer)</t>
        </is>
      </c>
      <c r="W111" s="57" t="inlineStr">
        <is>
          <t>Yes (revolving)</t>
        </is>
      </c>
      <c r="X111" s="67" t="inlineStr">
        <is>
          <t>Unknown</t>
        </is>
      </c>
      <c r="Y111" s="60" t="inlineStr">
        <is>
          <t>Corporate Credit Card + Purchasing Card (virtual/fleet, ERP, Level 2/3); terms not published</t>
        </is>
      </c>
      <c r="Z111" s="60" t="inlineStr">
        <is>
          <t>Unknown</t>
        </is>
      </c>
      <c r="AA111" s="60" t="inlineStr">
        <is>
          <t>Unknown</t>
        </is>
      </c>
      <c r="AB111" s="60" t="inlineStr">
        <is>
          <t>Unknown</t>
        </is>
      </c>
      <c r="AC111" s="60" t="inlineStr">
        <is>
          <t>None found</t>
        </is>
      </c>
      <c r="AD111" s="60" t="inlineStr">
        <is>
          <t>-</t>
        </is>
      </c>
      <c r="AE111" s="60" t="inlineStr">
        <is>
          <t>Yes (commercial relationship)</t>
        </is>
      </c>
      <c r="AF111" s="60" t="inlineStr">
        <is>
          <t>No - commercial underwritten</t>
        </is>
      </c>
      <c r="AG111" s="60" t="inlineStr">
        <is>
          <t>SELF-ISSUED INFERRED (CorServ Account-Issuer model: bank owns loans/credit decisions). 'Creditor' line not located. Commercial, no online app.</t>
        </is>
      </c>
      <c r="AH111" s="64" t="inlineStr">
        <is>
          <t>corservsolutions.com (Avidbank PR); avidbank.com/treasury-management</t>
        </is>
      </c>
    </row>
    <row r="112" ht="15.75" customHeight="1">
      <c r="A112" s="57" t="n"/>
      <c r="B112" s="59" t="inlineStr">
        <is>
          <t>B - Self-issued, in-person</t>
        </is>
      </c>
      <c r="C112" s="60" t="inlineStr">
        <is>
          <t>Beneficial State Bank</t>
        </is>
      </c>
      <c r="D112" s="60" t="inlineStr">
        <is>
          <t>2/4 (missing: apply online, SoCal)</t>
        </is>
      </c>
      <c r="E112" s="69" t="inlineStr">
        <is>
          <t>Bank</t>
        </is>
      </c>
      <c r="F112" s="67" t="inlineStr">
        <is>
          <t>No</t>
        </is>
      </c>
      <c r="G112" s="60" t="inlineStr">
        <is>
          <t>Other California</t>
        </is>
      </c>
      <c r="H112" s="62" t="inlineStr">
        <is>
          <t>CA-HQ (NorCal/Central CA)</t>
        </is>
      </c>
      <c r="I112" s="63" t="inlineStr">
        <is>
          <t>$5k-$25k (est; self-issued community pattern)</t>
        </is>
      </c>
      <c r="J112" s="60" t="inlineStr">
        <is>
          <t>$1.92B</t>
        </is>
      </c>
      <c r="K112" s="60" t="inlineStr">
        <is>
          <t>$1.64B</t>
        </is>
      </c>
      <c r="L112" s="60" t="inlineStr">
        <is>
          <t>Mission/CDFI bank; CA/OR/WA</t>
        </is>
      </c>
      <c r="M112" s="60" t="n">
        <v>130</v>
      </c>
      <c r="N112" s="60" t="inlineStr">
        <is>
          <t>Oakland</t>
        </is>
      </c>
      <c r="O112" s="60" t="inlineStr">
        <is>
          <t>Alameda</t>
        </is>
      </c>
      <c r="P112" s="64" t="inlineStr">
        <is>
          <t>beneficialstatebank.com</t>
        </is>
      </c>
      <c r="Q112" s="65" t="inlineStr">
        <is>
          <t>Yes</t>
        </is>
      </c>
      <c r="R112" s="64" t="inlineStr">
        <is>
          <t>beneficialstatebank.com/business-banking/credit-cards</t>
        </is>
      </c>
      <c r="S112" s="70" t="inlineStr">
        <is>
          <t>In-person</t>
        </is>
      </c>
      <c r="T112" s="60" t="inlineStr">
        <is>
          <t>Contact primary officer/client team (no online app)</t>
        </is>
      </c>
      <c r="U112" s="65" t="inlineStr">
        <is>
          <t>Yes</t>
        </is>
      </c>
      <c r="V112" s="62" t="inlineStr">
        <is>
          <t>Self-issued (Beneficial State Bank)</t>
        </is>
      </c>
      <c r="W112" s="57" t="inlineStr">
        <is>
          <t>Yes (revolving)</t>
        </is>
      </c>
      <c r="X112" s="67" t="inlineStr">
        <is>
          <t>Unknown (25-day grace)</t>
        </is>
      </c>
      <c r="Y112" s="60" t="inlineStr">
        <is>
          <t>Business cards (2); Prime-based variable; $0 AF (consumer line)</t>
        </is>
      </c>
      <c r="Z112" s="60" t="inlineStr">
        <is>
          <t>Unknown</t>
        </is>
      </c>
      <c r="AA112" s="60" t="inlineStr">
        <is>
          <t>Unknown</t>
        </is>
      </c>
      <c r="AB112" s="60" t="inlineStr">
        <is>
          <t>Unknown</t>
        </is>
      </c>
      <c r="AC112" s="60" t="inlineStr">
        <is>
          <t>None found</t>
        </is>
      </c>
      <c r="AD112" s="60" t="inlineStr">
        <is>
          <t>-</t>
        </is>
      </c>
      <c r="AE112" s="60" t="inlineStr">
        <is>
          <t>Officer-gated (business)</t>
        </is>
      </c>
      <c r="AF112" s="60" t="inlineStr">
        <is>
          <t>No - mission/commercial underwritten</t>
        </is>
      </c>
      <c r="AG112" s="60" t="inlineStr">
        <is>
          <t>SELF-ISSUED VERIFIED - Beneficial State Bank is issuer of record (CFPB CARD Act filing; not TCM/Elan). Business card officer-gated; CA/OR/WA only.</t>
        </is>
      </c>
      <c r="AH112" s="64" t="inlineStr">
        <is>
          <t>beneficialstatebank.com/business-banking/credit-cards</t>
        </is>
      </c>
    </row>
    <row r="113" ht="15.75" customHeight="1">
      <c r="A113" s="57" t="n"/>
      <c r="B113" s="59" t="inlineStr">
        <is>
          <t>B - Self-issued, in-person</t>
        </is>
      </c>
      <c r="C113" s="60" t="inlineStr">
        <is>
          <t>San Francisco Federal Credit Union</t>
        </is>
      </c>
      <c r="D113" s="60" t="inlineStr">
        <is>
          <t>2/4 (missing: apply online, SoCal)</t>
        </is>
      </c>
      <c r="E113" s="61" t="inlineStr">
        <is>
          <t>Credit Union</t>
        </is>
      </c>
      <c r="F113" s="67" t="inlineStr">
        <is>
          <t>No</t>
        </is>
      </c>
      <c r="G113" s="60" t="inlineStr">
        <is>
          <t>Other California</t>
        </is>
      </c>
      <c r="H113" s="62" t="inlineStr">
        <is>
          <t>CA-HQ (NorCal/Central CA)</t>
        </is>
      </c>
      <c r="I113" s="63" t="inlineStr">
        <is>
          <t>$5k-$25k (est; self-issued community pattern)</t>
        </is>
      </c>
      <c r="J113" s="60" t="inlineStr">
        <is>
          <t>~$1.3B</t>
        </is>
      </c>
      <c r="K113" s="60" t="inlineStr">
        <is>
          <t>~$1.1B (shares)</t>
        </is>
      </c>
      <c r="L113" s="60" t="inlineStr">
        <is>
          <t>SF + San Mateo counties; ~46k members</t>
        </is>
      </c>
      <c r="M113" s="60" t="n">
        <v>130</v>
      </c>
      <c r="N113" s="60" t="inlineStr">
        <is>
          <t>San Francisco</t>
        </is>
      </c>
      <c r="O113" s="60" t="inlineStr">
        <is>
          <t>San Francisco</t>
        </is>
      </c>
      <c r="P113" s="64" t="inlineStr">
        <is>
          <t>sanfranciscofcu.com</t>
        </is>
      </c>
      <c r="Q113" s="65" t="inlineStr">
        <is>
          <t>Yes</t>
        </is>
      </c>
      <c r="R113" s="64" t="inlineStr">
        <is>
          <t>sanfranciscofcu.com/business-credit-cards/</t>
        </is>
      </c>
      <c r="S113" s="70" t="inlineStr">
        <is>
          <t>In-person</t>
        </is>
      </c>
      <c r="T113" s="60" t="inlineStr">
        <is>
          <t>Call ext. 2966 / in-person</t>
        </is>
      </c>
      <c r="U113" s="65" t="inlineStr">
        <is>
          <t>Yes</t>
        </is>
      </c>
      <c r="V113" s="62" t="inlineStr">
        <is>
          <t>Self-issued (SF FCU)</t>
        </is>
      </c>
      <c r="W113" s="57" t="inlineStr">
        <is>
          <t>Yes (revolving)</t>
        </is>
      </c>
      <c r="X113" s="67" t="inlineStr">
        <is>
          <t>No (BT fee waived first 60 days)</t>
        </is>
      </c>
      <c r="Y113" s="60" t="inlineStr">
        <is>
          <t>Business Visa Platinum Rewards: 6.70-17.99% var (eff 1/1/26), $0 AF, 1% rewards (to Share acct, $500/yr cap), no FX</t>
        </is>
      </c>
      <c r="Z113" s="60" t="inlineStr">
        <is>
          <t>Unknown</t>
        </is>
      </c>
      <c r="AA113" s="60" t="inlineStr">
        <is>
          <t>Unknown</t>
        </is>
      </c>
      <c r="AB113" s="60" t="inlineStr">
        <is>
          <t>Unknown</t>
        </is>
      </c>
      <c r="AC113" s="60" t="inlineStr">
        <is>
          <t>None found</t>
        </is>
      </c>
      <c r="AD113" s="60" t="inlineStr">
        <is>
          <t>-</t>
        </is>
      </c>
      <c r="AE113" s="60" t="inlineStr">
        <is>
          <t>Membership req (SF + San Mateo counties)</t>
        </is>
      </c>
      <c r="AF113" s="60" t="inlineStr">
        <is>
          <t>Business lending separate</t>
        </is>
      </c>
      <c r="AG113" s="60" t="inlineStr">
        <is>
          <t>SELF-ISSUED VERIFIED (own terms; rewards auto-deposit to Share account, not Elan). Phone/in-person apply.</t>
        </is>
      </c>
      <c r="AH113" s="64" t="inlineStr">
        <is>
          <t>sanfranciscofcu.com/business-credit-cards/</t>
        </is>
      </c>
    </row>
    <row r="114" ht="15.75" customHeight="1">
      <c r="A114" s="57" t="n"/>
      <c r="B114" s="59" t="inlineStr">
        <is>
          <t>B - Self-issued, in-person</t>
        </is>
      </c>
      <c r="C114" s="60" t="inlineStr">
        <is>
          <t>KeyBank</t>
        </is>
      </c>
      <c r="D114" s="60" t="inlineStr">
        <is>
          <t>2/4 (missing: apply online, SoCal)</t>
        </is>
      </c>
      <c r="E114" s="69" t="inlineStr">
        <is>
          <t>Bank</t>
        </is>
      </c>
      <c r="F114" s="67" t="inlineStr">
        <is>
          <t>No</t>
        </is>
      </c>
      <c r="G114" s="60" t="inlineStr">
        <is>
          <t>Out-of-state (national)</t>
        </is>
      </c>
      <c r="H114" s="82" t="inlineStr">
        <is>
          <t>NO CA branches (NOT CA-accessible)</t>
        </is>
      </c>
      <c r="I114" s="63" t="inlineStr">
        <is>
          <t>$5k-$25k (est; self-issued community pattern)</t>
        </is>
      </c>
      <c r="J114" s="60" t="inlineStr">
        <is>
          <t>~$190B</t>
        </is>
      </c>
      <c r="K114" s="60" t="inlineStr">
        <is>
          <t>~$150B</t>
        </is>
      </c>
      <c r="L114" s="60" t="inlineStr">
        <is>
          <t>National; ~1,000 branches (15 states)</t>
        </is>
      </c>
      <c r="M114" s="60" t="n">
        <v>129</v>
      </c>
      <c r="N114" s="60" t="inlineStr">
        <is>
          <t>Cleveland</t>
        </is>
      </c>
      <c r="O114" s="60" t="inlineStr">
        <is>
          <t>Cuyahoga (OH)</t>
        </is>
      </c>
      <c r="P114" s="64" t="inlineStr">
        <is>
          <t>key.com</t>
        </is>
      </c>
      <c r="Q114" s="65" t="inlineStr">
        <is>
          <t>Yes</t>
        </is>
      </c>
      <c r="R114" s="64" t="inlineStr">
        <is>
          <t>key.com/small-business/banking/credit-cards</t>
        </is>
      </c>
      <c r="S114" s="70" t="inlineStr">
        <is>
          <t>In-person</t>
        </is>
      </c>
      <c r="T114" s="60" t="inlineStr">
        <is>
          <t>Call or visit branch / schedule appointment</t>
        </is>
      </c>
      <c r="U114" s="65" t="inlineStr">
        <is>
          <t>Yes</t>
        </is>
      </c>
      <c r="V114" s="62" t="inlineStr">
        <is>
          <t>Self-issued (KeyBank N.A.)</t>
        </is>
      </c>
      <c r="W114" s="57" t="inlineStr">
        <is>
          <t>Yes (revolving)</t>
        </is>
      </c>
      <c r="X114" s="67" t="inlineStr">
        <is>
          <t>Intro BT within 60 days; no purchase 0% noted</t>
        </is>
      </c>
      <c r="Y114" s="60" t="inlineStr">
        <is>
          <t>Business Cash Rewards / Business Rewards / Business Card (MC); APR 17.49-27.49% var</t>
        </is>
      </c>
      <c r="Z114" s="60" t="inlineStr">
        <is>
          <t>Unknown (not named)</t>
        </is>
      </c>
      <c r="AA114" s="60" t="inlineStr">
        <is>
          <t>Unknown</t>
        </is>
      </c>
      <c r="AB114" s="60" t="inlineStr">
        <is>
          <t>No - 'we do not report to personal bureaus' (VERIFIED)</t>
        </is>
      </c>
      <c r="AC114" s="60" t="inlineStr">
        <is>
          <t>Thin business forum data</t>
        </is>
      </c>
      <c r="AD114" s="60" t="inlineStr">
        <is>
          <t>-</t>
        </is>
      </c>
      <c r="AE114" s="60" t="inlineStr">
        <is>
          <t>No card online apply (branch/phone)</t>
        </is>
      </c>
      <c r="AF114" s="60" t="inlineStr">
        <is>
          <t>No - commercial/SBA underwritten</t>
        </is>
      </c>
      <c r="AG114" s="60" t="inlineStr">
        <is>
          <t>SELF-ISSUED VERIFIED ('creditor and issuer is KeyBank N.A.'). NO online apply.</t>
        </is>
      </c>
      <c r="AH114" s="64" t="inlineStr">
        <is>
          <t>key.com/.../business-credit-card-faq.html</t>
        </is>
      </c>
    </row>
    <row r="115" ht="15.75" customHeight="1">
      <c r="A115" s="57" t="n"/>
      <c r="B115" s="58" t="inlineStr">
        <is>
          <t>A - Self-issued, apply online</t>
        </is>
      </c>
      <c r="C115" s="60" t="inlineStr">
        <is>
          <t>Mountain America Credit Union</t>
        </is>
      </c>
      <c r="D115" s="60" t="inlineStr">
        <is>
          <t>2/4 (missing: apply online, SoCal)</t>
        </is>
      </c>
      <c r="E115" s="61" t="inlineStr">
        <is>
          <t>Credit Union</t>
        </is>
      </c>
      <c r="F115" s="67" t="inlineStr">
        <is>
          <t>No</t>
        </is>
      </c>
      <c r="G115" s="60" t="inlineStr">
        <is>
          <t>Out-of-state (national)</t>
        </is>
      </c>
      <c r="H115" s="62" t="inlineStr">
        <is>
          <t>CU - joinable from CA (American Consumer Council $5)</t>
        </is>
      </c>
      <c r="I115" s="63" t="inlineStr">
        <is>
          <t>$5k-$25k (est; self-issued community pattern)</t>
        </is>
      </c>
      <c r="J115" s="60" t="inlineStr">
        <is>
          <t>~$22.6B</t>
        </is>
      </c>
      <c r="K115" s="60" t="inlineStr">
        <is>
          <t>~$19B (shares)</t>
        </is>
      </c>
      <c r="L115" s="60" t="inlineStr">
        <is>
          <t>UT/ID/AZ/NV/NM/MT +; ~$22.6B</t>
        </is>
      </c>
      <c r="M115" s="60" t="n">
        <v>129</v>
      </c>
      <c r="N115" s="60" t="inlineStr">
        <is>
          <t>Sandy</t>
        </is>
      </c>
      <c r="O115" s="60" t="inlineStr">
        <is>
          <t>Salt Lake (UT)</t>
        </is>
      </c>
      <c r="P115" s="64" t="inlineStr">
        <is>
          <t>macu.com</t>
        </is>
      </c>
      <c r="Q115" s="65" t="inlineStr">
        <is>
          <t>Yes</t>
        </is>
      </c>
      <c r="R115" s="64" t="inlineStr">
        <is>
          <t>macu.com/business/visa-cards</t>
        </is>
      </c>
      <c r="S115" s="66" t="inlineStr">
        <is>
          <t>Partial online</t>
        </is>
      </c>
      <c r="T115" s="60" t="inlineStr">
        <is>
          <t>macu.com (online/branch)</t>
        </is>
      </c>
      <c r="U115" s="65" t="inlineStr">
        <is>
          <t>Yes</t>
        </is>
      </c>
      <c r="V115" s="62" t="inlineStr">
        <is>
          <t>Self-issued (Mountain America FCU)</t>
        </is>
      </c>
      <c r="W115" s="57" t="inlineStr">
        <is>
          <t>Yes (revolving)</t>
        </is>
      </c>
      <c r="X115" s="67" t="inlineStr">
        <is>
          <t>No</t>
        </is>
      </c>
      <c r="Y115" s="60" t="inlineStr">
        <is>
          <t>Business Visa Platinum 13.25% / Rewards 15.25% var, $0 AF, no BT/over-limit fee, 25-day grace</t>
        </is>
      </c>
      <c r="Z115" s="60" t="inlineStr">
        <is>
          <t>Unknown</t>
        </is>
      </c>
      <c r="AA115" s="60" t="inlineStr">
        <is>
          <t>Unknown</t>
        </is>
      </c>
      <c r="AB115" s="60" t="inlineStr">
        <is>
          <t>Unknown</t>
        </is>
      </c>
      <c r="AC115" s="60" t="inlineStr">
        <is>
          <t>None found</t>
        </is>
      </c>
      <c r="AD115" s="60" t="inlineStr">
        <is>
          <t>-</t>
        </is>
      </c>
      <c r="AE115" s="60" t="inlineStr">
        <is>
          <t>Membership req (SEG/assoc + family; $1 savings)</t>
        </is>
      </c>
      <c r="AF115" s="60" t="inlineStr">
        <is>
          <t>Business lending separate</t>
        </is>
      </c>
      <c r="AG115" s="60" t="inlineStr">
        <is>
          <t>SELF-ISSUED VERIFIED (agreement: 'Mountain America FCU').</t>
        </is>
      </c>
      <c r="AH115" s="64" t="inlineStr">
        <is>
          <t>macu.com/media/pdf/business-visa-disclosure.pdf</t>
        </is>
      </c>
    </row>
    <row r="116" ht="15.75" customHeight="1">
      <c r="A116" s="57" t="n"/>
      <c r="B116" s="58" t="inlineStr">
        <is>
          <t>A - Self-issued, apply online</t>
        </is>
      </c>
      <c r="C116" s="60" t="inlineStr">
        <is>
          <t>Security Service FCU</t>
        </is>
      </c>
      <c r="D116" s="60" t="inlineStr">
        <is>
          <t>2/4 (missing: apply online, SoCal)</t>
        </is>
      </c>
      <c r="E116" s="61" t="inlineStr">
        <is>
          <t>Credit Union</t>
        </is>
      </c>
      <c r="F116" s="67" t="inlineStr">
        <is>
          <t>No</t>
        </is>
      </c>
      <c r="G116" s="60" t="inlineStr">
        <is>
          <t>Out-of-state (national)</t>
        </is>
      </c>
      <c r="H116" s="74" t="inlineStr">
        <is>
          <t>CU - partial (military, or TX/CO/UT councils)</t>
        </is>
      </c>
      <c r="I116" s="63" t="inlineStr">
        <is>
          <t>$5k-$25k (est; self-issued community pattern)</t>
        </is>
      </c>
      <c r="J116" s="60" t="inlineStr">
        <is>
          <t>~$13.6B</t>
        </is>
      </c>
      <c r="K116" s="60" t="inlineStr">
        <is>
          <t>~$11B (shares)</t>
        </is>
      </c>
      <c r="L116" s="60" t="inlineStr">
        <is>
          <t>TX/CO/UT + military nationwide; ~$13.6B</t>
        </is>
      </c>
      <c r="M116" s="60" t="n">
        <v>129</v>
      </c>
      <c r="N116" s="60" t="inlineStr">
        <is>
          <t>San Antonio</t>
        </is>
      </c>
      <c r="O116" s="60" t="inlineStr">
        <is>
          <t>Bexar (TX)</t>
        </is>
      </c>
      <c r="P116" s="64" t="inlineStr">
        <is>
          <t>ssfcu.org</t>
        </is>
      </c>
      <c r="Q116" s="65" t="inlineStr">
        <is>
          <t>Yes</t>
        </is>
      </c>
      <c r="R116" s="64" t="inlineStr">
        <is>
          <t>ssfcu.org/business/credit-cards</t>
        </is>
      </c>
      <c r="S116" s="66" t="inlineStr">
        <is>
          <t>Partial online</t>
        </is>
      </c>
      <c r="T116" s="60" t="inlineStr">
        <is>
          <t>ssfcu.org (apply by product)</t>
        </is>
      </c>
      <c r="U116" s="65" t="inlineStr">
        <is>
          <t>Yes</t>
        </is>
      </c>
      <c r="V116" s="62" t="inlineStr">
        <is>
          <t>Self-issued (SSFCU)</t>
        </is>
      </c>
      <c r="W116" s="57" t="inlineStr">
        <is>
          <t>Yes (revolving)</t>
        </is>
      </c>
      <c r="X116" s="67" t="inlineStr">
        <is>
          <t>Unknown</t>
        </is>
      </c>
      <c r="Y116" s="60" t="inlineStr">
        <is>
          <t>Power Business Cash Back / Travel Rewards / Low-Interest MC: 3% travel/gas/dining (cash back), $50 bonus</t>
        </is>
      </c>
      <c r="Z116" s="60" t="inlineStr">
        <is>
          <t>Unknown</t>
        </is>
      </c>
      <c r="AA116" s="60" t="inlineStr">
        <is>
          <t>Unknown</t>
        </is>
      </c>
      <c r="AB116" s="60" t="inlineStr">
        <is>
          <t>Unknown</t>
        </is>
      </c>
      <c r="AC116" s="60" t="inlineStr">
        <is>
          <t>None found</t>
        </is>
      </c>
      <c r="AD116" s="60" t="inlineStr">
        <is>
          <t>-</t>
        </is>
      </c>
      <c r="AE116" s="60" t="inlineStr">
        <is>
          <t>Membership req (2,600+ ways; military nationwide)</t>
        </is>
      </c>
      <c r="AF116" s="60" t="inlineStr">
        <is>
          <t>Business lending separate</t>
        </is>
      </c>
      <c r="AG116" s="60" t="inlineStr">
        <is>
          <t>SELF-ISSUED VERIFIED (Power Business MC in SSFCU agreement).</t>
        </is>
      </c>
      <c r="AH116" s="64" t="inlineStr">
        <is>
          <t>ssfcu.org/-/media/files/business-disclosures/businessrewardstc.pdf</t>
        </is>
      </c>
    </row>
    <row r="117" ht="15.75" customHeight="1">
      <c r="A117" s="57" t="n"/>
      <c r="B117" s="58" t="inlineStr">
        <is>
          <t>A - Self-issued, apply online</t>
        </is>
      </c>
      <c r="C117" s="60" t="inlineStr">
        <is>
          <t>Digital FCU (DCU)</t>
        </is>
      </c>
      <c r="D117" s="60" t="inlineStr">
        <is>
          <t>2/4 (missing: apply online, SoCal)</t>
        </is>
      </c>
      <c r="E117" s="61" t="inlineStr">
        <is>
          <t>Credit Union</t>
        </is>
      </c>
      <c r="F117" s="67" t="inlineStr">
        <is>
          <t>No</t>
        </is>
      </c>
      <c r="G117" s="60" t="inlineStr">
        <is>
          <t>Out-of-state (national)</t>
        </is>
      </c>
      <c r="H117" s="62" t="inlineStr">
        <is>
          <t>CU - joinable from CA (participating org)</t>
        </is>
      </c>
      <c r="I117" s="63" t="inlineStr">
        <is>
          <t>$10k-$25k (consumer myFICO; biz unconfirmed)</t>
        </is>
      </c>
      <c r="J117" s="60" t="inlineStr">
        <is>
          <t>~$12.9B</t>
        </is>
      </c>
      <c r="K117" s="60" t="inlineStr">
        <is>
          <t>~$11B (shares)</t>
        </is>
      </c>
      <c r="L117" s="60" t="inlineStr">
        <is>
          <t>MA + many SEGs; ~$12.9B; now division of First Tech</t>
        </is>
      </c>
      <c r="M117" s="60" t="n">
        <v>129</v>
      </c>
      <c r="N117" s="60" t="inlineStr">
        <is>
          <t>Marlborough</t>
        </is>
      </c>
      <c r="O117" s="60" t="inlineStr">
        <is>
          <t>Middlesex (MA)</t>
        </is>
      </c>
      <c r="P117" s="64" t="inlineStr">
        <is>
          <t>dcu.org</t>
        </is>
      </c>
      <c r="Q117" s="65" t="inlineStr">
        <is>
          <t>Yes</t>
        </is>
      </c>
      <c r="R117" s="64" t="inlineStr">
        <is>
          <t>dcu.org/borrow/commercial-lending/small-business/business-visa.html</t>
        </is>
      </c>
      <c r="S117" s="66" t="inlineStr">
        <is>
          <t>Partial online</t>
        </is>
      </c>
      <c r="T117" s="60" t="inlineStr">
        <is>
          <t>dcu.org commercial lending (branch/online)</t>
        </is>
      </c>
      <c r="U117" s="65" t="inlineStr">
        <is>
          <t>Yes</t>
        </is>
      </c>
      <c r="V117" s="62" t="inlineStr">
        <is>
          <t>Self-issued (DCU, division of First Tech FCU)</t>
        </is>
      </c>
      <c r="W117" s="57" t="inlineStr">
        <is>
          <t>Yes (revolving)</t>
        </is>
      </c>
      <c r="X117" s="67" t="inlineStr">
        <is>
          <t>No (min APR 9.99%)</t>
        </is>
      </c>
      <c r="Y117" s="60" t="inlineStr">
        <is>
          <t>Business Visa Platinum/Plus: variable, min APR 9.99%, PG required, ~25-day grace, no cash-adv fee</t>
        </is>
      </c>
      <c r="Z117" s="60" t="inlineStr">
        <is>
          <t>Unknown (business + personal bureaus per agreement)</t>
        </is>
      </c>
      <c r="AA117" s="60" t="inlineStr">
        <is>
          <t>Business + personal bureaus (agreement)</t>
        </is>
      </c>
      <c r="AB117" s="60" t="inlineStr">
        <is>
          <t>Yes (agreement authorizes personal bureau)</t>
        </is>
      </c>
      <c r="AC117" s="60" t="inlineStr">
        <is>
          <t>Consumer Platinum $10k-$25k (myFICO); biz unconfirmed</t>
        </is>
      </c>
      <c r="AD117" s="64" t="inlineStr">
        <is>
          <t>myFICO</t>
        </is>
      </c>
      <c r="AE117" s="60" t="inlineStr">
        <is>
          <t>Membership req (many SEGs/associations; easy paths)</t>
        </is>
      </c>
      <c r="AF117" s="60" t="inlineStr">
        <is>
          <t>Business lending separate</t>
        </is>
      </c>
      <c r="AG117" s="60" t="inlineStr">
        <is>
          <t>SELF-ISSUED VERIFIED (agreement: 'Digital FCU, a division of First Technology FCU').</t>
        </is>
      </c>
      <c r="AH117" s="64" t="inlineStr">
        <is>
          <t>dcu.org/.../business-visa.html PDF</t>
        </is>
      </c>
    </row>
    <row r="118" ht="15.75" customHeight="1">
      <c r="A118" s="57" t="n"/>
      <c r="B118" s="58" t="inlineStr">
        <is>
          <t>A - Self-issued, apply online</t>
        </is>
      </c>
      <c r="C118" s="60" t="inlineStr">
        <is>
          <t>GreenState Credit Union</t>
        </is>
      </c>
      <c r="D118" s="60" t="inlineStr">
        <is>
          <t>2/4 (missing: apply online, SoCal)</t>
        </is>
      </c>
      <c r="E118" s="61" t="inlineStr">
        <is>
          <t>Credit Union</t>
        </is>
      </c>
      <c r="F118" s="67" t="inlineStr">
        <is>
          <t>No</t>
        </is>
      </c>
      <c r="G118" s="60" t="inlineStr">
        <is>
          <t>Out-of-state (national)</t>
        </is>
      </c>
      <c r="H118" s="82" t="inlineStr">
        <is>
          <t>CU - joinable BUT card geofenced out of CA (not card-accessible)</t>
        </is>
      </c>
      <c r="I118" s="63" t="inlineStr">
        <is>
          <t>$5k-$25k (est; self-issued community pattern)</t>
        </is>
      </c>
      <c r="J118" s="60" t="inlineStr">
        <is>
          <t>~$10.84B</t>
        </is>
      </c>
      <c r="K118" s="60" t="inlineStr">
        <is>
          <t>~$9B (shares)</t>
        </is>
      </c>
      <c r="L118" s="60" t="inlineStr">
        <is>
          <t>Iowa + IL; ~$10.84B</t>
        </is>
      </c>
      <c r="M118" s="60" t="n">
        <v>129</v>
      </c>
      <c r="N118" s="60" t="inlineStr">
        <is>
          <t>North Liberty</t>
        </is>
      </c>
      <c r="O118" s="60" t="inlineStr">
        <is>
          <t>Johnson (IA)</t>
        </is>
      </c>
      <c r="P118" s="64" t="inlineStr">
        <is>
          <t>greenstate.org</t>
        </is>
      </c>
      <c r="Q118" s="65" t="inlineStr">
        <is>
          <t>Yes</t>
        </is>
      </c>
      <c r="R118" s="64" t="inlineStr">
        <is>
          <t>greenstate.org/bank/business-accounts/business-checking.html</t>
        </is>
      </c>
      <c r="S118" s="66" t="inlineStr">
        <is>
          <t>Partial online</t>
        </is>
      </c>
      <c r="T118" s="60" t="inlineStr">
        <is>
          <t>greenstate.org business accounts</t>
        </is>
      </c>
      <c r="U118" s="65" t="inlineStr">
        <is>
          <t>Yes</t>
        </is>
      </c>
      <c r="V118" s="62" t="inlineStr">
        <is>
          <t>Self-issued (GreenState) - INFERRED</t>
        </is>
      </c>
      <c r="W118" s="57" t="inlineStr">
        <is>
          <t>Yes (revolving)</t>
        </is>
      </c>
      <c r="X118" s="67" t="inlineStr">
        <is>
          <t>Unknown</t>
        </is>
      </c>
      <c r="Y118" s="60" t="inlineStr">
        <is>
          <t>Business rewards Mastercard (cash back to savings); Mastercard Easy Savings rebates</t>
        </is>
      </c>
      <c r="Z118" s="60" t="inlineStr">
        <is>
          <t>Unknown</t>
        </is>
      </c>
      <c r="AA118" s="60" t="inlineStr">
        <is>
          <t>Unknown</t>
        </is>
      </c>
      <c r="AB118" s="60" t="inlineStr">
        <is>
          <t>Unknown</t>
        </is>
      </c>
      <c r="AC118" s="60" t="inlineStr">
        <is>
          <t>None found (biz-specific terms not published)</t>
        </is>
      </c>
      <c r="AD118" s="60" t="inlineStr">
        <is>
          <t>-</t>
        </is>
      </c>
      <c r="AE118" s="60" t="inlineStr">
        <is>
          <t>Membership req (OPEN: American Consumer Council $5; $5 savings)</t>
        </is>
      </c>
      <c r="AF118" s="60" t="inlineStr">
        <is>
          <t>Business lending separate</t>
        </is>
      </c>
      <c r="AG118" s="60" t="inlineStr">
        <is>
          <t>SELF-ISSUED INFERRED (own agreements, Iowa law, no Elan; biz-card terms not published).</t>
        </is>
      </c>
      <c r="AH118" s="64" t="inlineStr">
        <is>
          <t>greenstate.org; Cardholder-Agreement PDF</t>
        </is>
      </c>
    </row>
    <row r="119" ht="15.75" customHeight="1">
      <c r="A119" s="57" t="n"/>
      <c r="B119" s="59" t="inlineStr">
        <is>
          <t>B - Self-issued, in-person</t>
        </is>
      </c>
      <c r="C119" s="60" t="inlineStr">
        <is>
          <t>VyStar Credit Union</t>
        </is>
      </c>
      <c r="D119" s="60" t="inlineStr">
        <is>
          <t>2/4 (missing: apply online, SoCal)</t>
        </is>
      </c>
      <c r="E119" s="61" t="inlineStr">
        <is>
          <t>Credit Union</t>
        </is>
      </c>
      <c r="F119" s="67" t="inlineStr">
        <is>
          <t>No</t>
        </is>
      </c>
      <c r="G119" s="60" t="inlineStr">
        <is>
          <t>Out-of-state (national)</t>
        </is>
      </c>
      <c r="H119" s="82" t="inlineStr">
        <is>
          <t>CU - membership restricted (FL/GA; CA cannot join)</t>
        </is>
      </c>
      <c r="I119" s="63" t="inlineStr">
        <is>
          <t>Up to $50k (published)</t>
        </is>
      </c>
      <c r="J119" s="60" t="inlineStr">
        <is>
          <t>~$14.7B</t>
        </is>
      </c>
      <c r="K119" s="60" t="inlineStr">
        <is>
          <t>~$12B (shares)</t>
        </is>
      </c>
      <c r="L119" s="60" t="inlineStr">
        <is>
          <t>49 FL + 4 GA counties; ~$14.7B</t>
        </is>
      </c>
      <c r="M119" s="60" t="n">
        <v>120</v>
      </c>
      <c r="N119" s="60" t="inlineStr">
        <is>
          <t>Jacksonville</t>
        </is>
      </c>
      <c r="O119" s="60" t="inlineStr">
        <is>
          <t>Duval (FL)</t>
        </is>
      </c>
      <c r="P119" s="64" t="inlineStr">
        <is>
          <t>vystarcu.org</t>
        </is>
      </c>
      <c r="Q119" s="65" t="inlineStr">
        <is>
          <t>Yes</t>
        </is>
      </c>
      <c r="R119" s="64" t="inlineStr">
        <is>
          <t>vystarcu.org/business/borrow/business-credit-cards</t>
        </is>
      </c>
      <c r="S119" s="70" t="inlineStr">
        <is>
          <t>In-person</t>
        </is>
      </c>
      <c r="T119" s="60" t="inlineStr">
        <is>
          <t>Branch appointment / 904-474-6542 (no online app)</t>
        </is>
      </c>
      <c r="U119" s="65" t="inlineStr">
        <is>
          <t>Yes</t>
        </is>
      </c>
      <c r="V119" s="62" t="inlineStr">
        <is>
          <t>Self-issued (VyStar) - INFERRED</t>
        </is>
      </c>
      <c r="W119" s="57" t="inlineStr">
        <is>
          <t>Yes (revolving)</t>
        </is>
      </c>
      <c r="X119" s="67" t="inlineStr">
        <is>
          <t>No</t>
        </is>
      </c>
      <c r="Y119" s="60" t="inlineStr">
        <is>
          <t>Business Platinum Rewards Visa: 1.5 pts/$1, $500 bonus, $0 AF, no FX, limits up to $50k</t>
        </is>
      </c>
      <c r="Z119" s="60" t="inlineStr">
        <is>
          <t>Unknown</t>
        </is>
      </c>
      <c r="AA119" s="60" t="inlineStr">
        <is>
          <t>Unknown</t>
        </is>
      </c>
      <c r="AB119" s="60" t="inlineStr">
        <is>
          <t>Unknown</t>
        </is>
      </c>
      <c r="AC119" s="60" t="inlineStr">
        <is>
          <t>Up to $50k; PG required; biz 1yr+ (nonprofit 3yr)</t>
        </is>
      </c>
      <c r="AD119" s="60" t="inlineStr">
        <is>
          <t>-</t>
        </is>
      </c>
      <c r="AE119" s="60" t="inlineStr">
        <is>
          <t>Membership req (FL/GA counties; $5 savings)</t>
        </is>
      </c>
      <c r="AF119" s="60" t="inlineStr">
        <is>
          <t>Business lending separate</t>
        </is>
      </c>
      <c r="AG119" s="60" t="inlineStr">
        <is>
          <t>SELF-ISSUED INFERRED (own disclosures, no Elan). In-person apply. Up to $50k.</t>
        </is>
      </c>
      <c r="AH119" s="64" t="inlineStr">
        <is>
          <t>vystarcu.org/business/borrow/business-credit-cards</t>
        </is>
      </c>
    </row>
    <row r="120" ht="15.75" customHeight="1">
      <c r="A120" s="57" t="n"/>
      <c r="B120" s="59" t="inlineStr">
        <is>
          <t>B - Self-issued, in-person</t>
        </is>
      </c>
      <c r="C120" s="60" t="inlineStr">
        <is>
          <t>Bethpage FCU (FourLeaf)</t>
        </is>
      </c>
      <c r="D120" s="60" t="inlineStr">
        <is>
          <t>2/4 (missing: apply online, SoCal)</t>
        </is>
      </c>
      <c r="E120" s="61" t="inlineStr">
        <is>
          <t>Credit Union</t>
        </is>
      </c>
      <c r="F120" s="67" t="inlineStr">
        <is>
          <t>No</t>
        </is>
      </c>
      <c r="G120" s="60" t="inlineStr">
        <is>
          <t>Out-of-state (national)</t>
        </is>
      </c>
      <c r="H120" s="62" t="inlineStr">
        <is>
          <t>CU - joinable from CA (open U.S. charter, $5)</t>
        </is>
      </c>
      <c r="I120" s="63" t="inlineStr">
        <is>
          <t>~$35k soft-pull datapoint (consumer; myFICO)</t>
        </is>
      </c>
      <c r="J120" s="60" t="inlineStr">
        <is>
          <t>~$14.2B</t>
        </is>
      </c>
      <c r="K120" s="60" t="inlineStr">
        <is>
          <t>~$12B (shares)</t>
        </is>
      </c>
      <c r="L120" s="60" t="inlineStr">
        <is>
          <t>NY (open U.S. charter); ~$14.2B</t>
        </is>
      </c>
      <c r="M120" s="60" t="n">
        <v>120</v>
      </c>
      <c r="N120" s="60" t="inlineStr">
        <is>
          <t>Bethpage</t>
        </is>
      </c>
      <c r="O120" s="60" t="inlineStr">
        <is>
          <t>Nassau (NY)</t>
        </is>
      </c>
      <c r="P120" s="64" t="inlineStr">
        <is>
          <t>fourleaffcu.com</t>
        </is>
      </c>
      <c r="Q120" s="65" t="inlineStr">
        <is>
          <t>Yes</t>
        </is>
      </c>
      <c r="R120" s="64" t="inlineStr">
        <is>
          <t>fourleaffcu.com/business/credit-cards/</t>
        </is>
      </c>
      <c r="S120" s="70" t="inlineStr">
        <is>
          <t>In-person</t>
        </is>
      </c>
      <c r="T120" s="60" t="inlineStr">
        <is>
          <t>In-branch / phone 800-628-7070</t>
        </is>
      </c>
      <c r="U120" s="65" t="inlineStr">
        <is>
          <t>Yes</t>
        </is>
      </c>
      <c r="V120" s="62" t="inlineStr">
        <is>
          <t>Self-issued (FourLeaf, ex-Bethpage)</t>
        </is>
      </c>
      <c r="W120" s="57" t="inlineStr">
        <is>
          <t>Yes (revolving)</t>
        </is>
      </c>
      <c r="X120" s="67" t="inlineStr">
        <is>
          <t>Unknown</t>
        </is>
      </c>
      <c r="Y120" s="60" t="inlineStr">
        <is>
          <t>FourLeaf Business Mastercard: variable up to ~22.15%</t>
        </is>
      </c>
      <c r="Z120" s="60" t="inlineStr">
        <is>
          <t>Unknown</t>
        </is>
      </c>
      <c r="AA120" s="60" t="inlineStr">
        <is>
          <t>Unknown</t>
        </is>
      </c>
      <c r="AB120" s="60" t="inlineStr">
        <is>
          <t>Unknown</t>
        </is>
      </c>
      <c r="AC120" s="60" t="inlineStr">
        <is>
          <t>Consumer Low Rate MC $35k soft-pull datapoint</t>
        </is>
      </c>
      <c r="AD120" s="64" t="inlineStr">
        <is>
          <t>ficoforums.myfico.com 6816880</t>
        </is>
      </c>
      <c r="AE120" s="60" t="inlineStr">
        <is>
          <t>Membership req (OPEN: anyone residing in U.S.; $5 savings)</t>
        </is>
      </c>
      <c r="AF120" s="60" t="inlineStr">
        <is>
          <t>Business lending separate</t>
        </is>
      </c>
      <c r="AG120" s="60" t="inlineStr">
        <is>
          <t>SELF-ISSUED VERIFIED ('creditor and issuer is FourLeaf'). OPEN national membership. In-person/phone apply.</t>
        </is>
      </c>
      <c r="AH120" s="64" t="inlineStr">
        <is>
          <t>fourleaffcu.com/business/credit-cards/</t>
        </is>
      </c>
    </row>
    <row r="121" ht="15.75" customHeight="1">
      <c r="A121" s="57" t="n"/>
      <c r="B121" s="72" t="inlineStr">
        <is>
          <t>C - Agent-issued card</t>
        </is>
      </c>
      <c r="C121" s="60" t="inlineStr">
        <is>
          <t>Mechanics Bank</t>
        </is>
      </c>
      <c r="D121" s="60" t="inlineStr">
        <is>
          <t>2/4 (missing: self-UW, SoCal)</t>
        </is>
      </c>
      <c r="E121" s="69" t="inlineStr">
        <is>
          <t>Bank</t>
        </is>
      </c>
      <c r="F121" s="67" t="inlineStr">
        <is>
          <t>No</t>
        </is>
      </c>
      <c r="G121" s="60" t="inlineStr">
        <is>
          <t>Other California</t>
        </is>
      </c>
      <c r="H121" s="62" t="inlineStr">
        <is>
          <t>CA-HQ (NorCal/Central CA)</t>
        </is>
      </c>
      <c r="I121" s="63" t="inlineStr">
        <is>
          <t>$3k-$15k (est; Elan agent pattern, myFICO)</t>
        </is>
      </c>
      <c r="J121" s="60" t="inlineStr">
        <is>
          <t>$22.71B</t>
        </is>
      </c>
      <c r="K121" s="60" t="inlineStr">
        <is>
          <t>$19.46B</t>
        </is>
      </c>
      <c r="L121" s="60" t="inlineStr">
        <is>
          <t>~166 branches 'San Diego to Seattle' (post-HomeStreet 2025); CA, WA, OR, HI</t>
        </is>
      </c>
      <c r="M121" s="60" t="n">
        <v>71</v>
      </c>
      <c r="N121" s="60" t="inlineStr">
        <is>
          <t>Walnut Creek</t>
        </is>
      </c>
      <c r="O121" s="60" t="inlineStr">
        <is>
          <t>Contra Costa</t>
        </is>
      </c>
      <c r="P121" s="64" t="inlineStr">
        <is>
          <t>mechanicsbank.com</t>
        </is>
      </c>
      <c r="Q121" s="65" t="inlineStr">
        <is>
          <t>Yes</t>
        </is>
      </c>
      <c r="R121" s="64" t="inlineStr">
        <is>
          <t>creditcardlearnmore.com/11t3/index?ecdma-lc=10128</t>
        </is>
      </c>
      <c r="S121" s="65" t="inlineStr">
        <is>
          <t>Online</t>
        </is>
      </c>
      <c r="T121" s="60" t="inlineStr">
        <is>
          <t>creditcardlearnmore.com/11t3 (Elan)</t>
        </is>
      </c>
      <c r="U121" s="67" t="inlineStr">
        <is>
          <t>No</t>
        </is>
      </c>
      <c r="V121" s="74" t="inlineStr">
        <is>
          <t>Elan Financial Services (U.S. Bank)</t>
        </is>
      </c>
      <c r="W121" s="57" t="inlineStr">
        <is>
          <t>Yes (revolving)</t>
        </is>
      </c>
      <c r="X121" s="66" t="inlineStr">
        <is>
          <t>Yes - 6 billing cycles</t>
        </is>
      </c>
      <c r="Y121" s="60" t="inlineStr">
        <is>
          <t>Business Real Rewards: 0% intro 6 cycles, go-to 17.24-26.24% var, $0 AF, 1.5x pts. Cash Preferred 3% cats</t>
        </is>
      </c>
      <c r="Z121" s="60" t="inlineStr">
        <is>
          <t>TransUnion (Elan)</t>
        </is>
      </c>
      <c r="AA121" s="60" t="inlineStr">
        <is>
          <t>D&amp;B (delinquency-only); SBFE unconfirmed</t>
        </is>
      </c>
      <c r="AB121" s="60" t="inlineStr">
        <is>
          <t>No (delinquency-only)</t>
        </is>
      </c>
      <c r="AC121" s="60" t="inlineStr">
        <is>
          <t>Elan general; Prime-MINUS-1% BLOC up to $250k (needs Mechanics checking+autopay)</t>
        </is>
      </c>
      <c r="AD121" s="64" t="inlineStr">
        <is>
          <t>myFICO Business-Credit; CreditBoards 632782; stacking.capital</t>
        </is>
      </c>
      <c r="AE121" s="60" t="inlineStr">
        <is>
          <t>No (Elan card)</t>
        </is>
      </c>
      <c r="AF121" s="60" t="inlineStr">
        <is>
          <t>Closest: Prime-1% BLOC to $250k (needs Mechanics biz checking+autopay). Other lending doc-req</t>
        </is>
      </c>
      <c r="AG121" s="60" t="inlineStr">
        <is>
          <t>Issuer VERIFIED (Elan). Best 'no-doc-ish' hook (Prime-1% BLOC).</t>
        </is>
      </c>
      <c r="AH121" s="64" t="inlineStr">
        <is>
          <t>mechanicsbank.com/prime; creditcardlearnmore.com/11t3 (loc 10128)</t>
        </is>
      </c>
    </row>
    <row r="122" ht="15.75" customHeight="1">
      <c r="A122" s="57" t="n"/>
      <c r="B122" s="72" t="inlineStr">
        <is>
          <t>C - Agent-issued card</t>
        </is>
      </c>
      <c r="C122" s="60" t="inlineStr">
        <is>
          <t>Fremont Bank</t>
        </is>
      </c>
      <c r="D122" s="60" t="inlineStr">
        <is>
          <t>2/4 (missing: self-UW, SoCal)</t>
        </is>
      </c>
      <c r="E122" s="69" t="inlineStr">
        <is>
          <t>Bank</t>
        </is>
      </c>
      <c r="F122" s="67" t="inlineStr">
        <is>
          <t>No</t>
        </is>
      </c>
      <c r="G122" s="60" t="inlineStr">
        <is>
          <t>Other California</t>
        </is>
      </c>
      <c r="H122" s="62" t="inlineStr">
        <is>
          <t>CA-HQ (NorCal/Central CA)</t>
        </is>
      </c>
      <c r="I122" s="63" t="inlineStr">
        <is>
          <t>$3k-$15k (est; agent program)</t>
        </is>
      </c>
      <c r="J122" s="60" t="inlineStr">
        <is>
          <t>$6.12B</t>
        </is>
      </c>
      <c r="K122" s="60" t="inlineStr">
        <is>
          <t>$5.47B</t>
        </is>
      </c>
      <c r="L122" s="60" t="inlineStr">
        <is>
          <t>Bay Area community bank; ~20+ branches East Bay</t>
        </is>
      </c>
      <c r="M122" s="60" t="n">
        <v>61</v>
      </c>
      <c r="N122" s="60" t="inlineStr">
        <is>
          <t>Fremont</t>
        </is>
      </c>
      <c r="O122" s="60" t="inlineStr">
        <is>
          <t>Alameda</t>
        </is>
      </c>
      <c r="P122" s="64" t="inlineStr">
        <is>
          <t>fremontbank.com</t>
        </is>
      </c>
      <c r="Q122" s="65" t="inlineStr">
        <is>
          <t>Yes</t>
        </is>
      </c>
      <c r="R122" s="64" t="inlineStr">
        <is>
          <t>fremontbank.com/business/credit</t>
        </is>
      </c>
      <c r="S122" s="65" t="inlineStr">
        <is>
          <t>Online</t>
        </is>
      </c>
      <c r="T122" s="60" t="inlineStr">
        <is>
          <t>fremontbank.myapexcard.com/apply</t>
        </is>
      </c>
      <c r="U122" s="67" t="inlineStr">
        <is>
          <t>No</t>
        </is>
      </c>
      <c r="V122" s="84" t="inlineStr">
        <is>
          <t>Pinnacle Bank, TN (CorServ/Apex platform)</t>
        </is>
      </c>
      <c r="W122" s="57" t="inlineStr">
        <is>
          <t>Yes (revolving)</t>
        </is>
      </c>
      <c r="X122" s="66" t="inlineStr">
        <is>
          <t>Yes - 6 months</t>
        </is>
      </c>
      <c r="Y122" s="60" t="inlineStr">
        <is>
          <t>Business Platinum: 0% intro 6mo purch+BT, go-to 12.49-20.49% var, $0 AF; also World Elite/Rewards</t>
        </is>
      </c>
      <c r="Z122" s="60" t="inlineStr">
        <is>
          <t>Unknown (not disclosed in pre-app terms)</t>
        </is>
      </c>
      <c r="AA122" s="60" t="inlineStr">
        <is>
          <t>Unknown</t>
        </is>
      </c>
      <c r="AB122" s="60" t="inlineStr">
        <is>
          <t>Unknown</t>
        </is>
      </c>
      <c r="AC122" s="60" t="inlineStr">
        <is>
          <t>None found (CorServ/Pinnacle program)</t>
        </is>
      </c>
      <c r="AD122" s="60" t="inlineStr">
        <is>
          <t>-</t>
        </is>
      </c>
      <c r="AE122" s="60" t="inlineStr">
        <is>
          <t>Likely ("for Fremont Bank customers")</t>
        </is>
      </c>
      <c r="AF122" s="60" t="inlineStr">
        <is>
          <t>No - SBA/CRE/commercial underwritten</t>
        </is>
      </c>
      <c r="AG122" s="60" t="inlineStr">
        <is>
          <t>USER EXAMPLE - actually AGENT-issued (Pinnacle Bank TN via CorServ), NOT self-issued. Good 6mo 0% + online.</t>
        </is>
      </c>
      <c r="AH122" s="64" t="inlineStr">
        <is>
          <t>fremontbank.com/business/credit; myapexcard.com/preterms; corservsolutions.com</t>
        </is>
      </c>
    </row>
    <row r="123" ht="15.75" customHeight="1">
      <c r="A123" s="57" t="n"/>
      <c r="B123" s="72" t="inlineStr">
        <is>
          <t>C - Agent-issued card</t>
        </is>
      </c>
      <c r="C123" s="60" t="inlineStr">
        <is>
          <t>Poppy Bank</t>
        </is>
      </c>
      <c r="D123" s="60" t="inlineStr">
        <is>
          <t>2/4 (missing: self-UW, SoCal)</t>
        </is>
      </c>
      <c r="E123" s="69" t="inlineStr">
        <is>
          <t>Bank</t>
        </is>
      </c>
      <c r="F123" s="67" t="inlineStr">
        <is>
          <t>No</t>
        </is>
      </c>
      <c r="G123" s="60" t="inlineStr">
        <is>
          <t>Other California</t>
        </is>
      </c>
      <c r="H123" s="62" t="inlineStr">
        <is>
          <t>CA-HQ (NorCal/Central CA)</t>
        </is>
      </c>
      <c r="I123" s="63" t="inlineStr">
        <is>
          <t>$3k-$15k (est; Elan agent pattern, myFICO)</t>
        </is>
      </c>
      <c r="J123" s="60" t="inlineStr">
        <is>
          <t>$7.32B</t>
        </is>
      </c>
      <c r="K123" s="60" t="inlineStr">
        <is>
          <t>$5.74B</t>
        </is>
      </c>
      <c r="L123" s="60" t="inlineStr">
        <is>
          <t>NorCal (Sonoma) + statewide; fast-growing</t>
        </is>
      </c>
      <c r="M123" s="60" t="n">
        <v>56</v>
      </c>
      <c r="N123" s="60" t="inlineStr">
        <is>
          <t>Santa Rosa</t>
        </is>
      </c>
      <c r="O123" s="60" t="inlineStr">
        <is>
          <t>Sonoma</t>
        </is>
      </c>
      <c r="P123" s="64" t="inlineStr">
        <is>
          <t>poppy.bank</t>
        </is>
      </c>
      <c r="Q123" s="65" t="inlineStr">
        <is>
          <t>Yes</t>
        </is>
      </c>
      <c r="R123" s="64" t="inlineStr">
        <is>
          <t>poppy.bank/business-checking-accounts/</t>
        </is>
      </c>
      <c r="S123" s="65" t="inlineStr">
        <is>
          <t>Online</t>
        </is>
      </c>
      <c r="T123" s="60" t="inlineStr">
        <is>
          <t>Elan portal</t>
        </is>
      </c>
      <c r="U123" s="67" t="inlineStr">
        <is>
          <t>No</t>
        </is>
      </c>
      <c r="V123" s="74" t="inlineStr">
        <is>
          <t>Elan Financial Services (U.S. Bank)</t>
        </is>
      </c>
      <c r="W123" s="57" t="inlineStr">
        <is>
          <t>Yes (revolving)</t>
        </is>
      </c>
      <c r="X123" s="67" t="inlineStr">
        <is>
          <t>Verify (issuer menu)</t>
        </is>
      </c>
      <c r="Y123" s="60" t="inlineStr">
        <is>
          <t>Agent-issued; APR/AF per issuer T&amp;C (not on page)</t>
        </is>
      </c>
      <c r="Z123" s="60" t="inlineStr">
        <is>
          <t>TransUnion (Elan)</t>
        </is>
      </c>
      <c r="AA123" s="60" t="inlineStr">
        <is>
          <t>D&amp;B (delinquency-only)</t>
        </is>
      </c>
      <c r="AB123" s="60" t="inlineStr">
        <is>
          <t>No (delinquency-only)</t>
        </is>
      </c>
      <c r="AC123" s="60" t="inlineStr">
        <is>
          <t>None found (small agent program)</t>
        </is>
      </c>
      <c r="AD123" s="60" t="inlineStr">
        <is>
          <t>-</t>
        </is>
      </c>
      <c r="AE123" s="60" t="inlineStr">
        <is>
          <t>No (agent card)</t>
        </is>
      </c>
      <c r="AF123" s="60" t="inlineStr">
        <is>
          <t>No - commercial/SBA underwritten</t>
        </is>
      </c>
      <c r="AG123" s="60" t="inlineStr">
        <is>
          <t>Issuer = Elan VERIFIED ('creditor and issuer ... is Elan').</t>
        </is>
      </c>
      <c r="AH123" s="64" t="inlineStr">
        <is>
          <t>poppy.bank/business-checking-accounts/</t>
        </is>
      </c>
    </row>
    <row r="124" ht="15.75" customHeight="1">
      <c r="A124" s="57" t="n"/>
      <c r="B124" s="72" t="inlineStr">
        <is>
          <t>C - Agent-issued card</t>
        </is>
      </c>
      <c r="C124" s="60" t="inlineStr">
        <is>
          <t>Farmers &amp; Merchants Bank of Central California</t>
        </is>
      </c>
      <c r="D124" s="60" t="inlineStr">
        <is>
          <t>2/4 (missing: self-UW, SoCal)</t>
        </is>
      </c>
      <c r="E124" s="69" t="inlineStr">
        <is>
          <t>Bank</t>
        </is>
      </c>
      <c r="F124" s="67" t="inlineStr">
        <is>
          <t>No</t>
        </is>
      </c>
      <c r="G124" s="60" t="inlineStr">
        <is>
          <t>Other California</t>
        </is>
      </c>
      <c r="H124" s="62" t="inlineStr">
        <is>
          <t>CA-HQ (NorCal/Central CA)</t>
        </is>
      </c>
      <c r="I124" s="63" t="inlineStr">
        <is>
          <t>$3k-$15k (est; agent program)</t>
        </is>
      </c>
      <c r="J124" s="60" t="inlineStr">
        <is>
          <t>$5.63B</t>
        </is>
      </c>
      <c r="K124" s="60" t="inlineStr">
        <is>
          <t>$4.91B</t>
        </is>
      </c>
      <c r="L124" s="60" t="inlineStr">
        <is>
          <t>Central Valley; ~30 branches</t>
        </is>
      </c>
      <c r="M124" s="60" t="n">
        <v>56</v>
      </c>
      <c r="N124" s="60" t="inlineStr">
        <is>
          <t>Lodi</t>
        </is>
      </c>
      <c r="O124" s="60" t="inlineStr">
        <is>
          <t>San Joaquin</t>
        </is>
      </c>
      <c r="P124" s="64" t="inlineStr">
        <is>
          <t>fmbonline.com</t>
        </is>
      </c>
      <c r="Q124" s="65" t="inlineStr">
        <is>
          <t>Yes</t>
        </is>
      </c>
      <c r="R124" s="64" t="inlineStr">
        <is>
          <t>fmbonline.com/loans/credit-cards/business-credit-cards.html</t>
        </is>
      </c>
      <c r="S124" s="65" t="inlineStr">
        <is>
          <t>Online</t>
        </is>
      </c>
      <c r="T124" s="60" t="inlineStr">
        <is>
          <t>UMB portal</t>
        </is>
      </c>
      <c r="U124" s="67" t="inlineStr">
        <is>
          <t>No</t>
        </is>
      </c>
      <c r="V124" s="85" t="inlineStr">
        <is>
          <t>UMB Bank, n.a. (agent)</t>
        </is>
      </c>
      <c r="W124" s="57" t="inlineStr">
        <is>
          <t>Yes (revolving)</t>
        </is>
      </c>
      <c r="X124" s="67" t="inlineStr">
        <is>
          <t>Verify (issuer menu)</t>
        </is>
      </c>
      <c r="Y124" s="60" t="inlineStr">
        <is>
          <t>Agent-issued; APR/AF per issuer T&amp;C (not on page)</t>
        </is>
      </c>
      <c r="Z124" s="60" t="inlineStr">
        <is>
          <t>Per UMB</t>
        </is>
      </c>
      <c r="AA124" s="60" t="inlineStr">
        <is>
          <t>Per issuer</t>
        </is>
      </c>
      <c r="AB124" s="60" t="inlineStr">
        <is>
          <t>No (typical)</t>
        </is>
      </c>
      <c r="AC124" s="60" t="inlineStr">
        <is>
          <t>None found (small agent program)</t>
        </is>
      </c>
      <c r="AD124" s="60" t="inlineStr">
        <is>
          <t>-</t>
        </is>
      </c>
      <c r="AE124" s="60" t="inlineStr">
        <is>
          <t>No (agent card)</t>
        </is>
      </c>
      <c r="AF124" s="60" t="inlineStr">
        <is>
          <t>No - commercial/SBA underwritten</t>
        </is>
      </c>
      <c r="AG124" s="60" t="inlineStr">
        <is>
          <t>Issuer = UMB Bank VERIFIED ('Cards issued by UMB Bank, n.a.').</t>
        </is>
      </c>
      <c r="AH124" s="64" t="inlineStr">
        <is>
          <t>fmbonline.com/loans/credit-cards/business-credit-cards.html</t>
        </is>
      </c>
    </row>
    <row r="125" ht="15.75" customHeight="1">
      <c r="A125" s="57" t="n"/>
      <c r="B125" s="72" t="inlineStr">
        <is>
          <t>C - Agent-issued card</t>
        </is>
      </c>
      <c r="C125" s="60" t="inlineStr">
        <is>
          <t>River City Bank</t>
        </is>
      </c>
      <c r="D125" s="60" t="inlineStr">
        <is>
          <t>2/4 (missing: self-UW, SoCal)</t>
        </is>
      </c>
      <c r="E125" s="69" t="inlineStr">
        <is>
          <t>Bank</t>
        </is>
      </c>
      <c r="F125" s="67" t="inlineStr">
        <is>
          <t>No</t>
        </is>
      </c>
      <c r="G125" s="60" t="inlineStr">
        <is>
          <t>Other California</t>
        </is>
      </c>
      <c r="H125" s="62" t="inlineStr">
        <is>
          <t>CA-HQ (NorCal/Central CA)</t>
        </is>
      </c>
      <c r="I125" s="63" t="inlineStr">
        <is>
          <t>$3k-$15k (est; agent program)</t>
        </is>
      </c>
      <c r="J125" s="60" t="inlineStr">
        <is>
          <t>$5.47B</t>
        </is>
      </c>
      <c r="K125" s="60" t="inlineStr">
        <is>
          <t>$4.86B</t>
        </is>
      </c>
      <c r="L125" s="60" t="inlineStr">
        <is>
          <t>Sacramento + Bay Area commercial bank</t>
        </is>
      </c>
      <c r="M125" s="60" t="n">
        <v>56</v>
      </c>
      <c r="N125" s="60" t="inlineStr">
        <is>
          <t>Sacramento</t>
        </is>
      </c>
      <c r="O125" s="60" t="inlineStr">
        <is>
          <t>Sacramento</t>
        </is>
      </c>
      <c r="P125" s="64" t="inlineStr">
        <is>
          <t>rivercity.bank</t>
        </is>
      </c>
      <c r="Q125" s="65" t="inlineStr">
        <is>
          <t>Yes</t>
        </is>
      </c>
      <c r="R125" s="64" t="inlineStr">
        <is>
          <t>rivercity.bank/business/business-credit-cards/</t>
        </is>
      </c>
      <c r="S125" s="65" t="inlineStr">
        <is>
          <t>Online</t>
        </is>
      </c>
      <c r="T125" s="60" t="inlineStr">
        <is>
          <t>ServisFirst portal</t>
        </is>
      </c>
      <c r="U125" s="67" t="inlineStr">
        <is>
          <t>No</t>
        </is>
      </c>
      <c r="V125" s="58" t="inlineStr">
        <is>
          <t>ServisFirst Bank (agent)</t>
        </is>
      </c>
      <c r="W125" s="57" t="inlineStr">
        <is>
          <t>Yes (revolving)</t>
        </is>
      </c>
      <c r="X125" s="67" t="inlineStr">
        <is>
          <t>Verify (issuer menu)</t>
        </is>
      </c>
      <c r="Y125" s="60" t="inlineStr">
        <is>
          <t>Agent-issued; APR/AF per issuer T&amp;C (not on page)</t>
        </is>
      </c>
      <c r="Z125" s="60" t="inlineStr">
        <is>
          <t>Per ServisFirst</t>
        </is>
      </c>
      <c r="AA125" s="60" t="inlineStr">
        <is>
          <t>Per issuer</t>
        </is>
      </c>
      <c r="AB125" s="60" t="inlineStr">
        <is>
          <t>No (typical)</t>
        </is>
      </c>
      <c r="AC125" s="60" t="inlineStr">
        <is>
          <t>None found (small agent program)</t>
        </is>
      </c>
      <c r="AD125" s="60" t="inlineStr">
        <is>
          <t>-</t>
        </is>
      </c>
      <c r="AE125" s="60" t="inlineStr">
        <is>
          <t>No (agent card)</t>
        </is>
      </c>
      <c r="AF125" s="60" t="inlineStr">
        <is>
          <t>No - commercial/SBA underwritten</t>
        </is>
      </c>
      <c r="AG125" s="60" t="inlineStr">
        <is>
          <t>Issuer = ServisFirst VERIFIED ('issued by ServisFirst Bank ... creditor').</t>
        </is>
      </c>
      <c r="AH125" s="64" t="inlineStr">
        <is>
          <t>rivercity.bank/business/business-credit-cards/</t>
        </is>
      </c>
    </row>
    <row r="126" ht="15.75" customHeight="1">
      <c r="A126" s="57" t="n"/>
      <c r="B126" s="72" t="inlineStr">
        <is>
          <t>C - Agent-issued card</t>
        </is>
      </c>
      <c r="C126" s="60" t="inlineStr">
        <is>
          <t>Technology Credit Union (Tech CU)</t>
        </is>
      </c>
      <c r="D126" s="60" t="inlineStr">
        <is>
          <t>2/4 (missing: self-UW, SoCal)</t>
        </is>
      </c>
      <c r="E126" s="61" t="inlineStr">
        <is>
          <t>Credit Union</t>
        </is>
      </c>
      <c r="F126" s="67" t="inlineStr">
        <is>
          <t>No</t>
        </is>
      </c>
      <c r="G126" s="60" t="inlineStr">
        <is>
          <t>Other California</t>
        </is>
      </c>
      <c r="H126" s="62" t="inlineStr">
        <is>
          <t>CA-HQ (NorCal/Central CA)</t>
        </is>
      </c>
      <c r="I126" s="63" t="inlineStr">
        <is>
          <t>$3k-$15k (est; Elan agent pattern, myFICO)</t>
        </is>
      </c>
      <c r="J126" s="60" t="inlineStr">
        <is>
          <t>~$4.8B</t>
        </is>
      </c>
      <c r="K126" s="60" t="inlineStr">
        <is>
          <t>~$4.1B (shares)</t>
        </is>
      </c>
      <c r="L126" s="60" t="inlineStr">
        <is>
          <t>Bay Area; open membership many CA counties</t>
        </is>
      </c>
      <c r="M126" s="60" t="n">
        <v>56</v>
      </c>
      <c r="N126" s="60" t="inlineStr">
        <is>
          <t>San Jose</t>
        </is>
      </c>
      <c r="O126" s="60" t="inlineStr">
        <is>
          <t>Santa Clara</t>
        </is>
      </c>
      <c r="P126" s="64" t="inlineStr">
        <is>
          <t>techcu.com</t>
        </is>
      </c>
      <c r="Q126" s="65" t="inlineStr">
        <is>
          <t>Yes</t>
        </is>
      </c>
      <c r="R126" s="64" t="inlineStr">
        <is>
          <t>techcu.com/business/</t>
        </is>
      </c>
      <c r="S126" s="65" t="inlineStr">
        <is>
          <t>Online</t>
        </is>
      </c>
      <c r="T126" s="60" t="inlineStr">
        <is>
          <t>Elan portal</t>
        </is>
      </c>
      <c r="U126" s="67" t="inlineStr">
        <is>
          <t>No</t>
        </is>
      </c>
      <c r="V126" s="74" t="inlineStr">
        <is>
          <t>Elan Financial Services (U.S. Bank)</t>
        </is>
      </c>
      <c r="W126" s="57" t="inlineStr">
        <is>
          <t>Yes (revolving)</t>
        </is>
      </c>
      <c r="X126" s="67" t="inlineStr">
        <is>
          <t>Verify (issuer menu)</t>
        </is>
      </c>
      <c r="Y126" s="60" t="inlineStr">
        <is>
          <t>Agent-issued; APR/AF per issuer T&amp;C (not on page)</t>
        </is>
      </c>
      <c r="Z126" s="60" t="inlineStr">
        <is>
          <t>TransUnion (Elan)</t>
        </is>
      </c>
      <c r="AA126" s="60" t="inlineStr">
        <is>
          <t>D&amp;B (delinquency-only)</t>
        </is>
      </c>
      <c r="AB126" s="60" t="inlineStr">
        <is>
          <t>No (delinquency-only)</t>
        </is>
      </c>
      <c r="AC126" s="60" t="inlineStr">
        <is>
          <t>None found (small agent program)</t>
        </is>
      </c>
      <c r="AD126" s="60" t="inlineStr">
        <is>
          <t>-</t>
        </is>
      </c>
      <c r="AE126" s="60" t="inlineStr">
        <is>
          <t>Membership req (OPEN, many CA counties)</t>
        </is>
      </c>
      <c r="AF126" s="60" t="inlineStr">
        <is>
          <t>No - commercial/SBA underwritten</t>
        </is>
      </c>
      <c r="AG126" s="60" t="inlineStr">
        <is>
          <t>Issuer = Elan VERIFIED (Zero+ product; Tech CU-branded Elan cards 'coming soon').</t>
        </is>
      </c>
      <c r="AH126" s="64" t="inlineStr">
        <is>
          <t>techcu.com/business/</t>
        </is>
      </c>
    </row>
    <row r="127" ht="15.75" customHeight="1">
      <c r="A127" s="57" t="n"/>
      <c r="B127" s="72" t="inlineStr">
        <is>
          <t>C - Agent-issued card</t>
        </is>
      </c>
      <c r="C127" s="60" t="inlineStr">
        <is>
          <t>Five Star Bank</t>
        </is>
      </c>
      <c r="D127" s="60" t="inlineStr">
        <is>
          <t>2/4 (missing: self-UW, SoCal)</t>
        </is>
      </c>
      <c r="E127" s="69" t="inlineStr">
        <is>
          <t>Bank</t>
        </is>
      </c>
      <c r="F127" s="67" t="inlineStr">
        <is>
          <t>No</t>
        </is>
      </c>
      <c r="G127" s="60" t="inlineStr">
        <is>
          <t>Other California</t>
        </is>
      </c>
      <c r="H127" s="62" t="inlineStr">
        <is>
          <t>CA-HQ (NorCal/Central CA)</t>
        </is>
      </c>
      <c r="I127" s="63" t="inlineStr">
        <is>
          <t>$3k-$15k (est; Elan agent pattern, myFICO)</t>
        </is>
      </c>
      <c r="J127" s="60" t="inlineStr">
        <is>
          <t>$4.64B</t>
        </is>
      </c>
      <c r="K127" s="60" t="inlineStr">
        <is>
          <t>$4.11B</t>
        </is>
      </c>
      <c r="L127" s="60" t="inlineStr">
        <is>
          <t>Sacramento region business bank</t>
        </is>
      </c>
      <c r="M127" s="60" t="n">
        <v>56</v>
      </c>
      <c r="N127" s="60" t="inlineStr">
        <is>
          <t>Roseville</t>
        </is>
      </c>
      <c r="O127" s="60" t="inlineStr">
        <is>
          <t>Placer</t>
        </is>
      </c>
      <c r="P127" s="64" t="inlineStr">
        <is>
          <t>five-starbank.com</t>
        </is>
      </c>
      <c r="Q127" s="65" t="inlineStr">
        <is>
          <t>Yes</t>
        </is>
      </c>
      <c r="R127" s="64" t="inlineStr">
        <is>
          <t>five-starbank.com/banking/business-banking/business-credit-cards</t>
        </is>
      </c>
      <c r="S127" s="65" t="inlineStr">
        <is>
          <t>Online</t>
        </is>
      </c>
      <c r="T127" s="60" t="inlineStr">
        <is>
          <t>Elan portal</t>
        </is>
      </c>
      <c r="U127" s="67" t="inlineStr">
        <is>
          <t>No</t>
        </is>
      </c>
      <c r="V127" s="74" t="inlineStr">
        <is>
          <t>Elan Financial Services (U.S. Bank)</t>
        </is>
      </c>
      <c r="W127" s="57" t="inlineStr">
        <is>
          <t>Yes (revolving)</t>
        </is>
      </c>
      <c r="X127" s="67" t="inlineStr">
        <is>
          <t>Verify (issuer menu)</t>
        </is>
      </c>
      <c r="Y127" s="60" t="inlineStr">
        <is>
          <t>Agent-issued; APR/AF per issuer T&amp;C (not on page)</t>
        </is>
      </c>
      <c r="Z127" s="60" t="inlineStr">
        <is>
          <t>TransUnion (Elan)</t>
        </is>
      </c>
      <c r="AA127" s="60" t="inlineStr">
        <is>
          <t>D&amp;B (delinquency-only)</t>
        </is>
      </c>
      <c r="AB127" s="60" t="inlineStr">
        <is>
          <t>No (delinquency-only)</t>
        </is>
      </c>
      <c r="AC127" s="60" t="inlineStr">
        <is>
          <t>None found (small agent program)</t>
        </is>
      </c>
      <c r="AD127" s="60" t="inlineStr">
        <is>
          <t>-</t>
        </is>
      </c>
      <c r="AE127" s="60" t="inlineStr">
        <is>
          <t>No (agent card)</t>
        </is>
      </c>
      <c r="AF127" s="60" t="inlineStr">
        <is>
          <t>No - commercial/SBA underwritten</t>
        </is>
      </c>
      <c r="AG127" s="60" t="inlineStr">
        <is>
          <t>Issuer = Elan VERIFIED (despite older CorServ PR).</t>
        </is>
      </c>
      <c r="AH127" s="64" t="inlineStr">
        <is>
          <t>five-starbank.com/.../business-credit-cards</t>
        </is>
      </c>
    </row>
    <row r="128" ht="15.75" customHeight="1">
      <c r="A128" s="57" t="n"/>
      <c r="B128" s="72" t="inlineStr">
        <is>
          <t>C - Agent-issued card</t>
        </is>
      </c>
      <c r="C128" s="60" t="inlineStr">
        <is>
          <t>Bank of Marin</t>
        </is>
      </c>
      <c r="D128" s="60" t="inlineStr">
        <is>
          <t>2/4 (missing: self-UW, SoCal)</t>
        </is>
      </c>
      <c r="E128" s="69" t="inlineStr">
        <is>
          <t>Bank</t>
        </is>
      </c>
      <c r="F128" s="67" t="inlineStr">
        <is>
          <t>No</t>
        </is>
      </c>
      <c r="G128" s="60" t="inlineStr">
        <is>
          <t>Other California</t>
        </is>
      </c>
      <c r="H128" s="62" t="inlineStr">
        <is>
          <t>CA-HQ (NorCal/Central CA)</t>
        </is>
      </c>
      <c r="I128" s="63" t="inlineStr">
        <is>
          <t>$3k-$15k (est; Elan agent pattern, myFICO)</t>
        </is>
      </c>
      <c r="J128" s="60" t="inlineStr">
        <is>
          <t>$3.87B</t>
        </is>
      </c>
      <c r="K128" s="60" t="inlineStr">
        <is>
          <t>$3.41B</t>
        </is>
      </c>
      <c r="L128" s="60" t="inlineStr">
        <is>
          <t>North Bay / Bay Area community bank</t>
        </is>
      </c>
      <c r="M128" s="60" t="n">
        <v>56</v>
      </c>
      <c r="N128" s="60" t="inlineStr">
        <is>
          <t>Novato</t>
        </is>
      </c>
      <c r="O128" s="60" t="inlineStr">
        <is>
          <t>Marin</t>
        </is>
      </c>
      <c r="P128" s="64" t="inlineStr">
        <is>
          <t>bankofmarin.com</t>
        </is>
      </c>
      <c r="Q128" s="65" t="inlineStr">
        <is>
          <t>Yes</t>
        </is>
      </c>
      <c r="R128" s="64" t="inlineStr">
        <is>
          <t>bankofmarin.com/products-and-services/credit-cards/</t>
        </is>
      </c>
      <c r="S128" s="65" t="inlineStr">
        <is>
          <t>Online</t>
        </is>
      </c>
      <c r="T128" s="60" t="inlineStr">
        <is>
          <t>Elan portal</t>
        </is>
      </c>
      <c r="U128" s="67" t="inlineStr">
        <is>
          <t>No</t>
        </is>
      </c>
      <c r="V128" s="74" t="inlineStr">
        <is>
          <t>Elan Financial Services (U.S. Bank)</t>
        </is>
      </c>
      <c r="W128" s="57" t="inlineStr">
        <is>
          <t>Yes (revolving)</t>
        </is>
      </c>
      <c r="X128" s="67" t="inlineStr">
        <is>
          <t>Verify (issuer menu)</t>
        </is>
      </c>
      <c r="Y128" s="60" t="inlineStr">
        <is>
          <t>Agent-issued; APR/AF per issuer T&amp;C (not on page)</t>
        </is>
      </c>
      <c r="Z128" s="60" t="inlineStr">
        <is>
          <t>TransUnion (Elan)</t>
        </is>
      </c>
      <c r="AA128" s="60" t="inlineStr">
        <is>
          <t>D&amp;B (delinquency-only)</t>
        </is>
      </c>
      <c r="AB128" s="60" t="inlineStr">
        <is>
          <t>No (delinquency-only)</t>
        </is>
      </c>
      <c r="AC128" s="60" t="inlineStr">
        <is>
          <t>None found (small agent program)</t>
        </is>
      </c>
      <c r="AD128" s="60" t="inlineStr">
        <is>
          <t>-</t>
        </is>
      </c>
      <c r="AE128" s="60" t="inlineStr">
        <is>
          <t>No (agent card)</t>
        </is>
      </c>
      <c r="AF128" s="60" t="inlineStr">
        <is>
          <t>No - commercial/SBA underwritten</t>
        </is>
      </c>
      <c r="AG128" s="60" t="inlineStr">
        <is>
          <t>Issuer = Elan VERIFIED.</t>
        </is>
      </c>
      <c r="AH128" s="64" t="inlineStr">
        <is>
          <t>bankofmarin.com/products-and-services/credit-cards/</t>
        </is>
      </c>
    </row>
    <row r="129" ht="15.75" customHeight="1">
      <c r="A129" s="57" t="n"/>
      <c r="B129" s="72" t="inlineStr">
        <is>
          <t>C - Agent-issued card</t>
        </is>
      </c>
      <c r="C129" s="60" t="inlineStr">
        <is>
          <t>Bank of the Sierra</t>
        </is>
      </c>
      <c r="D129" s="60" t="inlineStr">
        <is>
          <t>2/4 (missing: self-UW, SoCal)</t>
        </is>
      </c>
      <c r="E129" s="69" t="inlineStr">
        <is>
          <t>Bank</t>
        </is>
      </c>
      <c r="F129" s="67" t="inlineStr">
        <is>
          <t>No</t>
        </is>
      </c>
      <c r="G129" s="60" t="inlineStr">
        <is>
          <t>Other California</t>
        </is>
      </c>
      <c r="H129" s="62" t="inlineStr">
        <is>
          <t>CA-HQ (NorCal/Central CA)</t>
        </is>
      </c>
      <c r="I129" s="63" t="inlineStr">
        <is>
          <t>$3k-$15k (est; Elan agent pattern, myFICO)</t>
        </is>
      </c>
      <c r="J129" s="60" t="inlineStr">
        <is>
          <t>$3.71B</t>
        </is>
      </c>
      <c r="K129" s="60" t="inlineStr">
        <is>
          <t>$2.94B</t>
        </is>
      </c>
      <c r="L129" s="60" t="inlineStr">
        <is>
          <t>Central Valley / Sierra foothills</t>
        </is>
      </c>
      <c r="M129" s="60" t="n">
        <v>56</v>
      </c>
      <c r="N129" s="60" t="inlineStr">
        <is>
          <t>Porterville</t>
        </is>
      </c>
      <c r="O129" s="60" t="inlineStr">
        <is>
          <t>Tulare</t>
        </is>
      </c>
      <c r="P129" s="64" t="inlineStr">
        <is>
          <t>bankofthesierra.com</t>
        </is>
      </c>
      <c r="Q129" s="65" t="inlineStr">
        <is>
          <t>Yes</t>
        </is>
      </c>
      <c r="R129" s="64" t="inlineStr">
        <is>
          <t>bankofthesierra.com/business/loans-credit-cards/business-credit-cards/</t>
        </is>
      </c>
      <c r="S129" s="65" t="inlineStr">
        <is>
          <t>Online</t>
        </is>
      </c>
      <c r="T129" s="60" t="inlineStr">
        <is>
          <t>Elan portal</t>
        </is>
      </c>
      <c r="U129" s="67" t="inlineStr">
        <is>
          <t>No</t>
        </is>
      </c>
      <c r="V129" s="74" t="inlineStr">
        <is>
          <t>Elan Financial Services (U.S. Bank)</t>
        </is>
      </c>
      <c r="W129" s="57" t="inlineStr">
        <is>
          <t>Yes (revolving)</t>
        </is>
      </c>
      <c r="X129" s="67" t="inlineStr">
        <is>
          <t>Verify (issuer menu)</t>
        </is>
      </c>
      <c r="Y129" s="60" t="inlineStr">
        <is>
          <t>Agent-issued; APR/AF per issuer T&amp;C (not on page)</t>
        </is>
      </c>
      <c r="Z129" s="60" t="inlineStr">
        <is>
          <t>TransUnion (Elan)</t>
        </is>
      </c>
      <c r="AA129" s="60" t="inlineStr">
        <is>
          <t>D&amp;B (delinquency-only)</t>
        </is>
      </c>
      <c r="AB129" s="60" t="inlineStr">
        <is>
          <t>No (delinquency-only)</t>
        </is>
      </c>
      <c r="AC129" s="60" t="inlineStr">
        <is>
          <t>None found (small agent program)</t>
        </is>
      </c>
      <c r="AD129" s="60" t="inlineStr">
        <is>
          <t>-</t>
        </is>
      </c>
      <c r="AE129" s="60" t="inlineStr">
        <is>
          <t>No (agent card)</t>
        </is>
      </c>
      <c r="AF129" s="60" t="inlineStr">
        <is>
          <t>No - commercial/SBA underwritten</t>
        </is>
      </c>
      <c r="AG129" s="60" t="inlineStr">
        <is>
          <t>Issuer = Elan VERIFIED.</t>
        </is>
      </c>
      <c r="AH129" s="64" t="inlineStr">
        <is>
          <t>bankofthesierra.com/business/.../business-credit-cards/</t>
        </is>
      </c>
    </row>
    <row r="130" ht="15.75" customHeight="1">
      <c r="A130" s="57" t="n"/>
      <c r="B130" s="72" t="inlineStr">
        <is>
          <t>C - Agent-issued card</t>
        </is>
      </c>
      <c r="C130" s="60" t="inlineStr">
        <is>
          <t>Community West Bank</t>
        </is>
      </c>
      <c r="D130" s="60" t="inlineStr">
        <is>
          <t>2/4 (missing: self-UW, SoCal)</t>
        </is>
      </c>
      <c r="E130" s="69" t="inlineStr">
        <is>
          <t>Bank</t>
        </is>
      </c>
      <c r="F130" s="67" t="inlineStr">
        <is>
          <t>No</t>
        </is>
      </c>
      <c r="G130" s="60" t="inlineStr">
        <is>
          <t>Other California</t>
        </is>
      </c>
      <c r="H130" s="62" t="inlineStr">
        <is>
          <t>CA-HQ (NorCal/Central CA)</t>
        </is>
      </c>
      <c r="I130" s="63" t="inlineStr">
        <is>
          <t>$2k-$10k (est; TCM community-bank pattern)</t>
        </is>
      </c>
      <c r="J130" s="60" t="inlineStr">
        <is>
          <t>$3.61B</t>
        </is>
      </c>
      <c r="K130" s="60" t="inlineStr">
        <is>
          <t>$3.08B</t>
        </is>
      </c>
      <c r="L130" s="60" t="inlineStr">
        <is>
          <t>Central CA + Central Coast (formerly Goleta); ~25 branches</t>
        </is>
      </c>
      <c r="M130" s="60" t="n">
        <v>56</v>
      </c>
      <c r="N130" s="60" t="inlineStr">
        <is>
          <t>Fresno</t>
        </is>
      </c>
      <c r="O130" s="60" t="inlineStr">
        <is>
          <t>Fresno</t>
        </is>
      </c>
      <c r="P130" s="64" t="inlineStr">
        <is>
          <t>communitywestbank.com</t>
        </is>
      </c>
      <c r="Q130" s="65" t="inlineStr">
        <is>
          <t>Yes</t>
        </is>
      </c>
      <c r="R130" s="64" t="inlineStr">
        <is>
          <t>communitywestbank.com/business-banking/business-online-banking/business-credit-cards</t>
        </is>
      </c>
      <c r="S130" s="65" t="inlineStr">
        <is>
          <t>Online</t>
        </is>
      </c>
      <c r="T130" s="60" t="inlineStr">
        <is>
          <t>cardaccount.net (TCM)</t>
        </is>
      </c>
      <c r="U130" s="67" t="inlineStr">
        <is>
          <t>No</t>
        </is>
      </c>
      <c r="V130" s="77" t="inlineStr">
        <is>
          <t>TCM Bank, N.A. (ICBA)</t>
        </is>
      </c>
      <c r="W130" s="57" t="inlineStr">
        <is>
          <t>Yes (revolving)</t>
        </is>
      </c>
      <c r="X130" s="67" t="inlineStr">
        <is>
          <t>Likely No</t>
        </is>
      </c>
      <c r="Y130" s="60" t="inlineStr">
        <is>
          <t>Standard Business ($0 AF) + Preferred Points ($49 AF). 25-day grace; 'competitive rates' (APR not on page)</t>
        </is>
      </c>
      <c r="Z130" s="60" t="inlineStr">
        <is>
          <t>Experian (TCM typical, inferred)</t>
        </is>
      </c>
      <c r="AA130" s="60" t="inlineStr">
        <is>
          <t>Unknown</t>
        </is>
      </c>
      <c r="AB130" s="60" t="inlineStr">
        <is>
          <t>Unknown</t>
        </is>
      </c>
      <c r="AC130" s="60" t="inlineStr">
        <is>
          <t>None found</t>
        </is>
      </c>
      <c r="AD130" s="60" t="inlineStr">
        <is>
          <t>-</t>
        </is>
      </c>
      <c r="AE130" s="60" t="inlineStr">
        <is>
          <t>Full app (PG, org docs, financials)</t>
        </is>
      </c>
      <c r="AF130" s="60" t="inlineStr">
        <is>
          <t>No - SBA/commercial underwritten</t>
        </is>
      </c>
      <c r="AG130" s="60" t="inlineStr">
        <is>
          <t>USER EXAMPLE - actually AGENT-issued (TCM Bank), NOT self-issued. Online apply YES.</t>
        </is>
      </c>
      <c r="AH130" s="64" t="inlineStr">
        <is>
          <t>communitywestbank.com/.../business-credit-cards</t>
        </is>
      </c>
    </row>
    <row r="131" ht="15.75" customHeight="1">
      <c r="A131" s="57" t="n"/>
      <c r="B131" s="72" t="inlineStr">
        <is>
          <t>C - Agent-issued card</t>
        </is>
      </c>
      <c r="C131" s="60" t="inlineStr">
        <is>
          <t>Provident Credit Union</t>
        </is>
      </c>
      <c r="D131" s="60" t="inlineStr">
        <is>
          <t>2/4 (missing: self-UW, SoCal)</t>
        </is>
      </c>
      <c r="E131" s="61" t="inlineStr">
        <is>
          <t>Credit Union</t>
        </is>
      </c>
      <c r="F131" s="67" t="inlineStr">
        <is>
          <t>No</t>
        </is>
      </c>
      <c r="G131" s="60" t="inlineStr">
        <is>
          <t>Other California</t>
        </is>
      </c>
      <c r="H131" s="62" t="inlineStr">
        <is>
          <t>CA-HQ (NorCal/Central CA)</t>
        </is>
      </c>
      <c r="I131" s="63" t="inlineStr">
        <is>
          <t>$3k-$15k (est; Elan agent pattern, myFICO)</t>
        </is>
      </c>
      <c r="J131" s="60" t="inlineStr">
        <is>
          <t>~$3B</t>
        </is>
      </c>
      <c r="K131" s="60" t="inlineStr">
        <is>
          <t>~$2.6B (shares)</t>
        </is>
      </c>
      <c r="L131" s="60" t="inlineStr">
        <is>
          <t>Bay Area CU; partner-org membership</t>
        </is>
      </c>
      <c r="M131" s="60" t="n">
        <v>56</v>
      </c>
      <c r="N131" s="60" t="inlineStr">
        <is>
          <t>Redwood City</t>
        </is>
      </c>
      <c r="O131" s="60" t="inlineStr">
        <is>
          <t>San Mateo</t>
        </is>
      </c>
      <c r="P131" s="64" t="inlineStr">
        <is>
          <t>providentcu.org</t>
        </is>
      </c>
      <c r="Q131" s="65" t="inlineStr">
        <is>
          <t>Yes</t>
        </is>
      </c>
      <c r="R131" s="64" t="inlineStr">
        <is>
          <t>providentcu.org/business/business-credit-cards</t>
        </is>
      </c>
      <c r="S131" s="65" t="inlineStr">
        <is>
          <t>Online</t>
        </is>
      </c>
      <c r="T131" s="60" t="inlineStr">
        <is>
          <t>Elan portal</t>
        </is>
      </c>
      <c r="U131" s="67" t="inlineStr">
        <is>
          <t>No</t>
        </is>
      </c>
      <c r="V131" s="74" t="inlineStr">
        <is>
          <t>Elan Financial Services (U.S. Bank)</t>
        </is>
      </c>
      <c r="W131" s="57" t="inlineStr">
        <is>
          <t>Yes (revolving)</t>
        </is>
      </c>
      <c r="X131" s="67" t="inlineStr">
        <is>
          <t>Verify (issuer menu)</t>
        </is>
      </c>
      <c r="Y131" s="60" t="inlineStr">
        <is>
          <t>Agent-issued; APR/AF per issuer T&amp;C (not on page)</t>
        </is>
      </c>
      <c r="Z131" s="60" t="inlineStr">
        <is>
          <t>TransUnion (Elan)</t>
        </is>
      </c>
      <c r="AA131" s="60" t="inlineStr">
        <is>
          <t>D&amp;B (delinquency-only)</t>
        </is>
      </c>
      <c r="AB131" s="60" t="inlineStr">
        <is>
          <t>No (delinquency-only)</t>
        </is>
      </c>
      <c r="AC131" s="60" t="inlineStr">
        <is>
          <t>None found (small agent program)</t>
        </is>
      </c>
      <c r="AD131" s="60" t="inlineStr">
        <is>
          <t>-</t>
        </is>
      </c>
      <c r="AE131" s="60" t="inlineStr">
        <is>
          <t>Membership req (partner-org path)</t>
        </is>
      </c>
      <c r="AF131" s="60" t="inlineStr">
        <is>
          <t>No - commercial/SBA underwritten</t>
        </is>
      </c>
      <c r="AG131" s="60" t="inlineStr">
        <is>
          <t>Issuer = Elan VERIFIED ('creditor and issuer ... is Elan').</t>
        </is>
      </c>
      <c r="AH131" s="64" t="inlineStr">
        <is>
          <t>providentcu.org/business/business-credit-cards</t>
        </is>
      </c>
    </row>
    <row r="132" ht="15.75" customHeight="1">
      <c r="A132" s="57" t="n"/>
      <c r="B132" s="72" t="inlineStr">
        <is>
          <t>C - Agent-issued card</t>
        </is>
      </c>
      <c r="C132" s="60" t="inlineStr">
        <is>
          <t>Comerica</t>
        </is>
      </c>
      <c r="D132" s="60" t="inlineStr">
        <is>
          <t>2/4 (missing: self-UW, SoCal)</t>
        </is>
      </c>
      <c r="E132" s="69" t="inlineStr">
        <is>
          <t>Bank</t>
        </is>
      </c>
      <c r="F132" s="67" t="inlineStr">
        <is>
          <t>No</t>
        </is>
      </c>
      <c r="G132" s="60" t="inlineStr">
        <is>
          <t>Out-of-state (national)</t>
        </is>
      </c>
      <c r="H132" s="62" t="inlineStr">
        <is>
          <t>Has CA branches (commercial) (CA-accessible)</t>
        </is>
      </c>
      <c r="I132" s="63" t="inlineStr">
        <is>
          <t>$3k-$15k (est; Elan agent pattern, myFICO)</t>
        </is>
      </c>
      <c r="J132" s="60" t="inlineStr">
        <is>
          <t>~$78B</t>
        </is>
      </c>
      <c r="K132" s="60" t="inlineStr">
        <is>
          <t>~$63B</t>
        </is>
      </c>
      <c r="L132" s="60" t="inlineStr">
        <is>
          <t>TX/MI/CA/AZ/FL; large CA commercial presence</t>
        </is>
      </c>
      <c r="M132" s="60" t="n">
        <v>54</v>
      </c>
      <c r="N132" s="60" t="inlineStr">
        <is>
          <t>Dallas</t>
        </is>
      </c>
      <c r="O132" s="60" t="inlineStr">
        <is>
          <t>Dallas (TX)</t>
        </is>
      </c>
      <c r="P132" s="64" t="inlineStr">
        <is>
          <t>comerica.com</t>
        </is>
      </c>
      <c r="Q132" s="65" t="inlineStr">
        <is>
          <t>Yes</t>
        </is>
      </c>
      <c r="R132" s="64" t="inlineStr">
        <is>
          <t>comerica.com/small-business/banking-and-services/business-credit-cards.html</t>
        </is>
      </c>
      <c r="S132" s="65" t="inlineStr">
        <is>
          <t>Online</t>
        </is>
      </c>
      <c r="T132" s="60" t="inlineStr">
        <is>
          <t>branchoffer.com (Elan)</t>
        </is>
      </c>
      <c r="U132" s="67" t="inlineStr">
        <is>
          <t>No</t>
        </is>
      </c>
      <c r="V132" s="74" t="inlineStr">
        <is>
          <t>Elan Financial Services (U.S. Bank)</t>
        </is>
      </c>
      <c r="W132" s="57" t="inlineStr">
        <is>
          <t>Yes (revolving)</t>
        </is>
      </c>
      <c r="X132" s="67" t="inlineStr">
        <is>
          <t>No (not advertised)</t>
        </is>
      </c>
      <c r="Y132" s="60" t="inlineStr">
        <is>
          <t>Smart Business Rewards MC (Elan): APR 18.74-25.74%, $0 yr1 then $95 (owner), 1 pt/$ + bonus</t>
        </is>
      </c>
      <c r="Z132" s="60" t="inlineStr">
        <is>
          <t>TransUnion (Elan)</t>
        </is>
      </c>
      <c r="AA132" s="60" t="inlineStr">
        <is>
          <t>D&amp;B (delinquency-only)</t>
        </is>
      </c>
      <c r="AB132" s="60" t="inlineStr">
        <is>
          <t>No (delinquency-only)</t>
        </is>
      </c>
      <c r="AC132" s="60" t="inlineStr">
        <is>
          <t>Elan general</t>
        </is>
      </c>
      <c r="AD132" s="64" t="inlineStr">
        <is>
          <t>stacking.capital</t>
        </is>
      </c>
      <c r="AE132" s="60" t="inlineStr">
        <is>
          <t>No (Elan card)</t>
        </is>
      </c>
      <c r="AF132" s="60" t="inlineStr">
        <is>
          <t>No - commercial/SBA underwritten</t>
        </is>
      </c>
      <c r="AG132" s="60" t="inlineStr">
        <is>
          <t>NOT self-issued - business cards are ELAN (VERIFIED 'creditor and issuer is Elan'). The lone super-regional exception.</t>
        </is>
      </c>
      <c r="AH132" s="64" t="inlineStr">
        <is>
          <t>comerica.com/.../business-credit-cards; card.myaccountaccess.com/elanmicro</t>
        </is>
      </c>
    </row>
    <row r="133" ht="15.75" customHeight="1">
      <c r="A133" s="57" t="n"/>
      <c r="B133" s="72" t="inlineStr">
        <is>
          <t>C - Agent-issued card</t>
        </is>
      </c>
      <c r="C133" s="60" t="inlineStr">
        <is>
          <t>Meriwest Credit Union</t>
        </is>
      </c>
      <c r="D133" s="60" t="inlineStr">
        <is>
          <t>2/4 (missing: self-UW, SoCal)</t>
        </is>
      </c>
      <c r="E133" s="61" t="inlineStr">
        <is>
          <t>Credit Union</t>
        </is>
      </c>
      <c r="F133" s="67" t="inlineStr">
        <is>
          <t>No</t>
        </is>
      </c>
      <c r="G133" s="60" t="inlineStr">
        <is>
          <t>Other California</t>
        </is>
      </c>
      <c r="H133" s="62" t="inlineStr">
        <is>
          <t>CA-HQ (NorCal/Central CA)</t>
        </is>
      </c>
      <c r="I133" s="63" t="inlineStr">
        <is>
          <t>$3k-$15k (est; Elan agent pattern, myFICO)</t>
        </is>
      </c>
      <c r="J133" s="60" t="inlineStr">
        <is>
          <t>~$2.3B</t>
        </is>
      </c>
      <c r="K133" s="60" t="inlineStr">
        <is>
          <t>~$2B (shares)</t>
        </is>
      </c>
      <c r="L133" s="60" t="inlineStr">
        <is>
          <t>Bay Area CU; Santa Clara/Alameda + assn path</t>
        </is>
      </c>
      <c r="M133" s="60" t="n">
        <v>54</v>
      </c>
      <c r="N133" s="60" t="inlineStr">
        <is>
          <t>San Jose</t>
        </is>
      </c>
      <c r="O133" s="60" t="inlineStr">
        <is>
          <t>Santa Clara</t>
        </is>
      </c>
      <c r="P133" s="64" t="inlineStr">
        <is>
          <t>meriwest.com</t>
        </is>
      </c>
      <c r="Q133" s="65" t="inlineStr">
        <is>
          <t>Yes</t>
        </is>
      </c>
      <c r="R133" s="64" t="inlineStr">
        <is>
          <t>meriwest.com/business/business-credit-cards</t>
        </is>
      </c>
      <c r="S133" s="65" t="inlineStr">
        <is>
          <t>Online</t>
        </is>
      </c>
      <c r="T133" s="60" t="inlineStr">
        <is>
          <t>Elan portal</t>
        </is>
      </c>
      <c r="U133" s="67" t="inlineStr">
        <is>
          <t>No</t>
        </is>
      </c>
      <c r="V133" s="74" t="inlineStr">
        <is>
          <t>Elan Financial Services (U.S. Bank)</t>
        </is>
      </c>
      <c r="W133" s="57" t="inlineStr">
        <is>
          <t>Yes (revolving)</t>
        </is>
      </c>
      <c r="X133" s="67" t="inlineStr">
        <is>
          <t>Verify (issuer menu)</t>
        </is>
      </c>
      <c r="Y133" s="60" t="inlineStr">
        <is>
          <t>Agent-issued; APR/AF per issuer T&amp;C (not on page)</t>
        </is>
      </c>
      <c r="Z133" s="60" t="inlineStr">
        <is>
          <t>TransUnion (Elan)</t>
        </is>
      </c>
      <c r="AA133" s="60" t="inlineStr">
        <is>
          <t>D&amp;B (delinquency-only)</t>
        </is>
      </c>
      <c r="AB133" s="60" t="inlineStr">
        <is>
          <t>No (delinquency-only)</t>
        </is>
      </c>
      <c r="AC133" s="60" t="inlineStr">
        <is>
          <t>None found (small agent program)</t>
        </is>
      </c>
      <c r="AD133" s="60" t="inlineStr">
        <is>
          <t>-</t>
        </is>
      </c>
      <c r="AE133" s="60" t="inlineStr">
        <is>
          <t>Membership req (assn path)</t>
        </is>
      </c>
      <c r="AF133" s="60" t="inlineStr">
        <is>
          <t>No - commercial/SBA underwritten</t>
        </is>
      </c>
      <c r="AG133" s="60" t="inlineStr">
        <is>
          <t>Issuer = Elan VERIFIED ('creditor and issuer ... is Elan').</t>
        </is>
      </c>
      <c r="AH133" s="64" t="inlineStr">
        <is>
          <t>meriwest.com/business/business-credit-cards</t>
        </is>
      </c>
    </row>
    <row r="134" ht="15.75" customHeight="1">
      <c r="A134" s="57" t="n"/>
      <c r="B134" s="72" t="inlineStr">
        <is>
          <t>C - Agent-issued card</t>
        </is>
      </c>
      <c r="C134" s="60" t="inlineStr">
        <is>
          <t>Exchange Bank</t>
        </is>
      </c>
      <c r="D134" s="60" t="inlineStr">
        <is>
          <t>1/4 (missing: self-UW, apply online, SoCal)</t>
        </is>
      </c>
      <c r="E134" s="69" t="inlineStr">
        <is>
          <t>Bank</t>
        </is>
      </c>
      <c r="F134" s="67" t="inlineStr">
        <is>
          <t>No</t>
        </is>
      </c>
      <c r="G134" s="60" t="inlineStr">
        <is>
          <t>Other California</t>
        </is>
      </c>
      <c r="H134" s="62" t="inlineStr">
        <is>
          <t>CA-HQ (NorCal/Central CA)</t>
        </is>
      </c>
      <c r="I134" s="63" t="inlineStr">
        <is>
          <t>$3k-$15k (est; Elan agent pattern, myFICO)</t>
        </is>
      </c>
      <c r="J134" s="60" t="inlineStr">
        <is>
          <t>$3.31B</t>
        </is>
      </c>
      <c r="K134" s="60" t="inlineStr">
        <is>
          <t>$2.89B</t>
        </is>
      </c>
      <c r="L134" s="60" t="inlineStr">
        <is>
          <t>Sonoma County community bank</t>
        </is>
      </c>
      <c r="M134" s="60" t="n">
        <v>46</v>
      </c>
      <c r="N134" s="60" t="inlineStr">
        <is>
          <t>Santa Rosa</t>
        </is>
      </c>
      <c r="O134" s="60" t="inlineStr">
        <is>
          <t>Sonoma</t>
        </is>
      </c>
      <c r="P134" s="64" t="inlineStr">
        <is>
          <t>exchangebank.com</t>
        </is>
      </c>
      <c r="Q134" s="65" t="inlineStr">
        <is>
          <t>Yes</t>
        </is>
      </c>
      <c r="R134" s="64" t="inlineStr">
        <is>
          <t>exchangebank.com/business/credit-cards</t>
        </is>
      </c>
      <c r="S134" s="66" t="inlineStr">
        <is>
          <t>Partial online</t>
        </is>
      </c>
      <c r="T134" s="60" t="inlineStr">
        <is>
          <t>Elan (no online app shown)</t>
        </is>
      </c>
      <c r="U134" s="67" t="inlineStr">
        <is>
          <t>No</t>
        </is>
      </c>
      <c r="V134" s="74" t="inlineStr">
        <is>
          <t>Elan Financial Services (U.S. Bank)</t>
        </is>
      </c>
      <c r="W134" s="57" t="inlineStr">
        <is>
          <t>Yes (revolving)</t>
        </is>
      </c>
      <c r="X134" s="67" t="inlineStr">
        <is>
          <t>Verify (issuer menu)</t>
        </is>
      </c>
      <c r="Y134" s="60" t="inlineStr">
        <is>
          <t>Agent-issued; APR/AF per issuer T&amp;C (not on page)</t>
        </is>
      </c>
      <c r="Z134" s="60" t="inlineStr">
        <is>
          <t>TransUnion (Elan)</t>
        </is>
      </c>
      <c r="AA134" s="60" t="inlineStr">
        <is>
          <t>D&amp;B (delinquency-only)</t>
        </is>
      </c>
      <c r="AB134" s="60" t="inlineStr">
        <is>
          <t>No (delinquency-only)</t>
        </is>
      </c>
      <c r="AC134" s="60" t="inlineStr">
        <is>
          <t>None found (small agent program)</t>
        </is>
      </c>
      <c r="AD134" s="60" t="inlineStr">
        <is>
          <t>-</t>
        </is>
      </c>
      <c r="AE134" s="60" t="inlineStr">
        <is>
          <t>No (agent card)</t>
        </is>
      </c>
      <c r="AF134" s="60" t="inlineStr">
        <is>
          <t>No - commercial/SBA underwritten</t>
        </is>
      </c>
      <c r="AG134" s="60" t="inlineStr">
        <is>
          <t>Issuer = Elan VERIFIED.</t>
        </is>
      </c>
      <c r="AH134" s="64" t="inlineStr">
        <is>
          <t>exchangebank.com/business/credit-cards</t>
        </is>
      </c>
    </row>
    <row r="135" ht="15.75" customHeight="1">
      <c r="A135" s="57" t="n"/>
      <c r="B135" s="72" t="inlineStr">
        <is>
          <t>C - Agent-issued card</t>
        </is>
      </c>
      <c r="C135" s="60" t="inlineStr">
        <is>
          <t>Plumas Bank</t>
        </is>
      </c>
      <c r="D135" s="60" t="inlineStr">
        <is>
          <t>1/4 (missing: self-UW, apply online, SoCal)</t>
        </is>
      </c>
      <c r="E135" s="69" t="inlineStr">
        <is>
          <t>Bank</t>
        </is>
      </c>
      <c r="F135" s="67" t="inlineStr">
        <is>
          <t>No</t>
        </is>
      </c>
      <c r="G135" s="60" t="inlineStr">
        <is>
          <t>Other California</t>
        </is>
      </c>
      <c r="H135" s="62" t="inlineStr">
        <is>
          <t>CA-HQ (NorCal/Central CA)</t>
        </is>
      </c>
      <c r="I135" s="63" t="inlineStr">
        <is>
          <t>$3k-$15k (est; agent program)</t>
        </is>
      </c>
      <c r="J135" s="60" t="inlineStr">
        <is>
          <t>$2.23B</t>
        </is>
      </c>
      <c r="K135" s="60" t="inlineStr">
        <is>
          <t>$1.83B</t>
        </is>
      </c>
      <c r="L135" s="60" t="inlineStr">
        <is>
          <t>NE California / Sierra community bank</t>
        </is>
      </c>
      <c r="M135" s="60" t="n">
        <v>44</v>
      </c>
      <c r="N135" s="60" t="inlineStr">
        <is>
          <t>Quincy</t>
        </is>
      </c>
      <c r="O135" s="60" t="inlineStr">
        <is>
          <t>Plumas</t>
        </is>
      </c>
      <c r="P135" s="64" t="inlineStr">
        <is>
          <t>plumasbank.com</t>
        </is>
      </c>
      <c r="Q135" s="65" t="inlineStr">
        <is>
          <t>Yes</t>
        </is>
      </c>
      <c r="R135" s="64" t="inlineStr">
        <is>
          <t>plumasbank.com/business-banking/business-card-services</t>
        </is>
      </c>
      <c r="S135" s="66" t="inlineStr">
        <is>
          <t>Partial online</t>
        </is>
      </c>
      <c r="T135" s="60" t="inlineStr">
        <is>
          <t>App PDF / branch (TIB)</t>
        </is>
      </c>
      <c r="U135" s="67" t="inlineStr">
        <is>
          <t>No</t>
        </is>
      </c>
      <c r="V135" s="78" t="inlineStr">
        <is>
          <t>TIB, N.A. (agent)</t>
        </is>
      </c>
      <c r="W135" s="57" t="inlineStr">
        <is>
          <t>Yes (revolving)</t>
        </is>
      </c>
      <c r="X135" s="67" t="inlineStr">
        <is>
          <t>Verify (issuer menu)</t>
        </is>
      </c>
      <c r="Y135" s="60" t="inlineStr">
        <is>
          <t>Agent-issued; APR/AF per issuer T&amp;C (not on page)</t>
        </is>
      </c>
      <c r="Z135" s="60" t="inlineStr">
        <is>
          <t>Per TIB</t>
        </is>
      </c>
      <c r="AA135" s="60" t="inlineStr">
        <is>
          <t>Per issuer</t>
        </is>
      </c>
      <c r="AB135" s="60" t="inlineStr">
        <is>
          <t>No (typical)</t>
        </is>
      </c>
      <c r="AC135" s="60" t="inlineStr">
        <is>
          <t>None found (small agent program)</t>
        </is>
      </c>
      <c r="AD135" s="60" t="inlineStr">
        <is>
          <t>-</t>
        </is>
      </c>
      <c r="AE135" s="60" t="inlineStr">
        <is>
          <t>No (agent card)</t>
        </is>
      </c>
      <c r="AF135" s="60" t="inlineStr">
        <is>
          <t>No - commercial/SBA underwritten</t>
        </is>
      </c>
      <c r="AG135" s="60" t="inlineStr">
        <is>
          <t>Issuer = TIB VERIFIED ('issued, owned, and serviced by TIB').</t>
        </is>
      </c>
      <c r="AH135" s="64" t="inlineStr">
        <is>
          <t>plumasbank.com/business-banking/business-card-services</t>
        </is>
      </c>
    </row>
    <row r="136" ht="15.75" customHeight="1">
      <c r="A136" s="57" t="n"/>
      <c r="B136" s="72" t="inlineStr">
        <is>
          <t>C - Agent-issued card</t>
        </is>
      </c>
      <c r="C136" s="60" t="inlineStr">
        <is>
          <t>First Northern Bank of Dixon</t>
        </is>
      </c>
      <c r="D136" s="60" t="inlineStr">
        <is>
          <t>1/4 (missing: self-UW, apply online, SoCal)</t>
        </is>
      </c>
      <c r="E136" s="69" t="inlineStr">
        <is>
          <t>Bank</t>
        </is>
      </c>
      <c r="F136" s="67" t="inlineStr">
        <is>
          <t>No</t>
        </is>
      </c>
      <c r="G136" s="60" t="inlineStr">
        <is>
          <t>Other California</t>
        </is>
      </c>
      <c r="H136" s="62" t="inlineStr">
        <is>
          <t>CA-HQ (NorCal/Central CA)</t>
        </is>
      </c>
      <c r="I136" s="63" t="inlineStr">
        <is>
          <t>$3k-$15k (est; Elan agent pattern, myFICO)</t>
        </is>
      </c>
      <c r="J136" s="60" t="inlineStr">
        <is>
          <t>$1.91B</t>
        </is>
      </c>
      <c r="K136" s="60" t="inlineStr">
        <is>
          <t>$1.69B</t>
        </is>
      </c>
      <c r="L136" s="60" t="inlineStr">
        <is>
          <t>Sacramento Valley community bank</t>
        </is>
      </c>
      <c r="M136" s="60" t="n">
        <v>44</v>
      </c>
      <c r="N136" s="60" t="inlineStr">
        <is>
          <t>Dixon</t>
        </is>
      </c>
      <c r="O136" s="60" t="inlineStr">
        <is>
          <t>Solano</t>
        </is>
      </c>
      <c r="P136" s="64" t="inlineStr">
        <is>
          <t>thatsmybank.com</t>
        </is>
      </c>
      <c r="Q136" s="65" t="inlineStr">
        <is>
          <t>Yes</t>
        </is>
      </c>
      <c r="R136" s="64" t="inlineStr">
        <is>
          <t>thatsmybank.com/business/business-credit-cards.html</t>
        </is>
      </c>
      <c r="S136" s="66" t="inlineStr">
        <is>
          <t>Partial online</t>
        </is>
      </c>
      <c r="T136" s="60" t="inlineStr">
        <is>
          <t>Elan (no online app shown)</t>
        </is>
      </c>
      <c r="U136" s="67" t="inlineStr">
        <is>
          <t>No</t>
        </is>
      </c>
      <c r="V136" s="74" t="inlineStr">
        <is>
          <t>Elan Financial Services (U.S. Bank)</t>
        </is>
      </c>
      <c r="W136" s="57" t="inlineStr">
        <is>
          <t>Yes (revolving)</t>
        </is>
      </c>
      <c r="X136" s="67" t="inlineStr">
        <is>
          <t>Verify (issuer menu)</t>
        </is>
      </c>
      <c r="Y136" s="60" t="inlineStr">
        <is>
          <t>Agent-issued; APR/AF per issuer T&amp;C (not on page)</t>
        </is>
      </c>
      <c r="Z136" s="60" t="inlineStr">
        <is>
          <t>TransUnion (Elan)</t>
        </is>
      </c>
      <c r="AA136" s="60" t="inlineStr">
        <is>
          <t>D&amp;B (delinquency-only)</t>
        </is>
      </c>
      <c r="AB136" s="60" t="inlineStr">
        <is>
          <t>No (delinquency-only)</t>
        </is>
      </c>
      <c r="AC136" s="60" t="inlineStr">
        <is>
          <t>None found (small agent program)</t>
        </is>
      </c>
      <c r="AD136" s="60" t="inlineStr">
        <is>
          <t>-</t>
        </is>
      </c>
      <c r="AE136" s="60" t="inlineStr">
        <is>
          <t>No (agent card)</t>
        </is>
      </c>
      <c r="AF136" s="60" t="inlineStr">
        <is>
          <t>No - commercial/SBA underwritten</t>
        </is>
      </c>
      <c r="AG136" s="60" t="inlineStr">
        <is>
          <t>Issuer = Elan VERIFIED.</t>
        </is>
      </c>
      <c r="AH136" s="64" t="inlineStr">
        <is>
          <t>thatsmybank.com/business/business-credit-cards.html</t>
        </is>
      </c>
    </row>
    <row r="137" ht="15.75" customHeight="1">
      <c r="A137" s="57" t="n"/>
      <c r="B137" s="72" t="inlineStr">
        <is>
          <t>C - Agent-issued card</t>
        </is>
      </c>
      <c r="C137" s="60" t="inlineStr">
        <is>
          <t>FFB Bank</t>
        </is>
      </c>
      <c r="D137" s="60" t="inlineStr">
        <is>
          <t>1/4 (missing: self-UW, apply online, SoCal)</t>
        </is>
      </c>
      <c r="E137" s="69" t="inlineStr">
        <is>
          <t>Bank</t>
        </is>
      </c>
      <c r="F137" s="67" t="inlineStr">
        <is>
          <t>No</t>
        </is>
      </c>
      <c r="G137" s="60" t="inlineStr">
        <is>
          <t>Other California</t>
        </is>
      </c>
      <c r="H137" s="62" t="inlineStr">
        <is>
          <t>CA-HQ (NorCal/Central CA)</t>
        </is>
      </c>
      <c r="I137" s="63" t="inlineStr">
        <is>
          <t>$2k-$10k (est; TCM community-bank pattern)</t>
        </is>
      </c>
      <c r="J137" s="60" t="inlineStr">
        <is>
          <t>$1.51B</t>
        </is>
      </c>
      <c r="K137" s="60" t="inlineStr">
        <is>
          <t>$1.26B</t>
        </is>
      </c>
      <c r="L137" s="60" t="inlineStr">
        <is>
          <t>Central Valley (Fresno) business bank</t>
        </is>
      </c>
      <c r="M137" s="60" t="n">
        <v>44</v>
      </c>
      <c r="N137" s="60" t="inlineStr">
        <is>
          <t>Fresno</t>
        </is>
      </c>
      <c r="O137" s="60" t="inlineStr">
        <is>
          <t>Fresno</t>
        </is>
      </c>
      <c r="P137" s="64" t="inlineStr">
        <is>
          <t>ffb.bank</t>
        </is>
      </c>
      <c r="Q137" s="65" t="inlineStr">
        <is>
          <t>Yes</t>
        </is>
      </c>
      <c r="R137" s="64" t="inlineStr">
        <is>
          <t>ffb.bank/home/business/loans-credit/credit-cards/</t>
        </is>
      </c>
      <c r="S137" s="66" t="inlineStr">
        <is>
          <t>Partial online</t>
        </is>
      </c>
      <c r="T137" s="60" t="inlineStr">
        <is>
          <t>cardaccount.net (TCM, offline)</t>
        </is>
      </c>
      <c r="U137" s="67" t="inlineStr">
        <is>
          <t>No</t>
        </is>
      </c>
      <c r="V137" s="77" t="inlineStr">
        <is>
          <t>TCM Bank, N.A. (ICBA)</t>
        </is>
      </c>
      <c r="W137" s="57" t="inlineStr">
        <is>
          <t>Yes (revolving)</t>
        </is>
      </c>
      <c r="X137" s="67" t="inlineStr">
        <is>
          <t>No (TCM 2.9% intro, not 0%)</t>
        </is>
      </c>
      <c r="Y137" s="60" t="inlineStr">
        <is>
          <t>Agent-issued; APR/AF per issuer T&amp;C (not on page)</t>
        </is>
      </c>
      <c r="Z137" s="60" t="inlineStr">
        <is>
          <t>Experian (TCM typical)</t>
        </is>
      </c>
      <c r="AA137" s="60" t="inlineStr">
        <is>
          <t>Unknown</t>
        </is>
      </c>
      <c r="AB137" s="60" t="inlineStr">
        <is>
          <t>Unknown</t>
        </is>
      </c>
      <c r="AC137" s="60" t="inlineStr">
        <is>
          <t>None found (small agent program)</t>
        </is>
      </c>
      <c r="AD137" s="60" t="inlineStr">
        <is>
          <t>-</t>
        </is>
      </c>
      <c r="AE137" s="60" t="inlineStr">
        <is>
          <t>No (agent card)</t>
        </is>
      </c>
      <c r="AF137" s="60" t="inlineStr">
        <is>
          <t>No - commercial/SBA underwritten</t>
        </is>
      </c>
      <c r="AG137" s="60" t="inlineStr">
        <is>
          <t>Issuer = TCM (cardaccount.net + Preferred Points platform). TCM intro = 2.9%/6mo (not 0%).</t>
        </is>
      </c>
      <c r="AH137" s="64" t="inlineStr">
        <is>
          <t>ffb.bank/home/business/loans-credit/credit-cards/</t>
        </is>
      </c>
    </row>
    <row r="138" ht="15.75" customHeight="1">
      <c r="A138" s="57" t="n"/>
      <c r="B138" s="72" t="inlineStr">
        <is>
          <t>C - Agent-issued card</t>
        </is>
      </c>
      <c r="C138" s="60" t="inlineStr">
        <is>
          <t>Savings Bank of Mendocino County</t>
        </is>
      </c>
      <c r="D138" s="60" t="inlineStr">
        <is>
          <t>1/4 (missing: self-UW, apply online, SoCal)</t>
        </is>
      </c>
      <c r="E138" s="69" t="inlineStr">
        <is>
          <t>Bank</t>
        </is>
      </c>
      <c r="F138" s="67" t="inlineStr">
        <is>
          <t>No</t>
        </is>
      </c>
      <c r="G138" s="60" t="inlineStr">
        <is>
          <t>Other California</t>
        </is>
      </c>
      <c r="H138" s="62" t="inlineStr">
        <is>
          <t>CA-HQ (NorCal/Central CA)</t>
        </is>
      </c>
      <c r="I138" s="63" t="inlineStr">
        <is>
          <t>$3k-$15k (est; Elan agent pattern, myFICO)</t>
        </is>
      </c>
      <c r="J138" s="60" t="inlineStr">
        <is>
          <t>$1.35B</t>
        </is>
      </c>
      <c r="K138" s="60" t="inlineStr">
        <is>
          <t>$1.05B</t>
        </is>
      </c>
      <c r="L138" s="60" t="inlineStr">
        <is>
          <t>North Coast community bank</t>
        </is>
      </c>
      <c r="M138" s="60" t="n">
        <v>44</v>
      </c>
      <c r="N138" s="60" t="inlineStr">
        <is>
          <t>Ukiah</t>
        </is>
      </c>
      <c r="O138" s="60" t="inlineStr">
        <is>
          <t>Mendocino</t>
        </is>
      </c>
      <c r="P138" s="64" t="inlineStr">
        <is>
          <t>savingsbank.com</t>
        </is>
      </c>
      <c r="Q138" s="65" t="inlineStr">
        <is>
          <t>Yes</t>
        </is>
      </c>
      <c r="R138" s="64" t="inlineStr">
        <is>
          <t>savingsbank.com/business/bank-cards/</t>
        </is>
      </c>
      <c r="S138" s="66" t="inlineStr">
        <is>
          <t>Partial online</t>
        </is>
      </c>
      <c r="T138" s="60" t="inlineStr">
        <is>
          <t>Elan</t>
        </is>
      </c>
      <c r="U138" s="67" t="inlineStr">
        <is>
          <t>No</t>
        </is>
      </c>
      <c r="V138" s="74" t="inlineStr">
        <is>
          <t>Elan Financial Services (U.S. Bank)</t>
        </is>
      </c>
      <c r="W138" s="57" t="inlineStr">
        <is>
          <t>Yes (revolving)</t>
        </is>
      </c>
      <c r="X138" s="67" t="inlineStr">
        <is>
          <t>Verify (issuer menu)</t>
        </is>
      </c>
      <c r="Y138" s="60" t="inlineStr">
        <is>
          <t>Agent-issued; APR/AF per issuer T&amp;C (not on page)</t>
        </is>
      </c>
      <c r="Z138" s="60" t="inlineStr">
        <is>
          <t>TransUnion (Elan)</t>
        </is>
      </c>
      <c r="AA138" s="60" t="inlineStr">
        <is>
          <t>D&amp;B (delinquency-only)</t>
        </is>
      </c>
      <c r="AB138" s="60" t="inlineStr">
        <is>
          <t>No (delinquency-only)</t>
        </is>
      </c>
      <c r="AC138" s="60" t="inlineStr">
        <is>
          <t>None found (small agent program)</t>
        </is>
      </c>
      <c r="AD138" s="60" t="inlineStr">
        <is>
          <t>-</t>
        </is>
      </c>
      <c r="AE138" s="60" t="inlineStr">
        <is>
          <t>No (agent card)</t>
        </is>
      </c>
      <c r="AF138" s="60" t="inlineStr">
        <is>
          <t>No - commercial/SBA underwritten</t>
        </is>
      </c>
      <c r="AG138" s="60" t="inlineStr">
        <is>
          <t>Issuer = Elan VERIFIED.</t>
        </is>
      </c>
      <c r="AH138" s="64" t="inlineStr">
        <is>
          <t>savingsbank.com/business/bank-cards/</t>
        </is>
      </c>
    </row>
    <row r="139" ht="15.75" customHeight="1">
      <c r="A139" s="57" t="n"/>
      <c r="B139" s="72" t="inlineStr">
        <is>
          <t>C - Agent-issued card</t>
        </is>
      </c>
      <c r="C139" s="60" t="inlineStr">
        <is>
          <t>Summit State Bank</t>
        </is>
      </c>
      <c r="D139" s="60" t="inlineStr">
        <is>
          <t>1/4 (missing: self-UW, apply online, SoCal)</t>
        </is>
      </c>
      <c r="E139" s="69" t="inlineStr">
        <is>
          <t>Bank</t>
        </is>
      </c>
      <c r="F139" s="67" t="inlineStr">
        <is>
          <t>No</t>
        </is>
      </c>
      <c r="G139" s="60" t="inlineStr">
        <is>
          <t>Other California</t>
        </is>
      </c>
      <c r="H139" s="62" t="inlineStr">
        <is>
          <t>CA-HQ (NorCal/Central CA)</t>
        </is>
      </c>
      <c r="I139" s="63" t="inlineStr">
        <is>
          <t>$3k-$15k (est; Elan agent pattern, myFICO)</t>
        </is>
      </c>
      <c r="J139" s="60" t="inlineStr">
        <is>
          <t>$1.01B</t>
        </is>
      </c>
      <c r="K139" s="60" t="inlineStr">
        <is>
          <t>$0.89B</t>
        </is>
      </c>
      <c r="L139" s="60" t="inlineStr">
        <is>
          <t>Sonoma County community bank</t>
        </is>
      </c>
      <c r="M139" s="60" t="n">
        <v>44</v>
      </c>
      <c r="N139" s="60" t="inlineStr">
        <is>
          <t>Santa Rosa</t>
        </is>
      </c>
      <c r="O139" s="60" t="inlineStr">
        <is>
          <t>Sonoma</t>
        </is>
      </c>
      <c r="P139" s="64" t="inlineStr">
        <is>
          <t>summitstatebank.com</t>
        </is>
      </c>
      <c r="Q139" s="65" t="inlineStr">
        <is>
          <t>Yes</t>
        </is>
      </c>
      <c r="R139" s="64" t="inlineStr">
        <is>
          <t>summitstatebank.com/business-banking.php</t>
        </is>
      </c>
      <c r="S139" s="66" t="inlineStr">
        <is>
          <t>Partial online</t>
        </is>
      </c>
      <c r="T139" s="60" t="inlineStr">
        <is>
          <t>Elan (inferred)</t>
        </is>
      </c>
      <c r="U139" s="67" t="inlineStr">
        <is>
          <t>No</t>
        </is>
      </c>
      <c r="V139" s="74" t="inlineStr">
        <is>
          <t>Elan Financial Services (inferred)</t>
        </is>
      </c>
      <c r="W139" s="57" t="inlineStr">
        <is>
          <t>Yes (revolving)</t>
        </is>
      </c>
      <c r="X139" s="67" t="inlineStr">
        <is>
          <t>Verify (issuer menu)</t>
        </is>
      </c>
      <c r="Y139" s="60" t="inlineStr">
        <is>
          <t>Agent-issued; APR/AF per issuer T&amp;C (not on page)</t>
        </is>
      </c>
      <c r="Z139" s="60" t="inlineStr">
        <is>
          <t>TransUnion (Elan)</t>
        </is>
      </c>
      <c r="AA139" s="60" t="inlineStr">
        <is>
          <t>D&amp;B (delinquency-only)</t>
        </is>
      </c>
      <c r="AB139" s="60" t="inlineStr">
        <is>
          <t>No (delinquency-only)</t>
        </is>
      </c>
      <c r="AC139" s="60" t="inlineStr">
        <is>
          <t>None found (small agent program)</t>
        </is>
      </c>
      <c r="AD139" s="60" t="inlineStr">
        <is>
          <t>-</t>
        </is>
      </c>
      <c r="AE139" s="60" t="inlineStr">
        <is>
          <t>No (agent card)</t>
        </is>
      </c>
      <c r="AF139" s="60" t="inlineStr">
        <is>
          <t>No - commercial/SBA underwritten</t>
        </is>
      </c>
      <c r="AG139" s="60" t="inlineStr">
        <is>
          <t>Issuer = Elan INFERRED (template copy; not own-page confirmed).</t>
        </is>
      </c>
      <c r="AH139" s="64" t="inlineStr">
        <is>
          <t>summitstatebank.com/business-banking.php</t>
        </is>
      </c>
    </row>
    <row r="140" ht="15.75" customHeight="1">
      <c r="A140" s="57" t="n"/>
      <c r="B140" s="72" t="inlineStr">
        <is>
          <t>C - Agent-issued card</t>
        </is>
      </c>
      <c r="C140" s="60" t="inlineStr">
        <is>
          <t>Connexus Credit Union</t>
        </is>
      </c>
      <c r="D140" s="60" t="inlineStr">
        <is>
          <t>2/4 (missing: self-UW, SoCal)</t>
        </is>
      </c>
      <c r="E140" s="61" t="inlineStr">
        <is>
          <t>Credit Union</t>
        </is>
      </c>
      <c r="F140" s="67" t="inlineStr">
        <is>
          <t>No</t>
        </is>
      </c>
      <c r="G140" s="60" t="inlineStr">
        <is>
          <t>Out-of-state (national)</t>
        </is>
      </c>
      <c r="H140" s="62" t="inlineStr">
        <is>
          <t>CU - joinable from CA (Connexus Assn $5)</t>
        </is>
      </c>
      <c r="I140" s="63" t="inlineStr">
        <is>
          <t>$3k-$15k (est; Elan agent pattern, myFICO)</t>
        </is>
      </c>
      <c r="J140" s="60" t="inlineStr">
        <is>
          <t>~$5.3B</t>
        </is>
      </c>
      <c r="K140" s="60" t="inlineStr">
        <is>
          <t>~$4.5B (shares)</t>
        </is>
      </c>
      <c r="L140" s="60" t="inlineStr">
        <is>
          <t>Wisconsin + national digital; ~$5.3B</t>
        </is>
      </c>
      <c r="M140" s="60" t="n">
        <v>42</v>
      </c>
      <c r="N140" s="60" t="inlineStr">
        <is>
          <t>Wausau</t>
        </is>
      </c>
      <c r="O140" s="60" t="inlineStr">
        <is>
          <t>Marathon (WI)</t>
        </is>
      </c>
      <c r="P140" s="64" t="inlineStr">
        <is>
          <t>connexuscu.org</t>
        </is>
      </c>
      <c r="Q140" s="65" t="inlineStr">
        <is>
          <t>Yes</t>
        </is>
      </c>
      <c r="R140" s="64" t="inlineStr">
        <is>
          <t>connexuscu.org/accounts/business-credit-cards</t>
        </is>
      </c>
      <c r="S140" s="65" t="inlineStr">
        <is>
          <t>Online</t>
        </is>
      </c>
      <c r="T140" s="60" t="inlineStr">
        <is>
          <t>Elan portal</t>
        </is>
      </c>
      <c r="U140" s="67" t="inlineStr">
        <is>
          <t>No</t>
        </is>
      </c>
      <c r="V140" s="74" t="inlineStr">
        <is>
          <t>Elan Financial Services (U.S. Bank)</t>
        </is>
      </c>
      <c r="W140" s="57" t="inlineStr">
        <is>
          <t>Yes (revolving)</t>
        </is>
      </c>
      <c r="X140" s="67" t="inlineStr">
        <is>
          <t>Verify (issuer menu)</t>
        </is>
      </c>
      <c r="Y140" s="60" t="inlineStr">
        <is>
          <t>Agent-issued; APR/AF per issuer T&amp;C (not on page)</t>
        </is>
      </c>
      <c r="Z140" s="60" t="inlineStr">
        <is>
          <t>TransUnion (Elan)</t>
        </is>
      </c>
      <c r="AA140" s="60" t="inlineStr">
        <is>
          <t>D&amp;B (delinquency-only)</t>
        </is>
      </c>
      <c r="AB140" s="60" t="inlineStr">
        <is>
          <t>No (delinquency-only)</t>
        </is>
      </c>
      <c r="AC140" s="60" t="inlineStr">
        <is>
          <t>None found (small agent program)</t>
        </is>
      </c>
      <c r="AD140" s="60" t="inlineStr">
        <is>
          <t>-</t>
        </is>
      </c>
      <c r="AE140" s="60" t="inlineStr">
        <is>
          <t>Membership req (OPEN: Connexus Assn $5)</t>
        </is>
      </c>
      <c r="AF140" s="60" t="inlineStr">
        <is>
          <t>No - commercial/SBA underwritten</t>
        </is>
      </c>
      <c r="AG140" s="60" t="inlineStr">
        <is>
          <t>Issuer = Elan VERIFIED ('creditor and issuer is Elan'); myFICO confirms.</t>
        </is>
      </c>
      <c r="AH140" s="64" t="inlineStr">
        <is>
          <t>connexuscu.org/accounts/business-credit-cards</t>
        </is>
      </c>
    </row>
    <row r="141" ht="15.75" customHeight="1">
      <c r="A141" s="57" t="n"/>
      <c r="B141" s="72" t="inlineStr">
        <is>
          <t>C - Agent-issued card</t>
        </is>
      </c>
      <c r="C141" s="60" t="inlineStr">
        <is>
          <t>BAC Community Bank</t>
        </is>
      </c>
      <c r="D141" s="60" t="inlineStr">
        <is>
          <t>1/4 (missing: self-UW, apply online, SoCal)</t>
        </is>
      </c>
      <c r="E141" s="69" t="inlineStr">
        <is>
          <t>Bank</t>
        </is>
      </c>
      <c r="F141" s="67" t="inlineStr">
        <is>
          <t>No</t>
        </is>
      </c>
      <c r="G141" s="60" t="inlineStr">
        <is>
          <t>Other California</t>
        </is>
      </c>
      <c r="H141" s="62" t="inlineStr">
        <is>
          <t>CA-HQ (NorCal/Central CA)</t>
        </is>
      </c>
      <c r="I141" s="63" t="inlineStr">
        <is>
          <t>$2k-$10k (est; TCM community-bank pattern)</t>
        </is>
      </c>
      <c r="J141" s="60" t="inlineStr">
        <is>
          <t>$0.79B</t>
        </is>
      </c>
      <c r="K141" s="60" t="inlineStr">
        <is>
          <t>$0.69B</t>
        </is>
      </c>
      <c r="L141" s="60" t="inlineStr">
        <is>
          <t>Central Valley community bank</t>
        </is>
      </c>
      <c r="M141" s="60" t="n">
        <v>42</v>
      </c>
      <c r="N141" s="60" t="inlineStr">
        <is>
          <t>Stockton</t>
        </is>
      </c>
      <c r="O141" s="60" t="inlineStr">
        <is>
          <t>San Joaquin</t>
        </is>
      </c>
      <c r="P141" s="64" t="inlineStr">
        <is>
          <t>bankbac.com</t>
        </is>
      </c>
      <c r="Q141" s="65" t="inlineStr">
        <is>
          <t>Yes</t>
        </is>
      </c>
      <c r="R141" s="64" t="inlineStr">
        <is>
          <t>bankbac.com/business/loans-credit/business-credit-cards.html</t>
        </is>
      </c>
      <c r="S141" s="66" t="inlineStr">
        <is>
          <t>Partial online</t>
        </is>
      </c>
      <c r="T141" s="60" t="inlineStr">
        <is>
          <t>TCM</t>
        </is>
      </c>
      <c r="U141" s="67" t="inlineStr">
        <is>
          <t>No</t>
        </is>
      </c>
      <c r="V141" s="77" t="inlineStr">
        <is>
          <t>TCM Bank, N.A. (ICBA)</t>
        </is>
      </c>
      <c r="W141" s="57" t="inlineStr">
        <is>
          <t>Yes (revolving)</t>
        </is>
      </c>
      <c r="X141" s="67" t="inlineStr">
        <is>
          <t>Verify (issuer menu)</t>
        </is>
      </c>
      <c r="Y141" s="60" t="inlineStr">
        <is>
          <t>Agent-issued; APR/AF per issuer T&amp;C (not on page)</t>
        </is>
      </c>
      <c r="Z141" s="60" t="inlineStr">
        <is>
          <t>Experian (TCM typical)</t>
        </is>
      </c>
      <c r="AA141" s="60" t="inlineStr">
        <is>
          <t>Unknown</t>
        </is>
      </c>
      <c r="AB141" s="60" t="inlineStr">
        <is>
          <t>Unknown</t>
        </is>
      </c>
      <c r="AC141" s="60" t="inlineStr">
        <is>
          <t>None found (small agent program)</t>
        </is>
      </c>
      <c r="AD141" s="60" t="inlineStr">
        <is>
          <t>-</t>
        </is>
      </c>
      <c r="AE141" s="60" t="inlineStr">
        <is>
          <t>No (agent card)</t>
        </is>
      </c>
      <c r="AF141" s="60" t="inlineStr">
        <is>
          <t>No - commercial/SBA underwritten</t>
        </is>
      </c>
      <c r="AG141" s="60" t="inlineStr">
        <is>
          <t>Issuer = TCM (Cash Rewards/Edition/Company charge).</t>
        </is>
      </c>
      <c r="AH141" s="64" t="inlineStr">
        <is>
          <t>bankbac.com/business/loans-credit/business-credit-cards.html</t>
        </is>
      </c>
    </row>
    <row r="142" ht="15.75" customHeight="1">
      <c r="A142" s="57" t="n"/>
      <c r="B142" s="72" t="inlineStr">
        <is>
          <t>C - Agent-issued card</t>
        </is>
      </c>
      <c r="C142" s="60" t="inlineStr">
        <is>
          <t>Bank of San Francisco</t>
        </is>
      </c>
      <c r="D142" s="60" t="inlineStr">
        <is>
          <t>1/4 (missing: self-UW, apply online, SoCal)</t>
        </is>
      </c>
      <c r="E142" s="69" t="inlineStr">
        <is>
          <t>Bank</t>
        </is>
      </c>
      <c r="F142" s="67" t="inlineStr">
        <is>
          <t>No</t>
        </is>
      </c>
      <c r="G142" s="60" t="inlineStr">
        <is>
          <t>Other California</t>
        </is>
      </c>
      <c r="H142" s="62" t="inlineStr">
        <is>
          <t>CA-HQ (NorCal/Central CA)</t>
        </is>
      </c>
      <c r="I142" s="63" t="inlineStr">
        <is>
          <t>$3k-$15k (est; Elan agent pattern, myFICO)</t>
        </is>
      </c>
      <c r="J142" s="60" t="inlineStr">
        <is>
          <t>$0.70B</t>
        </is>
      </c>
      <c r="K142" s="60" t="inlineStr">
        <is>
          <t>$0.61B</t>
        </is>
      </c>
      <c r="L142" s="60" t="inlineStr">
        <is>
          <t>SF business/private bank</t>
        </is>
      </c>
      <c r="M142" s="60" t="n">
        <v>42</v>
      </c>
      <c r="N142" s="60" t="inlineStr">
        <is>
          <t>San Francisco</t>
        </is>
      </c>
      <c r="O142" s="60" t="inlineStr">
        <is>
          <t>San Francisco</t>
        </is>
      </c>
      <c r="P142" s="64" t="inlineStr">
        <is>
          <t>bankbsf.com</t>
        </is>
      </c>
      <c r="Q142" s="65" t="inlineStr">
        <is>
          <t>Yes</t>
        </is>
      </c>
      <c r="R142" s="64" t="inlineStr">
        <is>
          <t>bankbsf.com/business/business</t>
        </is>
      </c>
      <c r="S142" s="66" t="inlineStr">
        <is>
          <t>Partial online</t>
        </is>
      </c>
      <c r="T142" s="60" t="inlineStr">
        <is>
          <t>Elan (inferred)</t>
        </is>
      </c>
      <c r="U142" s="67" t="inlineStr">
        <is>
          <t>No</t>
        </is>
      </c>
      <c r="V142" s="74" t="inlineStr">
        <is>
          <t>Elan Financial Services (inferred)</t>
        </is>
      </c>
      <c r="W142" s="57" t="inlineStr">
        <is>
          <t>Yes (revolving)</t>
        </is>
      </c>
      <c r="X142" s="67" t="inlineStr">
        <is>
          <t>Verify (issuer menu)</t>
        </is>
      </c>
      <c r="Y142" s="60" t="inlineStr">
        <is>
          <t>Agent-issued; APR/AF per issuer T&amp;C (not on page)</t>
        </is>
      </c>
      <c r="Z142" s="60" t="inlineStr">
        <is>
          <t>TransUnion (Elan)</t>
        </is>
      </c>
      <c r="AA142" s="60" t="inlineStr">
        <is>
          <t>D&amp;B (delinquency-only)</t>
        </is>
      </c>
      <c r="AB142" s="60" t="inlineStr">
        <is>
          <t>No (delinquency-only)</t>
        </is>
      </c>
      <c r="AC142" s="60" t="inlineStr">
        <is>
          <t>None found (small agent program)</t>
        </is>
      </c>
      <c r="AD142" s="60" t="inlineStr">
        <is>
          <t>-</t>
        </is>
      </c>
      <c r="AE142" s="60" t="inlineStr">
        <is>
          <t>No (agent card)</t>
        </is>
      </c>
      <c r="AF142" s="60" t="inlineStr">
        <is>
          <t>No - commercial/SBA underwritten</t>
        </is>
      </c>
      <c r="AG142" s="60" t="inlineStr">
        <is>
          <t>Issuer = Elan INFERRED (template copy).</t>
        </is>
      </c>
      <c r="AH142" s="64" t="inlineStr">
        <is>
          <t>bankbsf.com/business/business</t>
        </is>
      </c>
    </row>
    <row r="143" ht="15.75" customHeight="1">
      <c r="A143" s="57" t="n"/>
      <c r="B143" s="72" t="inlineStr">
        <is>
          <t>C - Agent-issued card</t>
        </is>
      </c>
      <c r="C143" s="60" t="inlineStr">
        <is>
          <t>River Valley Community Bank</t>
        </is>
      </c>
      <c r="D143" s="60" t="inlineStr">
        <is>
          <t>1/4 (missing: self-UW, apply online, SoCal)</t>
        </is>
      </c>
      <c r="E143" s="69" t="inlineStr">
        <is>
          <t>Bank</t>
        </is>
      </c>
      <c r="F143" s="67" t="inlineStr">
        <is>
          <t>No</t>
        </is>
      </c>
      <c r="G143" s="60" t="inlineStr">
        <is>
          <t>Other California</t>
        </is>
      </c>
      <c r="H143" s="62" t="inlineStr">
        <is>
          <t>CA-HQ (NorCal/Central CA)</t>
        </is>
      </c>
      <c r="I143" s="63" t="inlineStr">
        <is>
          <t>$3k-$15k (est; Elan agent pattern, myFICO)</t>
        </is>
      </c>
      <c r="J143" s="60" t="inlineStr">
        <is>
          <t>$0.68B</t>
        </is>
      </c>
      <c r="K143" s="60" t="inlineStr">
        <is>
          <t>$0.62B</t>
        </is>
      </c>
      <c r="L143" s="60" t="inlineStr">
        <is>
          <t>Sacramento Valley community bank</t>
        </is>
      </c>
      <c r="M143" s="60" t="n">
        <v>42</v>
      </c>
      <c r="N143" s="60" t="inlineStr">
        <is>
          <t>Yuba City</t>
        </is>
      </c>
      <c r="O143" s="60" t="inlineStr">
        <is>
          <t>Sutter</t>
        </is>
      </c>
      <c r="P143" s="64" t="inlineStr">
        <is>
          <t>myrvcb.com</t>
        </is>
      </c>
      <c r="Q143" s="65" t="inlineStr">
        <is>
          <t>Yes</t>
        </is>
      </c>
      <c r="R143" s="64" t="inlineStr">
        <is>
          <t>myrvcb.com/business/business-credit-cards-debit</t>
        </is>
      </c>
      <c r="S143" s="66" t="inlineStr">
        <is>
          <t>Partial online</t>
        </is>
      </c>
      <c r="T143" s="60" t="inlineStr">
        <is>
          <t>Elan (apply online + phone)</t>
        </is>
      </c>
      <c r="U143" s="67" t="inlineStr">
        <is>
          <t>No</t>
        </is>
      </c>
      <c r="V143" s="74" t="inlineStr">
        <is>
          <t>Elan Financial Services (inferred)</t>
        </is>
      </c>
      <c r="W143" s="57" t="inlineStr">
        <is>
          <t>Yes (revolving)</t>
        </is>
      </c>
      <c r="X143" s="67" t="inlineStr">
        <is>
          <t>Verify (issuer menu)</t>
        </is>
      </c>
      <c r="Y143" s="60" t="inlineStr">
        <is>
          <t>Agent-issued; APR/AF per issuer T&amp;C (not on page)</t>
        </is>
      </c>
      <c r="Z143" s="60" t="inlineStr">
        <is>
          <t>TransUnion (Elan)</t>
        </is>
      </c>
      <c r="AA143" s="60" t="inlineStr">
        <is>
          <t>D&amp;B (delinquency-only)</t>
        </is>
      </c>
      <c r="AB143" s="60" t="inlineStr">
        <is>
          <t>No (delinquency-only)</t>
        </is>
      </c>
      <c r="AC143" s="60" t="inlineStr">
        <is>
          <t>None found (small agent program)</t>
        </is>
      </c>
      <c r="AD143" s="60" t="inlineStr">
        <is>
          <t>-</t>
        </is>
      </c>
      <c r="AE143" s="60" t="inlineStr">
        <is>
          <t>No (agent card)</t>
        </is>
      </c>
      <c r="AF143" s="60" t="inlineStr">
        <is>
          <t>No - commercial/SBA underwritten</t>
        </is>
      </c>
      <c r="AG143" s="60" t="inlineStr">
        <is>
          <t>Issuer = Elan INFERRED (template copy).</t>
        </is>
      </c>
      <c r="AH143" s="64" t="inlineStr">
        <is>
          <t>myrvcb.com/business/business-credit-cards-debit</t>
        </is>
      </c>
    </row>
    <row r="144" ht="15.75" customHeight="1">
      <c r="A144" s="57" t="n"/>
      <c r="B144" s="72" t="inlineStr">
        <is>
          <t>C - Agent-issued card</t>
        </is>
      </c>
      <c r="C144" s="60" t="inlineStr">
        <is>
          <t>Golden Valley Bank</t>
        </is>
      </c>
      <c r="D144" s="60" t="inlineStr">
        <is>
          <t>1/4 (missing: self-UW, apply online, SoCal)</t>
        </is>
      </c>
      <c r="E144" s="69" t="inlineStr">
        <is>
          <t>Bank</t>
        </is>
      </c>
      <c r="F144" s="67" t="inlineStr">
        <is>
          <t>No</t>
        </is>
      </c>
      <c r="G144" s="60" t="inlineStr">
        <is>
          <t>Other California</t>
        </is>
      </c>
      <c r="H144" s="62" t="inlineStr">
        <is>
          <t>CA-HQ (NorCal/Central CA)</t>
        </is>
      </c>
      <c r="I144" s="63" t="inlineStr">
        <is>
          <t>$3k-$15k (est; Elan agent pattern, myFICO)</t>
        </is>
      </c>
      <c r="J144" s="60" t="inlineStr">
        <is>
          <t>$0.58B</t>
        </is>
      </c>
      <c r="K144" s="60" t="inlineStr">
        <is>
          <t>$0.53B</t>
        </is>
      </c>
      <c r="L144" s="60" t="inlineStr">
        <is>
          <t>Chico/Butte community bank</t>
        </is>
      </c>
      <c r="M144" s="60" t="n">
        <v>42</v>
      </c>
      <c r="N144" s="60" t="inlineStr">
        <is>
          <t>Chico</t>
        </is>
      </c>
      <c r="O144" s="60" t="inlineStr">
        <is>
          <t>Butte</t>
        </is>
      </c>
      <c r="P144" s="64" t="inlineStr">
        <is>
          <t>goldenvalley.bank</t>
        </is>
      </c>
      <c r="Q144" s="65" t="inlineStr">
        <is>
          <t>Yes</t>
        </is>
      </c>
      <c r="R144" s="64" t="inlineStr">
        <is>
          <t>goldenvalley.bank/credit-cards/</t>
        </is>
      </c>
      <c r="S144" s="66" t="inlineStr">
        <is>
          <t>Partial online</t>
        </is>
      </c>
      <c r="T144" s="60" t="inlineStr">
        <is>
          <t>Elan</t>
        </is>
      </c>
      <c r="U144" s="67" t="inlineStr">
        <is>
          <t>No</t>
        </is>
      </c>
      <c r="V144" s="74" t="inlineStr">
        <is>
          <t>Elan Financial Services (U.S. Bank)</t>
        </is>
      </c>
      <c r="W144" s="57" t="inlineStr">
        <is>
          <t>Yes (revolving)</t>
        </is>
      </c>
      <c r="X144" s="67" t="inlineStr">
        <is>
          <t>Verify (issuer menu)</t>
        </is>
      </c>
      <c r="Y144" s="60" t="inlineStr">
        <is>
          <t>Agent-issued; APR/AF per issuer T&amp;C (not on page)</t>
        </is>
      </c>
      <c r="Z144" s="60" t="inlineStr">
        <is>
          <t>TransUnion (Elan)</t>
        </is>
      </c>
      <c r="AA144" s="60" t="inlineStr">
        <is>
          <t>D&amp;B (delinquency-only)</t>
        </is>
      </c>
      <c r="AB144" s="60" t="inlineStr">
        <is>
          <t>No (delinquency-only)</t>
        </is>
      </c>
      <c r="AC144" s="60" t="inlineStr">
        <is>
          <t>None found (small agent program)</t>
        </is>
      </c>
      <c r="AD144" s="60" t="inlineStr">
        <is>
          <t>-</t>
        </is>
      </c>
      <c r="AE144" s="60" t="inlineStr">
        <is>
          <t>No (agent card)</t>
        </is>
      </c>
      <c r="AF144" s="60" t="inlineStr">
        <is>
          <t>No - commercial/SBA underwritten</t>
        </is>
      </c>
      <c r="AG144" s="60" t="inlineStr">
        <is>
          <t>Issuer = Elan (partnership for consumer+business cards).</t>
        </is>
      </c>
      <c r="AH144" s="64" t="inlineStr">
        <is>
          <t>goldenvalley.bank/credit-cards/</t>
        </is>
      </c>
    </row>
    <row r="145" ht="15.75" customHeight="1">
      <c r="A145" s="57" t="n"/>
      <c r="B145" s="72" t="inlineStr">
        <is>
          <t>C - Agent-issued card</t>
        </is>
      </c>
      <c r="C145" s="60" t="inlineStr">
        <is>
          <t>Redwood Capital Bank</t>
        </is>
      </c>
      <c r="D145" s="60" t="inlineStr">
        <is>
          <t>1/4 (missing: self-UW, apply online, SoCal)</t>
        </is>
      </c>
      <c r="E145" s="69" t="inlineStr">
        <is>
          <t>Bank</t>
        </is>
      </c>
      <c r="F145" s="67" t="inlineStr">
        <is>
          <t>No</t>
        </is>
      </c>
      <c r="G145" s="60" t="inlineStr">
        <is>
          <t>Other California</t>
        </is>
      </c>
      <c r="H145" s="62" t="inlineStr">
        <is>
          <t>CA-HQ (NorCal/Central CA)</t>
        </is>
      </c>
      <c r="I145" s="63" t="inlineStr">
        <is>
          <t>$2k-$10k (est; TCM community-bank pattern)</t>
        </is>
      </c>
      <c r="J145" s="60" t="inlineStr">
        <is>
          <t>$0.54B</t>
        </is>
      </c>
      <c r="K145" s="60" t="inlineStr">
        <is>
          <t>$0.49B</t>
        </is>
      </c>
      <c r="L145" s="60" t="inlineStr">
        <is>
          <t>North Coast (Humboldt) community bank</t>
        </is>
      </c>
      <c r="M145" s="60" t="n">
        <v>42</v>
      </c>
      <c r="N145" s="60" t="inlineStr">
        <is>
          <t>Eureka</t>
        </is>
      </c>
      <c r="O145" s="60" t="inlineStr">
        <is>
          <t>Humboldt</t>
        </is>
      </c>
      <c r="P145" s="64" t="inlineStr">
        <is>
          <t>redwoodcapitalbank.com</t>
        </is>
      </c>
      <c r="Q145" s="65" t="inlineStr">
        <is>
          <t>Yes</t>
        </is>
      </c>
      <c r="R145" s="64" t="inlineStr">
        <is>
          <t>redwoodcapitalbank.com/business/business-credit-cards</t>
        </is>
      </c>
      <c r="S145" s="66" t="inlineStr">
        <is>
          <t>Partial online</t>
        </is>
      </c>
      <c r="T145" s="60" t="inlineStr">
        <is>
          <t>cardaccount.net (TCM)</t>
        </is>
      </c>
      <c r="U145" s="67" t="inlineStr">
        <is>
          <t>No</t>
        </is>
      </c>
      <c r="V145" s="77" t="inlineStr">
        <is>
          <t>TCM Bank, N.A. (ICBA)</t>
        </is>
      </c>
      <c r="W145" s="57" t="inlineStr">
        <is>
          <t>Yes (revolving)</t>
        </is>
      </c>
      <c r="X145" s="67" t="inlineStr">
        <is>
          <t>No (TCM 2.9% intro)</t>
        </is>
      </c>
      <c r="Y145" s="60" t="inlineStr">
        <is>
          <t>Agent-issued; APR/AF per issuer T&amp;C (not on page)</t>
        </is>
      </c>
      <c r="Z145" s="60" t="inlineStr">
        <is>
          <t>Experian (TCM typical)</t>
        </is>
      </c>
      <c r="AA145" s="60" t="inlineStr">
        <is>
          <t>Unknown</t>
        </is>
      </c>
      <c r="AB145" s="60" t="inlineStr">
        <is>
          <t>Unknown</t>
        </is>
      </c>
      <c r="AC145" s="60" t="inlineStr">
        <is>
          <t>None found (small agent program)</t>
        </is>
      </c>
      <c r="AD145" s="60" t="inlineStr">
        <is>
          <t>-</t>
        </is>
      </c>
      <c r="AE145" s="60" t="inlineStr">
        <is>
          <t>No (agent card)</t>
        </is>
      </c>
      <c r="AF145" s="60" t="inlineStr">
        <is>
          <t>No - commercial/SBA underwritten</t>
        </is>
      </c>
      <c r="AG145" s="60" t="inlineStr">
        <is>
          <t>Issuer = TCM (cardaccount.net Preferred Points; APR cap 21%). 2.9%/6mo intro, not 0%.</t>
        </is>
      </c>
      <c r="AH145" s="64" t="inlineStr">
        <is>
          <t>redwoodcapitalbank.com/business/business-credit-cards</t>
        </is>
      </c>
    </row>
    <row r="146" ht="15.75" customHeight="1">
      <c r="A146" s="57" t="n"/>
      <c r="B146" s="72" t="inlineStr">
        <is>
          <t>C - Agent-issued card</t>
        </is>
      </c>
      <c r="C146" s="60" t="inlineStr">
        <is>
          <t>Santa Cruz County Bank (West Coast Community Bank)</t>
        </is>
      </c>
      <c r="D146" s="60" t="inlineStr">
        <is>
          <t>1/4 (missing: self-UW, apply online, SoCal)</t>
        </is>
      </c>
      <c r="E146" s="69" t="inlineStr">
        <is>
          <t>Bank</t>
        </is>
      </c>
      <c r="F146" s="67" t="inlineStr">
        <is>
          <t>No</t>
        </is>
      </c>
      <c r="G146" s="60" t="inlineStr">
        <is>
          <t>Other California</t>
        </is>
      </c>
      <c r="H146" s="62" t="inlineStr">
        <is>
          <t>CA-HQ (NorCal/Central CA)</t>
        </is>
      </c>
      <c r="I146" s="63" t="inlineStr">
        <is>
          <t>$2k-$10k (est; TCM community-bank pattern)</t>
        </is>
      </c>
      <c r="J146" s="60" t="inlineStr">
        <is>
          <t>$2.84B</t>
        </is>
      </c>
      <c r="K146" s="60" t="inlineStr">
        <is>
          <t>$2.44B</t>
        </is>
      </c>
      <c r="L146" s="60" t="inlineStr">
        <is>
          <t>Central Coast community bank</t>
        </is>
      </c>
      <c r="M146" s="60" t="n">
        <v>35</v>
      </c>
      <c r="N146" s="60" t="inlineStr">
        <is>
          <t>Santa Cruz</t>
        </is>
      </c>
      <c r="O146" s="60" t="inlineStr">
        <is>
          <t>Santa Cruz</t>
        </is>
      </c>
      <c r="P146" s="64" t="inlineStr">
        <is>
          <t>wccb.com</t>
        </is>
      </c>
      <c r="Q146" s="65" t="inlineStr">
        <is>
          <t>Yes</t>
        </is>
      </c>
      <c r="R146" s="64" t="inlineStr">
        <is>
          <t>wccb.com/corporate_cards</t>
        </is>
      </c>
      <c r="S146" s="70" t="inlineStr">
        <is>
          <t>In-person</t>
        </is>
      </c>
      <c r="T146" s="60" t="inlineStr">
        <is>
          <t>RM / 831-457-5000</t>
        </is>
      </c>
      <c r="U146" s="67" t="inlineStr">
        <is>
          <t>No</t>
        </is>
      </c>
      <c r="V146" s="77" t="inlineStr">
        <is>
          <t>TCM Bank, N.A. (inferred)</t>
        </is>
      </c>
      <c r="W146" s="57" t="inlineStr">
        <is>
          <t>Yes (revolving)</t>
        </is>
      </c>
      <c r="X146" s="67" t="inlineStr">
        <is>
          <t>Verify (issuer menu)</t>
        </is>
      </c>
      <c r="Y146" s="60" t="inlineStr">
        <is>
          <t>Agent-issued; APR/AF per issuer T&amp;C (not on page)</t>
        </is>
      </c>
      <c r="Z146" s="60" t="inlineStr">
        <is>
          <t>Experian (TCM typical)</t>
        </is>
      </c>
      <c r="AA146" s="60" t="inlineStr">
        <is>
          <t>Unknown</t>
        </is>
      </c>
      <c r="AB146" s="60" t="inlineStr">
        <is>
          <t>Unknown</t>
        </is>
      </c>
      <c r="AC146" s="60" t="inlineStr">
        <is>
          <t>None found (small agent program)</t>
        </is>
      </c>
      <c r="AD146" s="60" t="inlineStr">
        <is>
          <t>-</t>
        </is>
      </c>
      <c r="AE146" s="60" t="inlineStr">
        <is>
          <t>No (agent card)</t>
        </is>
      </c>
      <c r="AF146" s="60" t="inlineStr">
        <is>
          <t>No - commercial/SBA underwritten</t>
        </is>
      </c>
      <c r="AG146" s="60" t="inlineStr">
        <is>
          <t>Issuer = TCM INFERRED (TCM servicing line 800-883-0131).</t>
        </is>
      </c>
      <c r="AH146" s="64" t="inlineStr">
        <is>
          <t>wccb.com/corporate_cards</t>
        </is>
      </c>
    </row>
    <row r="147" ht="15.75" customHeight="1">
      <c r="A147" s="57" t="n"/>
      <c r="B147" s="72" t="inlineStr">
        <is>
          <t>C - Agent-issued card</t>
        </is>
      </c>
      <c r="C147" s="60" t="inlineStr">
        <is>
          <t>United Business Bank</t>
        </is>
      </c>
      <c r="D147" s="60" t="inlineStr">
        <is>
          <t>1/4 (missing: self-UW, apply online, SoCal)</t>
        </is>
      </c>
      <c r="E147" s="69" t="inlineStr">
        <is>
          <t>Bank</t>
        </is>
      </c>
      <c r="F147" s="67" t="inlineStr">
        <is>
          <t>No</t>
        </is>
      </c>
      <c r="G147" s="60" t="inlineStr">
        <is>
          <t>Other California</t>
        </is>
      </c>
      <c r="H147" s="62" t="inlineStr">
        <is>
          <t>CA-HQ (NorCal/Central CA)</t>
        </is>
      </c>
      <c r="I147" s="63" t="inlineStr">
        <is>
          <t>$2k-$10k (est; TCM community-bank pattern)</t>
        </is>
      </c>
      <c r="J147" s="60" t="inlineStr">
        <is>
          <t>$2.59B</t>
        </is>
      </c>
      <c r="K147" s="60" t="inlineStr">
        <is>
          <t>$2.24B</t>
        </is>
      </c>
      <c r="L147" s="60" t="inlineStr">
        <is>
          <t>Bay Area business bank (BayCom)</t>
        </is>
      </c>
      <c r="M147" s="60" t="n">
        <v>35</v>
      </c>
      <c r="N147" s="60" t="inlineStr">
        <is>
          <t>Walnut Creek</t>
        </is>
      </c>
      <c r="O147" s="60" t="inlineStr">
        <is>
          <t>Contra Costa</t>
        </is>
      </c>
      <c r="P147" s="64" t="inlineStr">
        <is>
          <t>unitedbusinessbank.com</t>
        </is>
      </c>
      <c r="Q147" s="65" t="inlineStr">
        <is>
          <t>Yes</t>
        </is>
      </c>
      <c r="R147" s="64" t="inlineStr">
        <is>
          <t>unitedbusinessbank.com/loans-credit/business-credit/business-credit-cards.html</t>
        </is>
      </c>
      <c r="S147" s="70" t="inlineStr">
        <is>
          <t>In-person</t>
        </is>
      </c>
      <c r="T147" s="60" t="inlineStr">
        <is>
          <t>Request Info (no online app)</t>
        </is>
      </c>
      <c r="U147" s="67" t="inlineStr">
        <is>
          <t>No</t>
        </is>
      </c>
      <c r="V147" s="77" t="inlineStr">
        <is>
          <t>Agent (issuer not disclosed; likely TCM/TIB)</t>
        </is>
      </c>
      <c r="W147" s="57" t="inlineStr">
        <is>
          <t>Yes (revolving)</t>
        </is>
      </c>
      <c r="X147" s="67" t="inlineStr">
        <is>
          <t>Verify (issuer menu)</t>
        </is>
      </c>
      <c r="Y147" s="60" t="inlineStr">
        <is>
          <t>Agent-issued; APR/AF per issuer T&amp;C (not on page)</t>
        </is>
      </c>
      <c r="Z147" s="60" t="inlineStr">
        <is>
          <t>Unknown</t>
        </is>
      </c>
      <c r="AA147" s="60" t="inlineStr">
        <is>
          <t>Unknown</t>
        </is>
      </c>
      <c r="AB147" s="60" t="inlineStr">
        <is>
          <t>Unknown</t>
        </is>
      </c>
      <c r="AC147" s="60" t="inlineStr">
        <is>
          <t>None found (small agent program)</t>
        </is>
      </c>
      <c r="AD147" s="60" t="inlineStr">
        <is>
          <t>-</t>
        </is>
      </c>
      <c r="AE147" s="60" t="inlineStr">
        <is>
          <t>No (agent card)</t>
        </is>
      </c>
      <c r="AF147" s="60" t="inlineStr">
        <is>
          <t>No - commercial/SBA underwritten</t>
        </is>
      </c>
      <c r="AG147" s="60" t="inlineStr">
        <is>
          <t>Card exists; issuer UNKNOWN (no creditor named on page).</t>
        </is>
      </c>
      <c r="AH147" s="64" t="inlineStr">
        <is>
          <t>unitedbusinessbank.com/.../business-credit-cards.html</t>
        </is>
      </c>
    </row>
    <row r="148" ht="15.75" customHeight="1">
      <c r="A148" s="57" t="n"/>
      <c r="B148" s="72" t="inlineStr">
        <is>
          <t>C - Agent-issued card</t>
        </is>
      </c>
      <c r="C148" s="60" t="inlineStr">
        <is>
          <t>Oak Valley Community Bank</t>
        </is>
      </c>
      <c r="D148" s="60" t="inlineStr">
        <is>
          <t>1/4 (missing: self-UW, apply online, SoCal)</t>
        </is>
      </c>
      <c r="E148" s="69" t="inlineStr">
        <is>
          <t>Bank</t>
        </is>
      </c>
      <c r="F148" s="67" t="inlineStr">
        <is>
          <t>No</t>
        </is>
      </c>
      <c r="G148" s="60" t="inlineStr">
        <is>
          <t>Other California</t>
        </is>
      </c>
      <c r="H148" s="62" t="inlineStr">
        <is>
          <t>CA-HQ (NorCal/Central CA)</t>
        </is>
      </c>
      <c r="I148" s="63" t="inlineStr">
        <is>
          <t>$2k-$10k (est; TCM community-bank pattern)</t>
        </is>
      </c>
      <c r="J148" s="60" t="inlineStr">
        <is>
          <t>$2.00B</t>
        </is>
      </c>
      <c r="K148" s="60" t="inlineStr">
        <is>
          <t>$1.78B</t>
        </is>
      </c>
      <c r="L148" s="60" t="inlineStr">
        <is>
          <t>Central Valley / Eastern Sierra</t>
        </is>
      </c>
      <c r="M148" s="60" t="n">
        <v>35</v>
      </c>
      <c r="N148" s="60" t="inlineStr">
        <is>
          <t>Oakdale</t>
        </is>
      </c>
      <c r="O148" s="60" t="inlineStr">
        <is>
          <t>Stanislaus</t>
        </is>
      </c>
      <c r="P148" s="64" t="inlineStr">
        <is>
          <t>ovcb.com</t>
        </is>
      </c>
      <c r="Q148" s="65" t="inlineStr">
        <is>
          <t>Yes</t>
        </is>
      </c>
      <c r="R148" s="64" t="inlineStr">
        <is>
          <t>ovcb.com/commercial/loans/credit-cards/</t>
        </is>
      </c>
      <c r="S148" s="70" t="inlineStr">
        <is>
          <t>In-person</t>
        </is>
      </c>
      <c r="T148" s="60" t="inlineStr">
        <is>
          <t>Branch</t>
        </is>
      </c>
      <c r="U148" s="67" t="inlineStr">
        <is>
          <t>No</t>
        </is>
      </c>
      <c r="V148" s="77" t="inlineStr">
        <is>
          <t>TCM Bank, N.A. (inferred)</t>
        </is>
      </c>
      <c r="W148" s="57" t="inlineStr">
        <is>
          <t>Yes (revolving)</t>
        </is>
      </c>
      <c r="X148" s="67" t="inlineStr">
        <is>
          <t>Verify (issuer menu)</t>
        </is>
      </c>
      <c r="Y148" s="60" t="inlineStr">
        <is>
          <t>Agent-issued; APR/AF per issuer T&amp;C (not on page)</t>
        </is>
      </c>
      <c r="Z148" s="60" t="inlineStr">
        <is>
          <t>Experian (TCM typical)</t>
        </is>
      </c>
      <c r="AA148" s="60" t="inlineStr">
        <is>
          <t>Unknown</t>
        </is>
      </c>
      <c r="AB148" s="60" t="inlineStr">
        <is>
          <t>Unknown</t>
        </is>
      </c>
      <c r="AC148" s="60" t="inlineStr">
        <is>
          <t>None found (small agent program)</t>
        </is>
      </c>
      <c r="AD148" s="60" t="inlineStr">
        <is>
          <t>-</t>
        </is>
      </c>
      <c r="AE148" s="60" t="inlineStr">
        <is>
          <t>No (agent card)</t>
        </is>
      </c>
      <c r="AF148" s="60" t="inlineStr">
        <is>
          <t>No - commercial/SBA underwritten</t>
        </is>
      </c>
      <c r="AG148" s="60" t="inlineStr">
        <is>
          <t>Issuer = TCM INFERRED (TCM servicing / ScoreCard).</t>
        </is>
      </c>
      <c r="AH148" s="64" t="inlineStr">
        <is>
          <t>ovcb.com/commercial/loans/credit-cards/</t>
        </is>
      </c>
    </row>
    <row r="149" ht="15.75" customHeight="1">
      <c r="A149" s="57" t="n"/>
      <c r="B149" s="72" t="inlineStr">
        <is>
          <t>C - Agent-issued card</t>
        </is>
      </c>
      <c r="C149" s="60" t="inlineStr">
        <is>
          <t>Mission Bank</t>
        </is>
      </c>
      <c r="D149" s="60" t="inlineStr">
        <is>
          <t>1/4 (missing: self-UW, apply online, SoCal)</t>
        </is>
      </c>
      <c r="E149" s="69" t="inlineStr">
        <is>
          <t>Bank</t>
        </is>
      </c>
      <c r="F149" s="67" t="inlineStr">
        <is>
          <t>No</t>
        </is>
      </c>
      <c r="G149" s="60" t="inlineStr">
        <is>
          <t>Other California</t>
        </is>
      </c>
      <c r="H149" s="62" t="inlineStr">
        <is>
          <t>CA-HQ (NorCal/Central CA)</t>
        </is>
      </c>
      <c r="I149" s="63" t="inlineStr">
        <is>
          <t>$2k-$10k (est; TCM community-bank pattern)</t>
        </is>
      </c>
      <c r="J149" s="60" t="inlineStr">
        <is>
          <t>$1.95B</t>
        </is>
      </c>
      <c r="K149" s="60" t="inlineStr">
        <is>
          <t>$1.73B</t>
        </is>
      </c>
      <c r="L149" s="60" t="inlineStr">
        <is>
          <t>Central Valley (Kern/Fresno) business bank</t>
        </is>
      </c>
      <c r="M149" s="60" t="n">
        <v>35</v>
      </c>
      <c r="N149" s="60" t="inlineStr">
        <is>
          <t>Bakersfield</t>
        </is>
      </c>
      <c r="O149" s="60" t="inlineStr">
        <is>
          <t>Kern</t>
        </is>
      </c>
      <c r="P149" s="64" t="inlineStr">
        <is>
          <t>missionbank.bank</t>
        </is>
      </c>
      <c r="Q149" s="65" t="inlineStr">
        <is>
          <t>Yes</t>
        </is>
      </c>
      <c r="R149" s="64" t="inlineStr">
        <is>
          <t>missionbank.bank/business/business-credit-cards</t>
        </is>
      </c>
      <c r="S149" s="70" t="inlineStr">
        <is>
          <t>In-person</t>
        </is>
      </c>
      <c r="T149" s="60" t="inlineStr">
        <is>
          <t>Branch</t>
        </is>
      </c>
      <c r="U149" s="67" t="inlineStr">
        <is>
          <t>No</t>
        </is>
      </c>
      <c r="V149" s="77" t="inlineStr">
        <is>
          <t>TCM Bank, N.A. (ICBA)</t>
        </is>
      </c>
      <c r="W149" s="57" t="inlineStr">
        <is>
          <t>Yes (revolving)</t>
        </is>
      </c>
      <c r="X149" s="67" t="inlineStr">
        <is>
          <t>Verify (issuer menu)</t>
        </is>
      </c>
      <c r="Y149" s="60" t="inlineStr">
        <is>
          <t>Agent-issued; APR/AF per issuer T&amp;C (not on page)</t>
        </is>
      </c>
      <c r="Z149" s="60" t="inlineStr">
        <is>
          <t>Experian (TCM typical)</t>
        </is>
      </c>
      <c r="AA149" s="60" t="inlineStr">
        <is>
          <t>Unknown</t>
        </is>
      </c>
      <c r="AB149" s="60" t="inlineStr">
        <is>
          <t>Unknown</t>
        </is>
      </c>
      <c r="AC149" s="60" t="inlineStr">
        <is>
          <t>None found (small agent program)</t>
        </is>
      </c>
      <c r="AD149" s="60" t="inlineStr">
        <is>
          <t>-</t>
        </is>
      </c>
      <c r="AE149" s="60" t="inlineStr">
        <is>
          <t>No (agent card)</t>
        </is>
      </c>
      <c r="AF149" s="60" t="inlineStr">
        <is>
          <t>No - commercial/SBA underwritten</t>
        </is>
      </c>
      <c r="AG149" s="60" t="inlineStr">
        <is>
          <t>Issuer = TCM VERIFIED ('issued by TCM Bank, N.A.').</t>
        </is>
      </c>
      <c r="AH149" s="64" t="inlineStr">
        <is>
          <t>missionbank.bank/business/business-credit-cards</t>
        </is>
      </c>
    </row>
    <row r="150" ht="15.75" customHeight="1">
      <c r="A150" s="57" t="n"/>
      <c r="B150" s="72" t="inlineStr">
        <is>
          <t>C - Agent-issued card</t>
        </is>
      </c>
      <c r="C150" s="60" t="inlineStr">
        <is>
          <t>Pinnacle Bank (Gilroy)</t>
        </is>
      </c>
      <c r="D150" s="60" t="inlineStr">
        <is>
          <t>1/4 (missing: self-UW, apply online, SoCal)</t>
        </is>
      </c>
      <c r="E150" s="69" t="inlineStr">
        <is>
          <t>Bank</t>
        </is>
      </c>
      <c r="F150" s="67" t="inlineStr">
        <is>
          <t>No</t>
        </is>
      </c>
      <c r="G150" s="60" t="inlineStr">
        <is>
          <t>Other California</t>
        </is>
      </c>
      <c r="H150" s="62" t="inlineStr">
        <is>
          <t>CA-HQ (NorCal/Central CA)</t>
        </is>
      </c>
      <c r="I150" s="63" t="inlineStr">
        <is>
          <t>$3k-$15k (est; agent program)</t>
        </is>
      </c>
      <c r="J150" s="60" t="inlineStr">
        <is>
          <t>$0.91B</t>
        </is>
      </c>
      <c r="K150" s="60" t="inlineStr">
        <is>
          <t>$0.78B</t>
        </is>
      </c>
      <c r="L150" s="60" t="inlineStr">
        <is>
          <t>South Santa Clara County community bank</t>
        </is>
      </c>
      <c r="M150" s="60" t="n">
        <v>28</v>
      </c>
      <c r="N150" s="60" t="inlineStr">
        <is>
          <t>Gilroy</t>
        </is>
      </c>
      <c r="O150" s="60" t="inlineStr">
        <is>
          <t>Santa Clara</t>
        </is>
      </c>
      <c r="P150" s="64" t="inlineStr">
        <is>
          <t>pinnacle.bank</t>
        </is>
      </c>
      <c r="Q150" s="65" t="inlineStr">
        <is>
          <t>Yes</t>
        </is>
      </c>
      <c r="R150" s="64" t="inlineStr">
        <is>
          <t>pinnacle.bank</t>
        </is>
      </c>
      <c r="S150" s="70" t="inlineStr">
        <is>
          <t>In-person</t>
        </is>
      </c>
      <c r="T150" s="60" t="inlineStr">
        <is>
          <t>In-person only (branch)</t>
        </is>
      </c>
      <c r="U150" s="67" t="inlineStr">
        <is>
          <t>No</t>
        </is>
      </c>
      <c r="V150" s="78" t="inlineStr">
        <is>
          <t>TIB, N.A. (agent)</t>
        </is>
      </c>
      <c r="W150" s="57" t="inlineStr">
        <is>
          <t>Yes (revolving)</t>
        </is>
      </c>
      <c r="X150" s="67" t="inlineStr">
        <is>
          <t>Unknown</t>
        </is>
      </c>
      <c r="Y150" s="60" t="inlineStr">
        <is>
          <t>Mastercard issued by The Independent Bankers Bank (TIB); APR not on site</t>
        </is>
      </c>
      <c r="Z150" s="60" t="inlineStr">
        <is>
          <t>Unknown</t>
        </is>
      </c>
      <c r="AA150" s="60" t="inlineStr">
        <is>
          <t>Unknown</t>
        </is>
      </c>
      <c r="AB150" s="60" t="inlineStr">
        <is>
          <t>Unknown</t>
        </is>
      </c>
      <c r="AC150" s="60" t="inlineStr">
        <is>
          <t>myFICO Pinnacle threads likely the NE bank, not Gilroy</t>
        </is>
      </c>
      <c r="AD150" s="60" t="inlineStr">
        <is>
          <t>-</t>
        </is>
      </c>
      <c r="AE150" s="60" t="inlineStr">
        <is>
          <t>Likely (existing customers)</t>
        </is>
      </c>
      <c r="AF150" s="60" t="inlineStr">
        <is>
          <t>No - underwritten</t>
        </is>
      </c>
      <c r="AG150" s="60" t="inlineStr">
        <is>
          <t>CORRECTED: AGENT-ISSUED (VERIFIED 'issued by The Independent Bankers Bank'). NOT self. The self-issuing 'Pinnacle Bank Visa' is the unrelated Nebraska bank (pinnbank.com).</t>
        </is>
      </c>
      <c r="AH150" s="64" t="inlineStr">
        <is>
          <t>supermoney.com; consumerfinance.gov TCCP (issuer=Pinnacle Bank)</t>
        </is>
      </c>
    </row>
    <row r="151" ht="15.75" customHeight="1">
      <c r="A151" s="57" t="n"/>
      <c r="B151" s="80" t="inlineStr">
        <is>
          <t>D - No business card</t>
        </is>
      </c>
      <c r="C151" s="79" t="inlineStr">
        <is>
          <t>Golden 1 Credit Union</t>
        </is>
      </c>
      <c r="D151" s="60" t="inlineStr">
        <is>
          <t>- no business card</t>
        </is>
      </c>
      <c r="E151" s="61" t="inlineStr">
        <is>
          <t>Credit Union</t>
        </is>
      </c>
      <c r="F151" s="67" t="inlineStr">
        <is>
          <t>No</t>
        </is>
      </c>
      <c r="G151" s="60" t="inlineStr">
        <is>
          <t>Other California</t>
        </is>
      </c>
      <c r="H151" s="62" t="inlineStr">
        <is>
          <t>CA-HQ (NorCal/Central CA)</t>
        </is>
      </c>
      <c r="I151" s="79" t="inlineStr">
        <is>
          <t>N/A (no business card)</t>
        </is>
      </c>
      <c r="J151" s="60" t="inlineStr">
        <is>
          <t>~$21.08B</t>
        </is>
      </c>
      <c r="K151" s="60" t="inlineStr">
        <is>
          <t>~&gt;$19B (shares)</t>
        </is>
      </c>
      <c r="L151" s="60" t="inlineStr">
        <is>
          <t>~63 CA branches; open to any CA resident (CA-only credit)</t>
        </is>
      </c>
      <c r="M151" s="60" t="n">
        <v>-78</v>
      </c>
      <c r="N151" s="60" t="inlineStr">
        <is>
          <t>Sacramento</t>
        </is>
      </c>
      <c r="O151" s="60" t="inlineStr">
        <is>
          <t>Sacramento</t>
        </is>
      </c>
      <c r="P151" s="64" t="inlineStr">
        <is>
          <t>golden1.com</t>
        </is>
      </c>
      <c r="Q151" s="81" t="inlineStr">
        <is>
          <t>No</t>
        </is>
      </c>
      <c r="R151" s="64" t="inlineStr">
        <is>
          <t>golden1.com/credit-cards</t>
        </is>
      </c>
      <c r="S151" s="67" t="inlineStr">
        <is>
          <t>No card</t>
        </is>
      </c>
      <c r="T151" s="60" t="inlineStr">
        <is>
          <t>-</t>
        </is>
      </c>
      <c r="U151" s="67" t="inlineStr">
        <is>
          <t>-</t>
        </is>
      </c>
      <c r="V151" s="79" t="inlineStr">
        <is>
          <t>None (consumer-only; biz use barred)</t>
        </is>
      </c>
      <c r="W151" s="57" t="inlineStr">
        <is>
          <t>-</t>
        </is>
      </c>
      <c r="X151" s="67" t="inlineStr">
        <is>
          <t>-</t>
        </is>
      </c>
      <c r="Y151" s="60" t="inlineStr">
        <is>
          <t>No business credit card (agreement bars business/commercial use)</t>
        </is>
      </c>
      <c r="Z151" s="60" t="inlineStr">
        <is>
          <t>Experian (consumer)</t>
        </is>
      </c>
      <c r="AA151" s="60" t="inlineStr">
        <is>
          <t>-</t>
        </is>
      </c>
      <c r="AB151" s="60" t="inlineStr">
        <is>
          <t>-</t>
        </is>
      </c>
      <c r="AC151" s="60" t="inlineStr">
        <is>
          <t>Consumer only: ~$2k-$30k; &gt;$10k needs income verification; one '(2) $20k by mistake' thread</t>
        </is>
      </c>
      <c r="AD151" s="64" t="inlineStr">
        <is>
          <t>myFICO threads</t>
        </is>
      </c>
      <c r="AE151" s="60" t="inlineStr">
        <is>
          <t>Member required (open to CA residents)</t>
        </is>
      </c>
      <c r="AF151" s="60" t="inlineStr">
        <is>
          <t>Business deposit accounts only; no business card</t>
        </is>
      </c>
      <c r="AG151" s="60" t="inlineStr">
        <is>
          <t>KEY: consumer-only for cards (business use contractually barred). Has biz deposit accts only.</t>
        </is>
      </c>
      <c r="AH151" s="64" t="inlineStr">
        <is>
          <t>golden1.com/credit-cards, /business-services</t>
        </is>
      </c>
    </row>
    <row r="152" ht="15.75" customHeight="1">
      <c r="A152" s="57" t="n"/>
      <c r="B152" s="80" t="inlineStr">
        <is>
          <t>D - No business card</t>
        </is>
      </c>
      <c r="C152" s="79" t="inlineStr">
        <is>
          <t>Star One Credit Union</t>
        </is>
      </c>
      <c r="D152" s="60" t="inlineStr">
        <is>
          <t>- no business card</t>
        </is>
      </c>
      <c r="E152" s="61" t="inlineStr">
        <is>
          <t>Credit Union</t>
        </is>
      </c>
      <c r="F152" s="67" t="inlineStr">
        <is>
          <t>No</t>
        </is>
      </c>
      <c r="G152" s="60" t="inlineStr">
        <is>
          <t>Other California</t>
        </is>
      </c>
      <c r="H152" s="62" t="inlineStr">
        <is>
          <t>CA-HQ (NorCal/Central CA)</t>
        </is>
      </c>
      <c r="I152" s="79" t="inlineStr">
        <is>
          <t>N/A (no business card)</t>
        </is>
      </c>
      <c r="J152" s="60" t="inlineStr">
        <is>
          <t>~$9B</t>
        </is>
      </c>
      <c r="K152" s="60" t="inlineStr">
        <is>
          <t>~$8B (shares)</t>
        </is>
      </c>
      <c r="L152" s="60" t="inlineStr">
        <is>
          <t>Silicon Valley CU; ~128k members</t>
        </is>
      </c>
      <c r="M152" s="60" t="n">
        <v>-80</v>
      </c>
      <c r="N152" s="60" t="inlineStr">
        <is>
          <t>Sunnyvale</t>
        </is>
      </c>
      <c r="O152" s="60" t="inlineStr">
        <is>
          <t>Santa Clara</t>
        </is>
      </c>
      <c r="P152" s="64" t="inlineStr">
        <is>
          <t>starone.org</t>
        </is>
      </c>
      <c r="Q152" s="81" t="inlineStr">
        <is>
          <t>No</t>
        </is>
      </c>
      <c r="R152" s="60" t="inlineStr">
        <is>
          <t>-</t>
        </is>
      </c>
      <c r="S152" s="67" t="inlineStr">
        <is>
          <t>No card</t>
        </is>
      </c>
      <c r="T152" s="60" t="inlineStr">
        <is>
          <t>-</t>
        </is>
      </c>
      <c r="U152" s="67" t="inlineStr">
        <is>
          <t>-</t>
        </is>
      </c>
      <c r="V152" s="79" t="inlineStr">
        <is>
          <t>None (no business card)</t>
        </is>
      </c>
      <c r="W152" s="57" t="inlineStr">
        <is>
          <t>-</t>
        </is>
      </c>
      <c r="X152" s="67" t="inlineStr">
        <is>
          <t>-</t>
        </is>
      </c>
      <c r="Y152" s="60" t="inlineStr">
        <is>
          <t>No business credit card</t>
        </is>
      </c>
      <c r="Z152" s="60" t="inlineStr">
        <is>
          <t>-</t>
        </is>
      </c>
      <c r="AA152" s="60" t="inlineStr">
        <is>
          <t>-</t>
        </is>
      </c>
      <c r="AB152" s="60" t="inlineStr">
        <is>
          <t>-</t>
        </is>
      </c>
      <c r="AC152" s="60" t="inlineStr">
        <is>
          <t>-</t>
        </is>
      </c>
      <c r="AD152" s="60" t="inlineStr">
        <is>
          <t>-</t>
        </is>
      </c>
      <c r="AE152" s="60" t="inlineStr">
        <is>
          <t>-</t>
        </is>
      </c>
      <c r="AF152" s="60" t="inlineStr">
        <is>
          <t>No card product</t>
        </is>
      </c>
      <c r="AG152" s="60" t="inlineStr">
        <is>
          <t>No business card (consumer Visa only). VERIFIED.</t>
        </is>
      </c>
      <c r="AH152" s="64" t="inlineStr">
        <is>
          <t>starone.org/cards/</t>
        </is>
      </c>
    </row>
    <row r="153" ht="15.75" customHeight="1">
      <c r="A153" s="57" t="n"/>
      <c r="B153" s="80" t="inlineStr">
        <is>
          <t>D - No business card</t>
        </is>
      </c>
      <c r="C153" s="79" t="inlineStr">
        <is>
          <t>Westamerica Bank</t>
        </is>
      </c>
      <c r="D153" s="60" t="inlineStr">
        <is>
          <t>- no business card</t>
        </is>
      </c>
      <c r="E153" s="69" t="inlineStr">
        <is>
          <t>Bank</t>
        </is>
      </c>
      <c r="F153" s="67" t="inlineStr">
        <is>
          <t>No</t>
        </is>
      </c>
      <c r="G153" s="60" t="inlineStr">
        <is>
          <t>Other California</t>
        </is>
      </c>
      <c r="H153" s="62" t="inlineStr">
        <is>
          <t>CA-HQ (NorCal/Central CA)</t>
        </is>
      </c>
      <c r="I153" s="79" t="inlineStr">
        <is>
          <t>N/A (no business card)</t>
        </is>
      </c>
      <c r="J153" s="60" t="inlineStr">
        <is>
          <t>$5.88B</t>
        </is>
      </c>
      <c r="K153" s="60" t="inlineStr">
        <is>
          <t>$4.80B</t>
        </is>
      </c>
      <c r="L153" s="60" t="inlineStr">
        <is>
          <t>NorCal; ~80 branches</t>
        </is>
      </c>
      <c r="M153" s="60" t="n">
        <v>-80</v>
      </c>
      <c r="N153" s="60" t="inlineStr">
        <is>
          <t>San Rafael</t>
        </is>
      </c>
      <c r="O153" s="60" t="inlineStr">
        <is>
          <t>Marin</t>
        </is>
      </c>
      <c r="P153" s="64" t="inlineStr">
        <is>
          <t>westamerica.com</t>
        </is>
      </c>
      <c r="Q153" s="81" t="inlineStr">
        <is>
          <t>No</t>
        </is>
      </c>
      <c r="R153" s="60" t="inlineStr">
        <is>
          <t>-</t>
        </is>
      </c>
      <c r="S153" s="67" t="inlineStr">
        <is>
          <t>No card</t>
        </is>
      </c>
      <c r="T153" s="60" t="inlineStr">
        <is>
          <t>-</t>
        </is>
      </c>
      <c r="U153" s="67" t="inlineStr">
        <is>
          <t>-</t>
        </is>
      </c>
      <c r="V153" s="79" t="inlineStr">
        <is>
          <t>None (no business card)</t>
        </is>
      </c>
      <c r="W153" s="57" t="inlineStr">
        <is>
          <t>-</t>
        </is>
      </c>
      <c r="X153" s="67" t="inlineStr">
        <is>
          <t>-</t>
        </is>
      </c>
      <c r="Y153" s="60" t="inlineStr">
        <is>
          <t>No business credit card</t>
        </is>
      </c>
      <c r="Z153" s="60" t="inlineStr">
        <is>
          <t>-</t>
        </is>
      </c>
      <c r="AA153" s="60" t="inlineStr">
        <is>
          <t>-</t>
        </is>
      </c>
      <c r="AB153" s="60" t="inlineStr">
        <is>
          <t>-</t>
        </is>
      </c>
      <c r="AC153" s="60" t="inlineStr">
        <is>
          <t>-</t>
        </is>
      </c>
      <c r="AD153" s="60" t="inlineStr">
        <is>
          <t>-</t>
        </is>
      </c>
      <c r="AE153" s="60" t="inlineStr">
        <is>
          <t>-</t>
        </is>
      </c>
      <c r="AF153" s="60" t="inlineStr">
        <is>
          <t>No card product</t>
        </is>
      </c>
      <c r="AG153" s="60" t="inlineStr">
        <is>
          <t>No distinct business credit card marketed (consumer card via Elan). VERIFIED.</t>
        </is>
      </c>
      <c r="AH153" s="64" t="inlineStr">
        <is>
          <t>westamerica.com</t>
        </is>
      </c>
    </row>
    <row r="154" ht="15.75" customHeight="1">
      <c r="A154" s="57" t="n"/>
      <c r="B154" s="80" t="inlineStr">
        <is>
          <t>D - No business card</t>
        </is>
      </c>
      <c r="C154" s="79" t="inlineStr">
        <is>
          <t>Heritage Bank of Commerce</t>
        </is>
      </c>
      <c r="D154" s="60" t="inlineStr">
        <is>
          <t>- no business card</t>
        </is>
      </c>
      <c r="E154" s="69" t="inlineStr">
        <is>
          <t>Bank</t>
        </is>
      </c>
      <c r="F154" s="67" t="inlineStr">
        <is>
          <t>No</t>
        </is>
      </c>
      <c r="G154" s="60" t="inlineStr">
        <is>
          <t>Other California</t>
        </is>
      </c>
      <c r="H154" s="62" t="inlineStr">
        <is>
          <t>CA-HQ (NorCal/Central CA)</t>
        </is>
      </c>
      <c r="I154" s="79" t="inlineStr">
        <is>
          <t>N/A (no business card)</t>
        </is>
      </c>
      <c r="J154" s="60" t="inlineStr">
        <is>
          <t>$5.62B</t>
        </is>
      </c>
      <c r="K154" s="60" t="inlineStr">
        <is>
          <t>$4.79B</t>
        </is>
      </c>
      <c r="L154" s="60" t="inlineStr">
        <is>
          <t>Bay Area commercial bank; merging into Citizens Business Bank</t>
        </is>
      </c>
      <c r="M154" s="60" t="n">
        <v>-80</v>
      </c>
      <c r="N154" s="60" t="inlineStr">
        <is>
          <t>San Jose</t>
        </is>
      </c>
      <c r="O154" s="60" t="inlineStr">
        <is>
          <t>Santa Clara</t>
        </is>
      </c>
      <c r="P154" s="64" t="inlineStr">
        <is>
          <t>heritagebankofcommerce.bank</t>
        </is>
      </c>
      <c r="Q154" s="81" t="inlineStr">
        <is>
          <t>No</t>
        </is>
      </c>
      <c r="R154" s="60" t="inlineStr">
        <is>
          <t>-</t>
        </is>
      </c>
      <c r="S154" s="67" t="inlineStr">
        <is>
          <t>No card</t>
        </is>
      </c>
      <c r="T154" s="60" t="inlineStr">
        <is>
          <t>-</t>
        </is>
      </c>
      <c r="U154" s="67" t="inlineStr">
        <is>
          <t>-</t>
        </is>
      </c>
      <c r="V154" s="79" t="inlineStr">
        <is>
          <t>None (no business card)</t>
        </is>
      </c>
      <c r="W154" s="57" t="inlineStr">
        <is>
          <t>-</t>
        </is>
      </c>
      <c r="X154" s="67" t="inlineStr">
        <is>
          <t>-</t>
        </is>
      </c>
      <c r="Y154" s="60" t="inlineStr">
        <is>
          <t>No business credit card</t>
        </is>
      </c>
      <c r="Z154" s="60" t="inlineStr">
        <is>
          <t>-</t>
        </is>
      </c>
      <c r="AA154" s="60" t="inlineStr">
        <is>
          <t>-</t>
        </is>
      </c>
      <c r="AB154" s="60" t="inlineStr">
        <is>
          <t>-</t>
        </is>
      </c>
      <c r="AC154" s="60" t="inlineStr">
        <is>
          <t>-</t>
        </is>
      </c>
      <c r="AD154" s="60" t="inlineStr">
        <is>
          <t>-</t>
        </is>
      </c>
      <c r="AE154" s="60" t="inlineStr">
        <is>
          <t>-</t>
        </is>
      </c>
      <c r="AF154" s="60" t="inlineStr">
        <is>
          <t>No card product</t>
        </is>
      </c>
      <c r="AG154" s="60" t="inlineStr">
        <is>
          <t>No credit card product (deposit/lending/treasury only). VERIFIED.</t>
        </is>
      </c>
      <c r="AH154" s="64" t="inlineStr">
        <is>
          <t>heritagebankofcommerce.bank</t>
        </is>
      </c>
    </row>
    <row r="155" ht="15.75" customHeight="1">
      <c r="A155" s="57" t="n"/>
      <c r="B155" s="80" t="inlineStr">
        <is>
          <t>D - No business card</t>
        </is>
      </c>
      <c r="C155" s="79" t="inlineStr">
        <is>
          <t>El Dorado Savings Bank</t>
        </is>
      </c>
      <c r="D155" s="60" t="inlineStr">
        <is>
          <t>- no business card</t>
        </is>
      </c>
      <c r="E155" s="69" t="inlineStr">
        <is>
          <t>Bank</t>
        </is>
      </c>
      <c r="F155" s="67" t="inlineStr">
        <is>
          <t>No</t>
        </is>
      </c>
      <c r="G155" s="60" t="inlineStr">
        <is>
          <t>Other California</t>
        </is>
      </c>
      <c r="H155" s="62" t="inlineStr">
        <is>
          <t>CA-HQ (NorCal/Central CA)</t>
        </is>
      </c>
      <c r="I155" s="79" t="inlineStr">
        <is>
          <t>N/A (no business card)</t>
        </is>
      </c>
      <c r="J155" s="60" t="inlineStr">
        <is>
          <t>$2.48B</t>
        </is>
      </c>
      <c r="K155" s="60" t="inlineStr">
        <is>
          <t>$2.15B</t>
        </is>
      </c>
      <c r="L155" s="60" t="inlineStr">
        <is>
          <t>Sierra foothills/NorCal thrift</t>
        </is>
      </c>
      <c r="M155" s="60" t="n">
        <v>-82</v>
      </c>
      <c r="N155" s="60" t="inlineStr">
        <is>
          <t>Placerville</t>
        </is>
      </c>
      <c r="O155" s="60" t="inlineStr">
        <is>
          <t>El Dorado</t>
        </is>
      </c>
      <c r="P155" s="64" t="inlineStr">
        <is>
          <t>eldoradosavingsbank.com</t>
        </is>
      </c>
      <c r="Q155" s="81" t="inlineStr">
        <is>
          <t>No</t>
        </is>
      </c>
      <c r="R155" s="60" t="inlineStr">
        <is>
          <t>-</t>
        </is>
      </c>
      <c r="S155" s="67" t="inlineStr">
        <is>
          <t>No card</t>
        </is>
      </c>
      <c r="T155" s="60" t="inlineStr">
        <is>
          <t>-</t>
        </is>
      </c>
      <c r="U155" s="67" t="inlineStr">
        <is>
          <t>-</t>
        </is>
      </c>
      <c r="V155" s="79" t="inlineStr">
        <is>
          <t>None (no business card)</t>
        </is>
      </c>
      <c r="W155" s="57" t="inlineStr">
        <is>
          <t>-</t>
        </is>
      </c>
      <c r="X155" s="67" t="inlineStr">
        <is>
          <t>-</t>
        </is>
      </c>
      <c r="Y155" s="60" t="inlineStr">
        <is>
          <t>No business credit card</t>
        </is>
      </c>
      <c r="Z155" s="60" t="inlineStr">
        <is>
          <t>-</t>
        </is>
      </c>
      <c r="AA155" s="60" t="inlineStr">
        <is>
          <t>-</t>
        </is>
      </c>
      <c r="AB155" s="60" t="inlineStr">
        <is>
          <t>-</t>
        </is>
      </c>
      <c r="AC155" s="60" t="inlineStr">
        <is>
          <t>-</t>
        </is>
      </c>
      <c r="AD155" s="60" t="inlineStr">
        <is>
          <t>-</t>
        </is>
      </c>
      <c r="AE155" s="60" t="inlineStr">
        <is>
          <t>-</t>
        </is>
      </c>
      <c r="AF155" s="60" t="inlineStr">
        <is>
          <t>No card product</t>
        </is>
      </c>
      <c r="AG155" s="60" t="inlineStr">
        <is>
          <t>Debit only, no credit card. VERIFIED.</t>
        </is>
      </c>
      <c r="AH155" s="64" t="inlineStr">
        <is>
          <t>eldoradosavingsbank.com</t>
        </is>
      </c>
    </row>
    <row r="156" ht="15.75" customHeight="1">
      <c r="A156" s="57" t="n"/>
      <c r="B156" s="80" t="inlineStr">
        <is>
          <t>D - No business card</t>
        </is>
      </c>
      <c r="C156" s="79" t="inlineStr">
        <is>
          <t>United Security Bank</t>
        </is>
      </c>
      <c r="D156" s="60" t="inlineStr">
        <is>
          <t>- no business card</t>
        </is>
      </c>
      <c r="E156" s="69" t="inlineStr">
        <is>
          <t>Bank</t>
        </is>
      </c>
      <c r="F156" s="67" t="inlineStr">
        <is>
          <t>No</t>
        </is>
      </c>
      <c r="G156" s="60" t="inlineStr">
        <is>
          <t>Other California</t>
        </is>
      </c>
      <c r="H156" s="62" t="inlineStr">
        <is>
          <t>CA-HQ (NorCal/Central CA)</t>
        </is>
      </c>
      <c r="I156" s="79" t="inlineStr">
        <is>
          <t>N/A (no business card)</t>
        </is>
      </c>
      <c r="J156" s="60" t="inlineStr">
        <is>
          <t>$1.24B</t>
        </is>
      </c>
      <c r="K156" s="60" t="inlineStr">
        <is>
          <t>$1.08B</t>
        </is>
      </c>
      <c r="L156" s="60" t="inlineStr">
        <is>
          <t>Central Valley community bank</t>
        </is>
      </c>
      <c r="M156" s="60" t="n">
        <v>-82</v>
      </c>
      <c r="N156" s="60" t="inlineStr">
        <is>
          <t>Fresno</t>
        </is>
      </c>
      <c r="O156" s="60" t="inlineStr">
        <is>
          <t>Fresno</t>
        </is>
      </c>
      <c r="P156" s="64" t="inlineStr">
        <is>
          <t>unitedsecuritybank.com</t>
        </is>
      </c>
      <c r="Q156" s="81" t="inlineStr">
        <is>
          <t>No</t>
        </is>
      </c>
      <c r="R156" s="60" t="inlineStr">
        <is>
          <t>-</t>
        </is>
      </c>
      <c r="S156" s="67" t="inlineStr">
        <is>
          <t>No card</t>
        </is>
      </c>
      <c r="T156" s="60" t="inlineStr">
        <is>
          <t>-</t>
        </is>
      </c>
      <c r="U156" s="67" t="inlineStr">
        <is>
          <t>-</t>
        </is>
      </c>
      <c r="V156" s="79" t="inlineStr">
        <is>
          <t>None (no business card)</t>
        </is>
      </c>
      <c r="W156" s="57" t="inlineStr">
        <is>
          <t>-</t>
        </is>
      </c>
      <c r="X156" s="67" t="inlineStr">
        <is>
          <t>-</t>
        </is>
      </c>
      <c r="Y156" s="60" t="inlineStr">
        <is>
          <t>No business credit card</t>
        </is>
      </c>
      <c r="Z156" s="60" t="inlineStr">
        <is>
          <t>-</t>
        </is>
      </c>
      <c r="AA156" s="60" t="inlineStr">
        <is>
          <t>-</t>
        </is>
      </c>
      <c r="AB156" s="60" t="inlineStr">
        <is>
          <t>-</t>
        </is>
      </c>
      <c r="AC156" s="60" t="inlineStr">
        <is>
          <t>-</t>
        </is>
      </c>
      <c r="AD156" s="60" t="inlineStr">
        <is>
          <t>-</t>
        </is>
      </c>
      <c r="AE156" s="60" t="inlineStr">
        <is>
          <t>-</t>
        </is>
      </c>
      <c r="AF156" s="60" t="inlineStr">
        <is>
          <t>No card product</t>
        </is>
      </c>
      <c r="AG156" s="60" t="inlineStr">
        <is>
          <t>Debit only, no credit card. INFERRED.</t>
        </is>
      </c>
      <c r="AH156" s="64" t="inlineStr">
        <is>
          <t>unitedsecuritybank.com</t>
        </is>
      </c>
    </row>
    <row r="157" ht="15.75" customHeight="1">
      <c r="A157" s="57" t="n"/>
      <c r="B157" s="80" t="inlineStr">
        <is>
          <t>D - No business card</t>
        </is>
      </c>
      <c r="C157" s="79" t="inlineStr">
        <is>
          <t>Bank of the Orient</t>
        </is>
      </c>
      <c r="D157" s="60" t="inlineStr">
        <is>
          <t>- no business card</t>
        </is>
      </c>
      <c r="E157" s="69" t="inlineStr">
        <is>
          <t>Bank</t>
        </is>
      </c>
      <c r="F157" s="67" t="inlineStr">
        <is>
          <t>No</t>
        </is>
      </c>
      <c r="G157" s="60" t="inlineStr">
        <is>
          <t>Other California</t>
        </is>
      </c>
      <c r="H157" s="62" t="inlineStr">
        <is>
          <t>CA-HQ (NorCal/Central CA)</t>
        </is>
      </c>
      <c r="I157" s="79" t="inlineStr">
        <is>
          <t>N/A (no business card)</t>
        </is>
      </c>
      <c r="J157" s="60" t="inlineStr">
        <is>
          <t>$1.05B</t>
        </is>
      </c>
      <c r="K157" s="60" t="inlineStr">
        <is>
          <t>$0.89B</t>
        </is>
      </c>
      <c r="L157" s="60" t="inlineStr">
        <is>
          <t>SF; China trade focus</t>
        </is>
      </c>
      <c r="M157" s="60" t="n">
        <v>-82</v>
      </c>
      <c r="N157" s="60" t="inlineStr">
        <is>
          <t>San Francisco</t>
        </is>
      </c>
      <c r="O157" s="60" t="inlineStr">
        <is>
          <t>San Francisco</t>
        </is>
      </c>
      <c r="P157" s="64" t="inlineStr">
        <is>
          <t>bankorient.com</t>
        </is>
      </c>
      <c r="Q157" s="81" t="inlineStr">
        <is>
          <t>No</t>
        </is>
      </c>
      <c r="R157" s="60" t="inlineStr">
        <is>
          <t>-</t>
        </is>
      </c>
      <c r="S157" s="67" t="inlineStr">
        <is>
          <t>No card</t>
        </is>
      </c>
      <c r="T157" s="60" t="inlineStr">
        <is>
          <t>-</t>
        </is>
      </c>
      <c r="U157" s="67" t="inlineStr">
        <is>
          <t>-</t>
        </is>
      </c>
      <c r="V157" s="79" t="inlineStr">
        <is>
          <t>None (no business card)</t>
        </is>
      </c>
      <c r="W157" s="57" t="inlineStr">
        <is>
          <t>-</t>
        </is>
      </c>
      <c r="X157" s="67" t="inlineStr">
        <is>
          <t>-</t>
        </is>
      </c>
      <c r="Y157" s="60" t="inlineStr">
        <is>
          <t>No business credit card</t>
        </is>
      </c>
      <c r="Z157" s="60" t="inlineStr">
        <is>
          <t>-</t>
        </is>
      </c>
      <c r="AA157" s="60" t="inlineStr">
        <is>
          <t>-</t>
        </is>
      </c>
      <c r="AB157" s="60" t="inlineStr">
        <is>
          <t>-</t>
        </is>
      </c>
      <c r="AC157" s="60" t="inlineStr">
        <is>
          <t>-</t>
        </is>
      </c>
      <c r="AD157" s="60" t="inlineStr">
        <is>
          <t>-</t>
        </is>
      </c>
      <c r="AE157" s="60" t="inlineStr">
        <is>
          <t>-</t>
        </is>
      </c>
      <c r="AF157" s="60" t="inlineStr">
        <is>
          <t>No card product</t>
        </is>
      </c>
      <c r="AG157" s="60" t="inlineStr">
        <is>
          <t>Debit only, no credit card. VERIFIED.</t>
        </is>
      </c>
      <c r="AH157" s="64" t="inlineStr">
        <is>
          <t>bankorient.com</t>
        </is>
      </c>
    </row>
    <row r="158" ht="15.75" customHeight="1">
      <c r="A158" s="57" t="n"/>
      <c r="B158" s="80" t="inlineStr">
        <is>
          <t>D - No business card</t>
        </is>
      </c>
      <c r="C158" s="79" t="inlineStr">
        <is>
          <t>Pacific Valley Bank</t>
        </is>
      </c>
      <c r="D158" s="60" t="inlineStr">
        <is>
          <t>- no business card</t>
        </is>
      </c>
      <c r="E158" s="69" t="inlineStr">
        <is>
          <t>Bank</t>
        </is>
      </c>
      <c r="F158" s="67" t="inlineStr">
        <is>
          <t>No</t>
        </is>
      </c>
      <c r="G158" s="60" t="inlineStr">
        <is>
          <t>Other California</t>
        </is>
      </c>
      <c r="H158" s="62" t="inlineStr">
        <is>
          <t>CA-HQ (NorCal/Central CA)</t>
        </is>
      </c>
      <c r="I158" s="79" t="inlineStr">
        <is>
          <t>N/A (no business card)</t>
        </is>
      </c>
      <c r="J158" s="60" t="inlineStr">
        <is>
          <t>$0.60B</t>
        </is>
      </c>
      <c r="K158" s="60" t="inlineStr">
        <is>
          <t>$0.52B</t>
        </is>
      </c>
      <c r="L158" s="60" t="inlineStr">
        <is>
          <t>Salinas Valley community bank</t>
        </is>
      </c>
      <c r="M158" s="60" t="n">
        <v>-84</v>
      </c>
      <c r="N158" s="60" t="inlineStr">
        <is>
          <t>Salinas</t>
        </is>
      </c>
      <c r="O158" s="60" t="inlineStr">
        <is>
          <t>Monterey</t>
        </is>
      </c>
      <c r="P158" s="64" t="inlineStr">
        <is>
          <t>pacificvalleybank.com</t>
        </is>
      </c>
      <c r="Q158" s="81" t="inlineStr">
        <is>
          <t>No</t>
        </is>
      </c>
      <c r="R158" s="60" t="inlineStr">
        <is>
          <t>-</t>
        </is>
      </c>
      <c r="S158" s="67" t="inlineStr">
        <is>
          <t>No card</t>
        </is>
      </c>
      <c r="T158" s="60" t="inlineStr">
        <is>
          <t>-</t>
        </is>
      </c>
      <c r="U158" s="67" t="inlineStr">
        <is>
          <t>-</t>
        </is>
      </c>
      <c r="V158" s="79" t="inlineStr">
        <is>
          <t>None (no business card)</t>
        </is>
      </c>
      <c r="W158" s="57" t="inlineStr">
        <is>
          <t>-</t>
        </is>
      </c>
      <c r="X158" s="67" t="inlineStr">
        <is>
          <t>-</t>
        </is>
      </c>
      <c r="Y158" s="60" t="inlineStr">
        <is>
          <t>No business credit card</t>
        </is>
      </c>
      <c r="Z158" s="60" t="inlineStr">
        <is>
          <t>-</t>
        </is>
      </c>
      <c r="AA158" s="60" t="inlineStr">
        <is>
          <t>-</t>
        </is>
      </c>
      <c r="AB158" s="60" t="inlineStr">
        <is>
          <t>-</t>
        </is>
      </c>
      <c r="AC158" s="60" t="inlineStr">
        <is>
          <t>-</t>
        </is>
      </c>
      <c r="AD158" s="60" t="inlineStr">
        <is>
          <t>-</t>
        </is>
      </c>
      <c r="AE158" s="60" t="inlineStr">
        <is>
          <t>-</t>
        </is>
      </c>
      <c r="AF158" s="60" t="inlineStr">
        <is>
          <t>No card product</t>
        </is>
      </c>
      <c r="AG158" s="60" t="inlineStr">
        <is>
          <t>Debit only, no credit card. INFERRED.</t>
        </is>
      </c>
      <c r="AH158" s="64" t="inlineStr">
        <is>
          <t>pacificvalleybank.com</t>
        </is>
      </c>
    </row>
    <row r="159" ht="15.75" customHeight="1">
      <c r="A159" s="57" t="n"/>
      <c r="B159" s="80" t="inlineStr">
        <is>
          <t>D - No business card</t>
        </is>
      </c>
      <c r="C159" s="79" t="inlineStr">
        <is>
          <t>Murphy Bank</t>
        </is>
      </c>
      <c r="D159" s="60" t="inlineStr">
        <is>
          <t>- no business card</t>
        </is>
      </c>
      <c r="E159" s="69" t="inlineStr">
        <is>
          <t>Bank</t>
        </is>
      </c>
      <c r="F159" s="67" t="inlineStr">
        <is>
          <t>No</t>
        </is>
      </c>
      <c r="G159" s="60" t="inlineStr">
        <is>
          <t>Other California</t>
        </is>
      </c>
      <c r="H159" s="62" t="inlineStr">
        <is>
          <t>CA-HQ (NorCal/Central CA)</t>
        </is>
      </c>
      <c r="I159" s="79" t="inlineStr">
        <is>
          <t>N/A (no business card)</t>
        </is>
      </c>
      <c r="J159" s="60" t="inlineStr">
        <is>
          <t>$0.36B</t>
        </is>
      </c>
      <c r="K159" s="60" t="inlineStr">
        <is>
          <t>$0.30B</t>
        </is>
      </c>
      <c r="L159" s="60" t="inlineStr">
        <is>
          <t>Specialty lender (mobile-home/ag/trucking)</t>
        </is>
      </c>
      <c r="M159" s="60" t="n">
        <v>-84</v>
      </c>
      <c r="N159" s="60" t="inlineStr">
        <is>
          <t>Fresno</t>
        </is>
      </c>
      <c r="O159" s="60" t="inlineStr">
        <is>
          <t>Fresno</t>
        </is>
      </c>
      <c r="P159" s="64" t="inlineStr">
        <is>
          <t>murphybank.com</t>
        </is>
      </c>
      <c r="Q159" s="81" t="inlineStr">
        <is>
          <t>No</t>
        </is>
      </c>
      <c r="R159" s="60" t="inlineStr">
        <is>
          <t>-</t>
        </is>
      </c>
      <c r="S159" s="67" t="inlineStr">
        <is>
          <t>No card</t>
        </is>
      </c>
      <c r="T159" s="60" t="inlineStr">
        <is>
          <t>-</t>
        </is>
      </c>
      <c r="U159" s="67" t="inlineStr">
        <is>
          <t>-</t>
        </is>
      </c>
      <c r="V159" s="79" t="inlineStr">
        <is>
          <t>None (no business card)</t>
        </is>
      </c>
      <c r="W159" s="57" t="inlineStr">
        <is>
          <t>-</t>
        </is>
      </c>
      <c r="X159" s="67" t="inlineStr">
        <is>
          <t>-</t>
        </is>
      </c>
      <c r="Y159" s="60" t="inlineStr">
        <is>
          <t>No business credit card</t>
        </is>
      </c>
      <c r="Z159" s="60" t="inlineStr">
        <is>
          <t>-</t>
        </is>
      </c>
      <c r="AA159" s="60" t="inlineStr">
        <is>
          <t>-</t>
        </is>
      </c>
      <c r="AB159" s="60" t="inlineStr">
        <is>
          <t>-</t>
        </is>
      </c>
      <c r="AC159" s="60" t="inlineStr">
        <is>
          <t>-</t>
        </is>
      </c>
      <c r="AD159" s="60" t="inlineStr">
        <is>
          <t>-</t>
        </is>
      </c>
      <c r="AE159" s="60" t="inlineStr">
        <is>
          <t>-</t>
        </is>
      </c>
      <c r="AF159" s="60" t="inlineStr">
        <is>
          <t>No card product</t>
        </is>
      </c>
      <c r="AG159" s="60" t="inlineStr">
        <is>
          <t>Specialty lender; no credit card. INFERRED.</t>
        </is>
      </c>
      <c r="AH159" s="64" t="inlineStr">
        <is>
          <t>murphybank.com</t>
        </is>
      </c>
    </row>
    <row r="160" ht="15.75" customHeight="1">
      <c r="A160" s="57" t="n"/>
      <c r="B160" s="80" t="inlineStr">
        <is>
          <t>D - No business card</t>
        </is>
      </c>
      <c r="C160" s="79" t="inlineStr">
        <is>
          <t>State Employees' CU (SECU NC)</t>
        </is>
      </c>
      <c r="D160" s="60" t="inlineStr">
        <is>
          <t>- no business card</t>
        </is>
      </c>
      <c r="E160" s="61" t="inlineStr">
        <is>
          <t>Credit Union</t>
        </is>
      </c>
      <c r="F160" s="67" t="inlineStr">
        <is>
          <t>No</t>
        </is>
      </c>
      <c r="G160" s="60" t="inlineStr">
        <is>
          <t>Out-of-state (national)</t>
        </is>
      </c>
      <c r="H160" s="82" t="inlineStr">
        <is>
          <t>CU - NC only; no business card</t>
        </is>
      </c>
      <c r="I160" s="79" t="inlineStr">
        <is>
          <t>N/A (no business card)</t>
        </is>
      </c>
      <c r="J160" s="60" t="inlineStr">
        <is>
          <t>~$50B</t>
        </is>
      </c>
      <c r="K160" s="60" t="inlineStr">
        <is>
          <t>~$45B (shares)</t>
        </is>
      </c>
      <c r="L160" s="60" t="inlineStr">
        <is>
          <t>NC state employees; ~2.8M members</t>
        </is>
      </c>
      <c r="M160" s="60" t="n">
        <v>-90</v>
      </c>
      <c r="N160" s="60" t="inlineStr">
        <is>
          <t>Raleigh</t>
        </is>
      </c>
      <c r="O160" s="60" t="inlineStr">
        <is>
          <t>Wake (NC)</t>
        </is>
      </c>
      <c r="P160" s="64" t="inlineStr">
        <is>
          <t>ncsecu.org</t>
        </is>
      </c>
      <c r="Q160" s="81" t="inlineStr">
        <is>
          <t>No</t>
        </is>
      </c>
      <c r="R160" s="60" t="inlineStr">
        <is>
          <t>-</t>
        </is>
      </c>
      <c r="S160" s="67" t="inlineStr">
        <is>
          <t>No card</t>
        </is>
      </c>
      <c r="T160" s="60" t="inlineStr">
        <is>
          <t>-</t>
        </is>
      </c>
      <c r="U160" s="67" t="inlineStr">
        <is>
          <t>-</t>
        </is>
      </c>
      <c r="V160" s="79" t="inlineStr">
        <is>
          <t>None (no business card)</t>
        </is>
      </c>
      <c r="W160" s="57" t="inlineStr">
        <is>
          <t>-</t>
        </is>
      </c>
      <c r="X160" s="67" t="inlineStr">
        <is>
          <t>-</t>
        </is>
      </c>
      <c r="Y160" s="60" t="inlineStr">
        <is>
          <t>No business credit card</t>
        </is>
      </c>
      <c r="Z160" s="60" t="inlineStr">
        <is>
          <t>-</t>
        </is>
      </c>
      <c r="AA160" s="60" t="inlineStr">
        <is>
          <t>-</t>
        </is>
      </c>
      <c r="AB160" s="60" t="inlineStr">
        <is>
          <t>-</t>
        </is>
      </c>
      <c r="AC160" s="60" t="inlineStr">
        <is>
          <t>-</t>
        </is>
      </c>
      <c r="AD160" s="60" t="inlineStr">
        <is>
          <t>-</t>
        </is>
      </c>
      <c r="AE160" s="60" t="inlineStr">
        <is>
          <t>-</t>
        </is>
      </c>
      <c r="AF160" s="60" t="inlineStr">
        <is>
          <t>No card product</t>
        </is>
      </c>
      <c r="AG160" s="60" t="inlineStr">
        <is>
          <t>No business credit card (consumer Visa only; 'SECU Business' = unrelated Maryland SECU). INFERRED.</t>
        </is>
      </c>
      <c r="AH160" s="64" t="inlineStr">
        <is>
          <t>ncsecu.org</t>
        </is>
      </c>
    </row>
    <row r="161" ht="15.75" customHeight="1">
      <c r="A161" s="57" t="n"/>
      <c r="B161" s="80" t="inlineStr">
        <is>
          <t>D - No business card</t>
        </is>
      </c>
      <c r="C161" s="79" t="inlineStr">
        <is>
          <t>PenFed Credit Union</t>
        </is>
      </c>
      <c r="D161" s="60" t="inlineStr">
        <is>
          <t>- no business card</t>
        </is>
      </c>
      <c r="E161" s="61" t="inlineStr">
        <is>
          <t>Credit Union</t>
        </is>
      </c>
      <c r="F161" s="67" t="inlineStr">
        <is>
          <t>No</t>
        </is>
      </c>
      <c r="G161" s="60" t="inlineStr">
        <is>
          <t>Out-of-state (national)</t>
        </is>
      </c>
      <c r="H161" s="82" t="inlineStr">
        <is>
          <t>CU - open membership but NO business card</t>
        </is>
      </c>
      <c r="I161" s="79" t="inlineStr">
        <is>
          <t>N/A (no business card)</t>
        </is>
      </c>
      <c r="J161" s="60" t="inlineStr">
        <is>
          <t>~$30B</t>
        </is>
      </c>
      <c r="K161" s="60" t="inlineStr">
        <is>
          <t>~$25B (shares)</t>
        </is>
      </c>
      <c r="L161" s="60" t="inlineStr">
        <is>
          <t>National; open membership ($5 savings)</t>
        </is>
      </c>
      <c r="M161" s="60" t="n">
        <v>-92</v>
      </c>
      <c r="N161" s="60" t="inlineStr">
        <is>
          <t>McLean</t>
        </is>
      </c>
      <c r="O161" s="60" t="inlineStr">
        <is>
          <t>Fairfax (VA)</t>
        </is>
      </c>
      <c r="P161" s="64" t="inlineStr">
        <is>
          <t>penfed.org</t>
        </is>
      </c>
      <c r="Q161" s="81" t="inlineStr">
        <is>
          <t>No</t>
        </is>
      </c>
      <c r="R161" s="60" t="inlineStr">
        <is>
          <t>-</t>
        </is>
      </c>
      <c r="S161" s="67" t="inlineStr">
        <is>
          <t>No card</t>
        </is>
      </c>
      <c r="T161" s="60" t="inlineStr">
        <is>
          <t>-</t>
        </is>
      </c>
      <c r="U161" s="67" t="inlineStr">
        <is>
          <t>-</t>
        </is>
      </c>
      <c r="V161" s="79" t="inlineStr">
        <is>
          <t>None (no business accounts)</t>
        </is>
      </c>
      <c r="W161" s="57" t="inlineStr">
        <is>
          <t>-</t>
        </is>
      </c>
      <c r="X161" s="67" t="inlineStr">
        <is>
          <t>-</t>
        </is>
      </c>
      <c r="Y161" s="60" t="inlineStr">
        <is>
          <t>No business credit card (no business accounts at all)</t>
        </is>
      </c>
      <c r="Z161" s="60" t="inlineStr">
        <is>
          <t>-</t>
        </is>
      </c>
      <c r="AA161" s="60" t="inlineStr">
        <is>
          <t>-</t>
        </is>
      </c>
      <c r="AB161" s="60" t="inlineStr">
        <is>
          <t>-</t>
        </is>
      </c>
      <c r="AC161" s="60" t="inlineStr">
        <is>
          <t>-</t>
        </is>
      </c>
      <c r="AD161" s="60" t="inlineStr">
        <is>
          <t>-</t>
        </is>
      </c>
      <c r="AE161" s="60" t="inlineStr">
        <is>
          <t>-</t>
        </is>
      </c>
      <c r="AF161" s="60" t="inlineStr">
        <is>
          <t>No business products</t>
        </is>
      </c>
      <c r="AG161" s="60" t="inlineStr">
        <is>
          <t>No business card (no business accounts). VERIFIED.</t>
        </is>
      </c>
      <c r="AH161" s="64" t="inlineStr">
        <is>
          <t>penfed.org/credit-cards; membership</t>
        </is>
      </c>
    </row>
    <row r="162" ht="15.75" customHeight="1">
      <c r="A162" s="57" t="n"/>
      <c r="B162" s="80" t="inlineStr">
        <is>
          <t>D - No business card</t>
        </is>
      </c>
      <c r="C162" s="79" t="inlineStr">
        <is>
          <t>Alliant Credit Union</t>
        </is>
      </c>
      <c r="D162" s="60" t="inlineStr">
        <is>
          <t>- no business card</t>
        </is>
      </c>
      <c r="E162" s="61" t="inlineStr">
        <is>
          <t>Credit Union</t>
        </is>
      </c>
      <c r="F162" s="67" t="inlineStr">
        <is>
          <t>No</t>
        </is>
      </c>
      <c r="G162" s="60" t="inlineStr">
        <is>
          <t>Out-of-state (national)</t>
        </is>
      </c>
      <c r="H162" s="82" t="inlineStr">
        <is>
          <t>CU - open membership but NO business card</t>
        </is>
      </c>
      <c r="I162" s="79" t="inlineStr">
        <is>
          <t>N/A (no business card)</t>
        </is>
      </c>
      <c r="J162" s="60" t="inlineStr">
        <is>
          <t>~$20B</t>
        </is>
      </c>
      <c r="K162" s="60" t="inlineStr">
        <is>
          <t>~$17B (shares)</t>
        </is>
      </c>
      <c r="L162" s="60" t="inlineStr">
        <is>
          <t>National online CU; open membership ($10 Foster Care to Success)</t>
        </is>
      </c>
      <c r="M162" s="60" t="n">
        <v>-92</v>
      </c>
      <c r="N162" s="60" t="inlineStr">
        <is>
          <t>Chicago</t>
        </is>
      </c>
      <c r="O162" s="60" t="inlineStr">
        <is>
          <t>Cook (IL)</t>
        </is>
      </c>
      <c r="P162" s="64" t="inlineStr">
        <is>
          <t>alliantcreditunion.org</t>
        </is>
      </c>
      <c r="Q162" s="81" t="inlineStr">
        <is>
          <t>No</t>
        </is>
      </c>
      <c r="R162" s="60" t="inlineStr">
        <is>
          <t>-</t>
        </is>
      </c>
      <c r="S162" s="67" t="inlineStr">
        <is>
          <t>No card</t>
        </is>
      </c>
      <c r="T162" s="60" t="inlineStr">
        <is>
          <t>-</t>
        </is>
      </c>
      <c r="U162" s="67" t="inlineStr">
        <is>
          <t>-</t>
        </is>
      </c>
      <c r="V162" s="79" t="inlineStr">
        <is>
          <t>None (no business card)</t>
        </is>
      </c>
      <c r="W162" s="57" t="inlineStr">
        <is>
          <t>-</t>
        </is>
      </c>
      <c r="X162" s="67" t="inlineStr">
        <is>
          <t>-</t>
        </is>
      </c>
      <c r="Y162" s="60" t="inlineStr">
        <is>
          <t>No business credit card</t>
        </is>
      </c>
      <c r="Z162" s="60" t="inlineStr">
        <is>
          <t>-</t>
        </is>
      </c>
      <c r="AA162" s="60" t="inlineStr">
        <is>
          <t>-</t>
        </is>
      </c>
      <c r="AB162" s="60" t="inlineStr">
        <is>
          <t>-</t>
        </is>
      </c>
      <c r="AC162" s="60" t="inlineStr">
        <is>
          <t>-</t>
        </is>
      </c>
      <c r="AD162" s="60" t="inlineStr">
        <is>
          <t>-</t>
        </is>
      </c>
      <c r="AE162" s="60" t="inlineStr">
        <is>
          <t>-</t>
        </is>
      </c>
      <c r="AF162" s="60" t="inlineStr">
        <is>
          <t>No card product</t>
        </is>
      </c>
      <c r="AG162" s="60" t="inlineStr">
        <is>
          <t>No business credit card (consumer Visa only). VERIFIED (CFPB).</t>
        </is>
      </c>
      <c r="AH162" s="64" t="inlineStr">
        <is>
          <t>consumerfinance.gov Alliant</t>
        </is>
      </c>
    </row>
    <row r="163" ht="15.75" customHeight="1">
      <c r="A163" s="57" t="n"/>
      <c r="B163" s="80" t="inlineStr">
        <is>
          <t>D - No business card</t>
        </is>
      </c>
      <c r="C163" s="79" t="inlineStr">
        <is>
          <t>Wings Financial Credit Union</t>
        </is>
      </c>
      <c r="D163" s="60" t="inlineStr">
        <is>
          <t>- no business card</t>
        </is>
      </c>
      <c r="E163" s="61" t="inlineStr">
        <is>
          <t>Credit Union</t>
        </is>
      </c>
      <c r="F163" s="67" t="inlineStr">
        <is>
          <t>No</t>
        </is>
      </c>
      <c r="G163" s="60" t="inlineStr">
        <is>
          <t>Out-of-state (national)</t>
        </is>
      </c>
      <c r="H163" s="82" t="inlineStr">
        <is>
          <t>CU - no business card</t>
        </is>
      </c>
      <c r="I163" s="79" t="inlineStr">
        <is>
          <t>N/A (no business card)</t>
        </is>
      </c>
      <c r="J163" s="60" t="inlineStr">
        <is>
          <t>~$9.6B</t>
        </is>
      </c>
      <c r="K163" s="60" t="inlineStr">
        <is>
          <t>~$8B (shares)</t>
        </is>
      </c>
      <c r="L163" s="60" t="inlineStr">
        <is>
          <t>Aviation-affiliated; open via Wings Foundation $5</t>
        </is>
      </c>
      <c r="M163" s="60" t="n">
        <v>-94</v>
      </c>
      <c r="N163" s="60" t="inlineStr">
        <is>
          <t>Apple Valley</t>
        </is>
      </c>
      <c r="O163" s="60" t="inlineStr">
        <is>
          <t>Dakota (MN)</t>
        </is>
      </c>
      <c r="P163" s="64" t="inlineStr">
        <is>
          <t>wingscu.com</t>
        </is>
      </c>
      <c r="Q163" s="81" t="inlineStr">
        <is>
          <t>No</t>
        </is>
      </c>
      <c r="R163" s="60" t="inlineStr">
        <is>
          <t>-</t>
        </is>
      </c>
      <c r="S163" s="67" t="inlineStr">
        <is>
          <t>No card</t>
        </is>
      </c>
      <c r="T163" s="60" t="inlineStr">
        <is>
          <t>-</t>
        </is>
      </c>
      <c r="U163" s="67" t="inlineStr">
        <is>
          <t>-</t>
        </is>
      </c>
      <c r="V163" s="79" t="inlineStr">
        <is>
          <t>None (no business card)</t>
        </is>
      </c>
      <c r="W163" s="57" t="inlineStr">
        <is>
          <t>-</t>
        </is>
      </c>
      <c r="X163" s="67" t="inlineStr">
        <is>
          <t>-</t>
        </is>
      </c>
      <c r="Y163" s="60" t="inlineStr">
        <is>
          <t>No business credit card</t>
        </is>
      </c>
      <c r="Z163" s="60" t="inlineStr">
        <is>
          <t>-</t>
        </is>
      </c>
      <c r="AA163" s="60" t="inlineStr">
        <is>
          <t>-</t>
        </is>
      </c>
      <c r="AB163" s="60" t="inlineStr">
        <is>
          <t>-</t>
        </is>
      </c>
      <c r="AC163" s="60" t="inlineStr">
        <is>
          <t>-</t>
        </is>
      </c>
      <c r="AD163" s="60" t="inlineStr">
        <is>
          <t>-</t>
        </is>
      </c>
      <c r="AE163" s="60" t="inlineStr">
        <is>
          <t>-</t>
        </is>
      </c>
      <c r="AF163" s="60" t="inlineStr">
        <is>
          <t>No card product</t>
        </is>
      </c>
      <c r="AG163" s="60" t="inlineStr">
        <is>
          <t>No business credit card (consumer Visa only; biz=checking/lending). VERIFIED.</t>
        </is>
      </c>
      <c r="AH163" s="64" t="inlineStr">
        <is>
          <t>wingscu.com/credit-cards</t>
        </is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H$163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6" customWidth="1" min="4" max="4"/>
    <col width="13" customWidth="1" min="5" max="5"/>
    <col width="7" customWidth="1" min="6" max="6"/>
    <col width="22" customWidth="1" min="7" max="7"/>
    <col width="40" customWidth="1" min="8" max="8"/>
    <col width="30" customWidth="1" min="9" max="9"/>
    <col width="13" customWidth="1" min="10" max="10"/>
    <col width="38" customWidth="1" min="12" max="12"/>
    <col width="9" customWidth="1" min="13" max="13"/>
    <col width="16" customWidth="1" min="14" max="14"/>
    <col width="14" customWidth="1" min="15" max="15"/>
    <col width="20" customWidth="1" min="16" max="16"/>
    <col width="8" customWidth="1" min="17" max="17"/>
    <col width="26" customWidth="1" min="18" max="18"/>
    <col width="12" customWidth="1" min="19" max="19"/>
    <col width="34" customWidth="1" min="20" max="20"/>
    <col width="13" customWidth="1" min="21" max="21"/>
    <col width="28" customWidth="1" min="22" max="22"/>
    <col width="13" customWidth="1" min="23" max="23"/>
    <col width="22" customWidth="1" min="24" max="24"/>
    <col width="38" customWidth="1" min="25" max="25"/>
    <col width="22" customWidth="1" min="26" max="26"/>
    <col width="26" customWidth="1" min="27" max="27"/>
    <col width="16" customWidth="1" min="28" max="28"/>
    <col width="40" customWidth="1" min="29" max="29"/>
    <col width="26" customWidth="1" min="30" max="30"/>
    <col width="30" customWidth="1" min="32" max="32"/>
    <col width="40" customWidth="1" min="33" max="33"/>
    <col width="36" customWidth="1" min="34" max="34"/>
  </cols>
  <sheetData>
    <row r="1" ht="30" customHeight="1">
      <c r="A1" s="56" t="inlineStr">
        <is>
          <t>Rec #</t>
        </is>
      </c>
      <c r="B1" s="56" t="inlineStr">
        <is>
          <t>Tier</t>
        </is>
      </c>
      <c r="C1" s="56" t="inlineStr">
        <is>
          <t>Institution</t>
        </is>
      </c>
      <c r="D1" s="56" t="inlineStr">
        <is>
          <t>Match (criteria)</t>
        </is>
      </c>
      <c r="E1" s="56" t="inlineStr">
        <is>
          <t>Type</t>
        </is>
      </c>
      <c r="F1" s="56" t="inlineStr">
        <is>
          <t>SoCal?</t>
        </is>
      </c>
      <c r="G1" s="56" t="inlineStr">
        <is>
          <t>Region</t>
        </is>
      </c>
      <c r="H1" s="56" t="inlineStr">
        <is>
          <t>CA Access / Why listed</t>
        </is>
      </c>
      <c r="I1" s="56" t="inlineStr">
        <is>
          <t>Est. Business Credit Limit</t>
        </is>
      </c>
      <c r="J1" s="56" t="inlineStr">
        <is>
          <t>Total Assets</t>
        </is>
      </c>
      <c r="K1" s="56" t="inlineStr">
        <is>
          <t>Total Deposits</t>
        </is>
      </c>
      <c r="L1" s="56" t="inlineStr">
        <is>
          <t>Footprint</t>
        </is>
      </c>
      <c r="M1" s="56" t="inlineStr">
        <is>
          <t>Rec Score</t>
        </is>
      </c>
      <c r="N1" s="56" t="inlineStr">
        <is>
          <t>City</t>
        </is>
      </c>
      <c r="O1" s="56" t="inlineStr">
        <is>
          <t>County</t>
        </is>
      </c>
      <c r="P1" s="56" t="inlineStr">
        <is>
          <t>Website</t>
        </is>
      </c>
      <c r="Q1" s="56" t="inlineStr">
        <is>
          <t>Biz card?</t>
        </is>
      </c>
      <c r="R1" s="56" t="inlineStr">
        <is>
          <t>Card page</t>
        </is>
      </c>
      <c r="S1" s="56" t="inlineStr">
        <is>
          <t>Apply</t>
        </is>
      </c>
      <c r="T1" s="56" t="inlineStr">
        <is>
          <t>How to Apply (method / link)</t>
        </is>
      </c>
      <c r="U1" s="56" t="inlineStr">
        <is>
          <t>Self-underwritten?</t>
        </is>
      </c>
      <c r="V1" s="56" t="inlineStr">
        <is>
          <t>Underwriter / Issuer</t>
        </is>
      </c>
      <c r="W1" s="56" t="inlineStr">
        <is>
          <t>Interest-bearing?</t>
        </is>
      </c>
      <c r="X1" s="56" t="inlineStr">
        <is>
          <t>0% intro?</t>
        </is>
      </c>
      <c r="Y1" s="56" t="inlineStr">
        <is>
          <t>Rate &amp; terms</t>
        </is>
      </c>
      <c r="Z1" s="56" t="inlineStr">
        <is>
          <t>Hard-pull bureau</t>
        </is>
      </c>
      <c r="AA1" s="56" t="inlineStr">
        <is>
          <t>Business bureaus reported to</t>
        </is>
      </c>
      <c r="AB1" s="56" t="inlineStr">
        <is>
          <t>Reports to personal bureau?</t>
        </is>
      </c>
      <c r="AC1" s="56" t="inlineStr">
        <is>
          <t>Approval info (limits / profile)</t>
        </is>
      </c>
      <c r="AD1" s="56" t="inlineStr">
        <is>
          <t>Approval source links</t>
        </is>
      </c>
      <c r="AE1" s="56" t="inlineStr">
        <is>
          <t>Deposit/account required?</t>
        </is>
      </c>
      <c r="AF1" s="56" t="inlineStr">
        <is>
          <t>Other no-doc business products</t>
        </is>
      </c>
      <c r="AG1" s="56" t="inlineStr">
        <is>
          <t>Confidence &amp; notes</t>
        </is>
      </c>
      <c r="AH1" s="56" t="inlineStr">
        <is>
          <t>Sources</t>
        </is>
      </c>
    </row>
    <row r="2">
      <c r="A2" s="57" t="n">
        <v>1</v>
      </c>
      <c r="B2" s="58" t="inlineStr">
        <is>
          <t>A - Self-issued, apply online</t>
        </is>
      </c>
      <c r="C2" s="59" t="inlineStr">
        <is>
          <t>Kinecta Federal Credit Union</t>
        </is>
      </c>
      <c r="D2" s="60" t="inlineStr">
        <is>
          <t>3/4 (missing: apply online)</t>
        </is>
      </c>
      <c r="E2" s="61" t="inlineStr">
        <is>
          <t>Credit Union</t>
        </is>
      </c>
      <c r="F2" s="61" t="inlineStr">
        <is>
          <t>Yes</t>
        </is>
      </c>
      <c r="G2" s="60" t="inlineStr">
        <is>
          <t>SoCal - LA County</t>
        </is>
      </c>
      <c r="H2" s="62" t="inlineStr">
        <is>
          <t>CA-HQ (Southern California)</t>
        </is>
      </c>
      <c r="I2" s="63" t="inlineStr">
        <is>
          <t>Not published (est ~$5k-$15k)</t>
        </is>
      </c>
      <c r="J2" s="60" t="inlineStr">
        <is>
          <t>~$6.5B</t>
        </is>
      </c>
      <c r="K2" s="60" t="inlineStr">
        <is>
          <t>~$5.5B (shares)</t>
        </is>
      </c>
      <c r="L2" s="60" t="inlineStr">
        <is>
          <t>LA South Bay + statewide; ~30 branches</t>
        </is>
      </c>
      <c r="M2" s="60" t="n">
        <v>170</v>
      </c>
      <c r="N2" s="60" t="inlineStr">
        <is>
          <t>Manhattan Beach</t>
        </is>
      </c>
      <c r="O2" s="60" t="inlineStr">
        <is>
          <t>Los Angeles</t>
        </is>
      </c>
      <c r="P2" s="64" t="inlineStr">
        <is>
          <t>kinecta.org</t>
        </is>
      </c>
      <c r="Q2" s="65" t="inlineStr">
        <is>
          <t>Yes</t>
        </is>
      </c>
      <c r="R2" s="64" t="inlineStr">
        <is>
          <t>kinecta.org/credit-card/mypro</t>
        </is>
      </c>
      <c r="S2" s="66" t="inlineStr">
        <is>
          <t>Partial online</t>
        </is>
      </c>
      <c r="T2" s="60" t="inlineStr">
        <is>
          <t>Book appointment kinecta.org/book-an-appointment or 800-854-9846 (no instant online app)</t>
        </is>
      </c>
      <c r="U2" s="65" t="inlineStr">
        <is>
          <t>Yes</t>
        </is>
      </c>
      <c r="V2" s="62" t="inlineStr">
        <is>
          <t>Self-issued (Kinecta FCU)</t>
        </is>
      </c>
      <c r="W2" s="57" t="inlineStr">
        <is>
          <t>Yes (revolving)</t>
        </is>
      </c>
      <c r="X2" s="67" t="inlineStr">
        <is>
          <t>No</t>
        </is>
      </c>
      <c r="Y2" s="60" t="inlineStr">
        <is>
          <t>MyPro Business MC: 13.49-18% var, $0 AF, 3% fuel/office/EV, 2% travel/dining, 1% else, +up to 20% relationship bonus, no FX</t>
        </is>
      </c>
      <c r="Z2" s="60" t="inlineStr">
        <is>
          <t>Hard pull at application; bureau not disclosed (UNKNOWN)</t>
        </is>
      </c>
      <c r="AA2" s="60" t="inlineStr">
        <is>
          <t>Unknown</t>
        </is>
      </c>
      <c r="AB2" s="60" t="inlineStr">
        <is>
          <t>Unknown</t>
        </is>
      </c>
      <c r="AC2" s="60" t="inlineStr">
        <is>
          <t>myFICO: EX pull, $10 savings to join; some no-HP for members (MyPro-specific limits not isolated)</t>
        </is>
      </c>
      <c r="AD2" s="64" t="inlineStr">
        <is>
          <t>myFICO 6571871, 6513991</t>
        </is>
      </c>
      <c r="AE2" s="60" t="inlineStr">
        <is>
          <t>Membership req (OPEN: Consumer Coop Society of Santa Monica ~$10)</t>
        </is>
      </c>
      <c r="AF2" s="60" t="inlineStr">
        <is>
          <t>Business lending separate; card is the main biz credit product</t>
        </is>
      </c>
      <c r="AG2" s="60" t="inlineStr">
        <is>
          <t>SELF-ISSUED VERIFIED (CFPB files MyPro agreement). SoCal + easy membership. Partial online.</t>
        </is>
      </c>
      <c r="AH2" s="64" t="inlineStr">
        <is>
          <t>kinecta.org/credit-card/mypro; consumerfinance.gov (Kinecta agreements)</t>
        </is>
      </c>
    </row>
    <row r="3">
      <c r="A3" s="57" t="n">
        <v>2</v>
      </c>
      <c r="B3" s="58" t="inlineStr">
        <is>
          <t>A - Self-issued, apply online</t>
        </is>
      </c>
      <c r="C3" s="59" t="inlineStr">
        <is>
          <t>Logix Federal Credit Union</t>
        </is>
      </c>
      <c r="D3" s="60" t="inlineStr">
        <is>
          <t>3/4 (missing: apply online)</t>
        </is>
      </c>
      <c r="E3" s="61" t="inlineStr">
        <is>
          <t>Credit Union</t>
        </is>
      </c>
      <c r="F3" s="61" t="inlineStr">
        <is>
          <t>Yes</t>
        </is>
      </c>
      <c r="G3" s="60" t="inlineStr">
        <is>
          <t>SoCal - LA County</t>
        </is>
      </c>
      <c r="H3" s="62" t="inlineStr">
        <is>
          <t>CA-HQ (Southern California)</t>
        </is>
      </c>
      <c r="I3" s="63" t="inlineStr">
        <is>
          <t>$5k-$25k (est; self-issued community pattern)</t>
        </is>
      </c>
      <c r="J3" s="60" t="inlineStr">
        <is>
          <t>~$9B</t>
        </is>
      </c>
      <c r="K3" s="60" t="inlineStr">
        <is>
          <t>~$7B (shares)</t>
        </is>
      </c>
      <c r="L3" s="60" t="inlineStr">
        <is>
          <t>LA (Burbank/SF Valley) + CA; biz must be within 30 mi of branch</t>
        </is>
      </c>
      <c r="M3" s="60" t="n">
        <v>164</v>
      </c>
      <c r="N3" s="60" t="inlineStr">
        <is>
          <t>Burbank</t>
        </is>
      </c>
      <c r="O3" s="60" t="inlineStr">
        <is>
          <t>Los Angeles</t>
        </is>
      </c>
      <c r="P3" s="64" t="inlineStr">
        <is>
          <t>logixbanking.com</t>
        </is>
      </c>
      <c r="Q3" s="65" t="inlineStr">
        <is>
          <t>Yes</t>
        </is>
      </c>
      <c r="R3" s="64" t="inlineStr">
        <is>
          <t>logixbanking.com/business/credit-card</t>
        </is>
      </c>
      <c r="S3" s="66" t="inlineStr">
        <is>
          <t>Partial online</t>
        </is>
      </c>
      <c r="T3" s="60" t="inlineStr">
        <is>
          <t>Schedule appointment: businessappointments.logixbanking.com or 800-328-5328 (no instant online app)</t>
        </is>
      </c>
      <c r="U3" s="65" t="inlineStr">
        <is>
          <t>Yes</t>
        </is>
      </c>
      <c r="V3" s="62" t="inlineStr">
        <is>
          <t>Self-issued (Logix FCU)</t>
        </is>
      </c>
      <c r="W3" s="57" t="inlineStr">
        <is>
          <t>Yes (revolving)</t>
        </is>
      </c>
      <c r="X3" s="66" t="inlineStr">
        <is>
          <t>Low intro: 5.99% for 6 mo (then 17.99%)</t>
        </is>
      </c>
      <c r="Y3" s="60" t="inlineStr">
        <is>
          <t>Smart Business Cashback MC: 5.99% intro 6mo then 17.99% var, $0 AF, 1.5% cashback (CA only)</t>
        </is>
      </c>
      <c r="Z3" s="60" t="inlineStr">
        <is>
          <t>Hard pull at application; bureau not disclosed (UNKNOWN)</t>
        </is>
      </c>
      <c r="AA3" s="60" t="inlineStr">
        <is>
          <t>Not disclosed (likely SBFE; INFERRED)</t>
        </is>
      </c>
      <c r="AB3" s="60" t="inlineStr">
        <is>
          <t>Unknown</t>
        </is>
      </c>
      <c r="AC3" s="60" t="inlineStr">
        <is>
          <t>None found</t>
        </is>
      </c>
      <c r="AD3" s="60" t="inlineStr">
        <is>
          <t>-</t>
        </is>
      </c>
      <c r="AE3" s="60" t="inlineStr">
        <is>
          <t>Membership req (EASY: American Consumer Council free; biz 1yr+ if not member)</t>
        </is>
      </c>
      <c r="AF3" s="60" t="inlineStr">
        <is>
          <t>Business lending separate (CA-only)</t>
        </is>
      </c>
      <c r="AG3" s="60" t="inlineStr">
        <is>
          <t>SELF-ISSUED VERIFIED ('Logix...the creditor'). SoCal + online apply. Strong template match.</t>
        </is>
      </c>
      <c r="AH3" s="64" t="inlineStr">
        <is>
          <t>logixbanking.com/business/credit-card; consumerfinance.gov (Logix agreements)</t>
        </is>
      </c>
    </row>
    <row r="4">
      <c r="A4" s="57" t="n">
        <v>3</v>
      </c>
      <c r="B4" s="58" t="inlineStr">
        <is>
          <t>A - Self-issued, apply online</t>
        </is>
      </c>
      <c r="C4" s="68" t="inlineStr">
        <is>
          <t>San Diego County Credit Union (SDCCU)</t>
        </is>
      </c>
      <c r="D4" s="60" t="inlineStr">
        <is>
          <t>GOLD 4/4 (self + online + SoCal + card)</t>
        </is>
      </c>
      <c r="E4" s="61" t="inlineStr">
        <is>
          <t>Credit Union</t>
        </is>
      </c>
      <c r="F4" s="61" t="inlineStr">
        <is>
          <t>Yes</t>
        </is>
      </c>
      <c r="G4" s="60" t="inlineStr">
        <is>
          <t>SoCal - San Diego</t>
        </is>
      </c>
      <c r="H4" s="62" t="inlineStr">
        <is>
          <t>CA-HQ (Southern California)</t>
        </is>
      </c>
      <c r="I4" s="63" t="inlineStr">
        <is>
          <t>$5k-$20k (VERIFIED published range)</t>
        </is>
      </c>
      <c r="J4" s="60" t="inlineStr">
        <is>
          <t>~$9.26B</t>
        </is>
      </c>
      <c r="K4" s="60" t="inlineStr">
        <is>
          <t>~$7.5B (shares)</t>
        </is>
      </c>
      <c r="L4" s="60" t="inlineStr">
        <is>
          <t>San Diego County + statewide; ~40 branches</t>
        </is>
      </c>
      <c r="M4" s="60" t="n">
        <v>161</v>
      </c>
      <c r="N4" s="60" t="inlineStr">
        <is>
          <t>San Diego</t>
        </is>
      </c>
      <c r="O4" s="60" t="inlineStr">
        <is>
          <t>San Diego</t>
        </is>
      </c>
      <c r="P4" s="64" t="inlineStr">
        <is>
          <t>sdccu.com</t>
        </is>
      </c>
      <c r="Q4" s="65" t="inlineStr">
        <is>
          <t>Yes</t>
        </is>
      </c>
      <c r="R4" s="64" t="inlineStr">
        <is>
          <t>sdccu.com/business/business-credit-card/</t>
        </is>
      </c>
      <c r="S4" s="65" t="inlineStr">
        <is>
          <t>Online</t>
        </is>
      </c>
      <c r="T4" s="60" t="inlineStr">
        <is>
          <t>Apply ONLINE via Internet Branch (join first), or branch, or 877-732-2848 x6200</t>
        </is>
      </c>
      <c r="U4" s="65" t="inlineStr">
        <is>
          <t>Yes</t>
        </is>
      </c>
      <c r="V4" s="62" t="inlineStr">
        <is>
          <t>Self-issued (SDCCU)</t>
        </is>
      </c>
      <c r="W4" s="57" t="inlineStr">
        <is>
          <t>Yes (revolving)</t>
        </is>
      </c>
      <c r="X4" s="67" t="inlineStr">
        <is>
          <t>No</t>
        </is>
      </c>
      <c r="Y4" s="60" t="inlineStr">
        <is>
          <t>SDCCU Visa Business: 11.74% var purchases (Prime+4.99%, floor 9.99%), $25 AF (waived &gt;$10k/yr net purchases), low-rate (no rewards)</t>
        </is>
      </c>
      <c r="Z4" s="60" t="inlineStr">
        <is>
          <t>Experian (myFICO datapoints, INFERRED-strong)</t>
        </is>
      </c>
      <c r="AA4" s="60" t="inlineStr">
        <is>
          <t>Not disclosed (likely SBFE; INFERRED)</t>
        </is>
      </c>
      <c r="AB4" s="60" t="inlineStr">
        <is>
          <t>Unknown</t>
        </is>
      </c>
      <c r="AC4" s="60" t="inlineStr">
        <is>
          <t>None found (no forum datapoints)</t>
        </is>
      </c>
      <c r="AD4" s="60" t="inlineStr">
        <is>
          <t>-</t>
        </is>
      </c>
      <c r="AE4" s="60" t="inlineStr">
        <is>
          <t>Membership req (OPEN: live/work 9 SoCal counties incl LA/OC/Riverside/SB/SD/Ventura, OR Financial Fitness Assn $8)</t>
        </is>
      </c>
      <c r="AF4" s="60" t="inlineStr">
        <is>
          <t>Business lending separate; card is main biz credit product</t>
        </is>
      </c>
      <c r="AG4" s="60" t="inlineStr">
        <is>
          <t>SELF-ISSUED VERIFIED (own rate sheet + CFPB filing). SoCal + ONLINE apply + open membership. Strong target.</t>
        </is>
      </c>
      <c r="AH4" s="64" t="inlineStr">
        <is>
          <t>sdccu.com/business/business-credit-card/; rates page; consumerfinance.gov CFPB DB</t>
        </is>
      </c>
    </row>
    <row r="5">
      <c r="A5" s="57" t="n">
        <v>4</v>
      </c>
      <c r="B5" s="58" t="inlineStr">
        <is>
          <t>A - Self-issued, apply online</t>
        </is>
      </c>
      <c r="C5" s="68" t="inlineStr">
        <is>
          <t>Montecito Bank &amp; Trust</t>
        </is>
      </c>
      <c r="D5" s="60" t="inlineStr">
        <is>
          <t>GOLD 4/4 (self + online + SoCal + card)</t>
        </is>
      </c>
      <c r="E5" s="69" t="inlineStr">
        <is>
          <t>Bank</t>
        </is>
      </c>
      <c r="F5" s="61" t="inlineStr">
        <is>
          <t>Yes</t>
        </is>
      </c>
      <c r="G5" s="60" t="inlineStr">
        <is>
          <t>SoCal - Santa Barbara/Ventura</t>
        </is>
      </c>
      <c r="H5" s="62" t="inlineStr">
        <is>
          <t>CA-HQ (Southern California)</t>
        </is>
      </c>
      <c r="I5" s="63" t="inlineStr">
        <is>
          <t>Up to $100k (VERIFIED published max)</t>
        </is>
      </c>
      <c r="J5" s="60" t="inlineStr">
        <is>
          <t>$2.09B</t>
        </is>
      </c>
      <c r="K5" s="60" t="inlineStr">
        <is>
          <t>$1.87B</t>
        </is>
      </c>
      <c r="L5" s="60" t="inlineStr">
        <is>
          <t>Santa Barbara/Ventura Central Coast; ~12 branches</t>
        </is>
      </c>
      <c r="M5" s="60" t="n">
        <v>159</v>
      </c>
      <c r="N5" s="60" t="inlineStr">
        <is>
          <t>Santa Barbara</t>
        </is>
      </c>
      <c r="O5" s="60" t="inlineStr">
        <is>
          <t>Santa Barbara</t>
        </is>
      </c>
      <c r="P5" s="64" t="inlineStr">
        <is>
          <t>montecito.bank</t>
        </is>
      </c>
      <c r="Q5" s="65" t="inlineStr">
        <is>
          <t>Yes</t>
        </is>
      </c>
      <c r="R5" s="64" t="inlineStr">
        <is>
          <t>montecito.bank/business/credit-card</t>
        </is>
      </c>
      <c r="S5" s="65" t="inlineStr">
        <is>
          <t>Online</t>
        </is>
      </c>
      <c r="T5" s="60" t="inlineStr">
        <is>
          <t>Apply ONLINE: montecito.bank/business/apply; or branch; or 805-963-7511</t>
        </is>
      </c>
      <c r="U5" s="65" t="inlineStr">
        <is>
          <t>Yes</t>
        </is>
      </c>
      <c r="V5" s="62" t="inlineStr">
        <is>
          <t>Self-issued (Montecito Bank &amp; Trust)</t>
        </is>
      </c>
      <c r="W5" s="57" t="inlineStr">
        <is>
          <t>Yes (revolving)</t>
        </is>
      </c>
      <c r="X5" s="67" t="inlineStr">
        <is>
          <t>No (no intro, no penalty APR)</t>
        </is>
      </c>
      <c r="Y5" s="60" t="inlineStr">
        <is>
          <t>Visa Business Rewards: 16.49/20.49/24.49% fixed-tier, $0 AF, 1% cash back, $250 bonus ($5k/90d)</t>
        </is>
      </c>
      <c r="Z5" s="60" t="inlineStr">
        <is>
          <t>Owner credit pulled (agreement sec.28); bureau not named (UNKNOWN)</t>
        </is>
      </c>
      <c r="AA5" s="60" t="inlineStr">
        <is>
          <t>Unknown (Fiserv-serviced; SBFE/Experian Biz common but unverified)</t>
        </is>
      </c>
      <c r="AB5" s="60" t="inlineStr">
        <is>
          <t>Yes - defaults reported to owner's personal credit (agreement sec.28)</t>
        </is>
      </c>
      <c r="AC5" s="60" t="inlineStr">
        <is>
          <t>None found (small program, low forum coverage)</t>
        </is>
      </c>
      <c r="AD5" s="60" t="inlineStr">
        <is>
          <t>-</t>
        </is>
      </c>
      <c r="AE5" s="60" t="inlineStr">
        <is>
          <t>Yes - MUST be a Montecito Bank &amp; Trust deposit customer first (agreement sec.1)</t>
        </is>
      </c>
      <c r="AF5" s="60" t="inlineStr">
        <is>
          <t>No - commercial underwritten</t>
        </is>
      </c>
      <c r="AG5" s="60" t="inlineStr">
        <is>
          <t>SELF-ISSUED VERIFIED ('we are the creditor'). Online (DocuSign). Deposit customer required.</t>
        </is>
      </c>
      <c r="AH5" s="64" t="inlineStr">
        <is>
          <t>montecito.bank/business/credit-card; business-credit-card-contract-and-pre-disclosure</t>
        </is>
      </c>
    </row>
    <row r="6">
      <c r="A6" s="57" t="n">
        <v>5</v>
      </c>
      <c r="B6" s="59" t="inlineStr">
        <is>
          <t>B - Self-issued, in-person</t>
        </is>
      </c>
      <c r="C6" s="59" t="inlineStr">
        <is>
          <t>City National Bank</t>
        </is>
      </c>
      <c r="D6" s="60" t="inlineStr">
        <is>
          <t>3/4 (missing: apply online)</t>
        </is>
      </c>
      <c r="E6" s="69" t="inlineStr">
        <is>
          <t>Bank</t>
        </is>
      </c>
      <c r="F6" s="61" t="inlineStr">
        <is>
          <t>Yes</t>
        </is>
      </c>
      <c r="G6" s="60" t="inlineStr">
        <is>
          <t>SoCal - LA County</t>
        </is>
      </c>
      <c r="H6" s="62" t="inlineStr">
        <is>
          <t>CA-HQ (Southern California)</t>
        </is>
      </c>
      <c r="I6" s="63" t="inlineStr">
        <is>
          <t>~$10k+ (personal datapoint; commercial relationship-based may run higher)</t>
        </is>
      </c>
      <c r="J6" s="60" t="inlineStr">
        <is>
          <t>$96.47B</t>
        </is>
      </c>
      <c r="K6" s="60" t="inlineStr">
        <is>
          <t>$80.22B</t>
        </is>
      </c>
      <c r="L6" s="60" t="inlineStr">
        <is>
          <t>~60-75 offices, 8 states; CA LA+SF Bay; NY, NV, TN, GA, MN, DC</t>
        </is>
      </c>
      <c r="M6" s="60" t="n">
        <v>154</v>
      </c>
      <c r="N6" s="60" t="inlineStr">
        <is>
          <t>Los Angeles</t>
        </is>
      </c>
      <c r="O6" s="60" t="inlineStr">
        <is>
          <t>Los Angeles</t>
        </is>
      </c>
      <c r="P6" s="64" t="inlineStr">
        <is>
          <t>cnb.com</t>
        </is>
      </c>
      <c r="Q6" s="65" t="inlineStr">
        <is>
          <t>Yes</t>
        </is>
      </c>
      <c r="R6" s="64" t="inlineStr">
        <is>
          <t>cnb.com/business-banking/lending/credit-cards.html</t>
        </is>
      </c>
      <c r="S6" s="70" t="inlineStr">
        <is>
          <t>In-person</t>
        </is>
      </c>
      <c r="T6" s="60" t="inlineStr">
        <is>
          <t>Relationship-based: 'Connect with us' lead form or Relationship Manager (no online app)</t>
        </is>
      </c>
      <c r="U6" s="65" t="inlineStr">
        <is>
          <t>Yes</t>
        </is>
      </c>
      <c r="V6" s="62" t="inlineStr">
        <is>
          <t>Self-issued (City National Bank)</t>
        </is>
      </c>
      <c r="W6" s="57" t="inlineStr">
        <is>
          <t>Charge card</t>
        </is>
      </c>
      <c r="X6" s="67" t="inlineStr">
        <is>
          <t>No</t>
        </is>
      </c>
      <c r="Y6" s="60" t="inlineStr">
        <is>
          <t>~15.96% fixed APR; Commercial $0 acct fee (+$50/card if Rewards); Crystal $400+$75/card</t>
        </is>
      </c>
      <c r="Z6" s="60" t="inlineStr">
        <is>
          <t>Not disclosed; commercial underwriting (UNKNOWN)</t>
        </is>
      </c>
      <c r="AA6" s="60" t="inlineStr">
        <is>
          <t>Unknown (not disclosed)</t>
        </is>
      </c>
      <c r="AB6" s="60" t="inlineStr">
        <is>
          <t>Likely No (commercial, business-purpose only; INFERRED)</t>
        </is>
      </c>
      <c r="AC6" s="60" t="inlineStr">
        <is>
          <t>Sparse for biz. Personal Crystal Visa: ~$10k start, in-branch manual UW, ~$100k+ income</t>
        </is>
      </c>
      <c r="AD6" s="64" t="inlineStr">
        <is>
          <t>ficoforums.myfico.com (Crystal Visa Infinite threads)</t>
        </is>
      </c>
      <c r="AE6" s="60" t="inlineStr">
        <is>
          <t>Yes (relationship; security interest in deposits)</t>
        </is>
      </c>
      <c r="AF6" s="60" t="inlineStr">
        <is>
          <t>No - SBA/LOC/ABL/equipment all fully underwritten (PFS req)</t>
        </is>
      </c>
      <c r="AG6" s="60" t="inlineStr">
        <is>
          <t>Issuer/terms VERIFIED (official docs). Biz-card bureau pull/report UNKNOWN.</t>
        </is>
      </c>
      <c r="AH6" s="64" t="inlineStr">
        <is>
          <t>cnb.com; Commercial Card Agreement PDF; Fee Schedule PDF</t>
        </is>
      </c>
    </row>
    <row r="7">
      <c r="A7" s="57" t="n">
        <v>6</v>
      </c>
      <c r="B7" s="59" t="inlineStr">
        <is>
          <t>B - Self-issued, in-person</t>
        </is>
      </c>
      <c r="C7" s="59" t="inlineStr">
        <is>
          <t>California Credit Union</t>
        </is>
      </c>
      <c r="D7" s="60" t="inlineStr">
        <is>
          <t>3/4 (missing: apply online)</t>
        </is>
      </c>
      <c r="E7" s="61" t="inlineStr">
        <is>
          <t>Credit Union</t>
        </is>
      </c>
      <c r="F7" s="61" t="inlineStr">
        <is>
          <t>Yes</t>
        </is>
      </c>
      <c r="G7" s="60" t="inlineStr">
        <is>
          <t>SoCal - LA County</t>
        </is>
      </c>
      <c r="H7" s="62" t="inlineStr">
        <is>
          <t>CA-HQ (Southern California)</t>
        </is>
      </c>
      <c r="I7" s="63" t="inlineStr">
        <is>
          <t>Not published (member-set; est ~$5k-$25k)</t>
        </is>
      </c>
      <c r="J7" s="60" t="inlineStr">
        <is>
          <t>~$4.9B</t>
        </is>
      </c>
      <c r="K7" s="60" t="inlineStr">
        <is>
          <t>~$4B (shares)</t>
        </is>
      </c>
      <c r="L7" s="60" t="inlineStr">
        <is>
          <t>LA (Glendale/SF Valley) + San Diego; ~20+ branches</t>
        </is>
      </c>
      <c r="M7" s="60" t="n">
        <v>153</v>
      </c>
      <c r="N7" s="60" t="inlineStr">
        <is>
          <t>Glendale</t>
        </is>
      </c>
      <c r="O7" s="60" t="inlineStr">
        <is>
          <t>Los Angeles</t>
        </is>
      </c>
      <c r="P7" s="64" t="inlineStr">
        <is>
          <t>ccu.com</t>
        </is>
      </c>
      <c r="Q7" s="65" t="inlineStr">
        <is>
          <t>Yes</t>
        </is>
      </c>
      <c r="R7" s="64" t="inlineStr">
        <is>
          <t>ccu.com/bank/business/credit-cards/</t>
        </is>
      </c>
      <c r="S7" s="70" t="inlineStr">
        <is>
          <t>In-person</t>
        </is>
      </c>
      <c r="T7" s="60" t="inlineStr">
        <is>
          <t>Business Banking 800-293-6494 or SoCal branch (no online card app)</t>
        </is>
      </c>
      <c r="U7" s="65" t="inlineStr">
        <is>
          <t>Yes</t>
        </is>
      </c>
      <c r="V7" s="62" t="inlineStr">
        <is>
          <t>Self-issued (California CU / California Federal CU)</t>
        </is>
      </c>
      <c r="W7" s="57" t="inlineStr">
        <is>
          <t>Yes (revolving)</t>
        </is>
      </c>
      <c r="X7" s="67" t="inlineStr">
        <is>
          <t>No</t>
        </is>
      </c>
      <c r="Y7" s="60" t="inlineStr">
        <is>
          <t>Business Rewards Visa: 10.50-18% var (Prime+5-13%), $0 AF, 1% rewards; Platinum = lower-rate, no rewards</t>
        </is>
      </c>
      <c r="Z7" s="60" t="inlineStr">
        <is>
          <t>Owner credit investigated; bureau not named (UNKNOWN)</t>
        </is>
      </c>
      <c r="AA7" s="60" t="inlineStr">
        <is>
          <t>Unknown</t>
        </is>
      </c>
      <c r="AB7" s="60" t="inlineStr">
        <is>
          <t>Yes - negative reporting to credit bureaus (agreement)</t>
        </is>
      </c>
      <c r="AC7" s="60" t="inlineStr">
        <is>
          <t>None found</t>
        </is>
      </c>
      <c r="AD7" s="60" t="inlineStr">
        <is>
          <t>-</t>
        </is>
      </c>
      <c r="AE7" s="60" t="inlineStr">
        <is>
          <t>Membership req (CCU; ~680 score, 2yr+ biz typical)</t>
        </is>
      </c>
      <c r="AF7" s="60" t="inlineStr">
        <is>
          <t>Business lending separate</t>
        </is>
      </c>
      <c r="AG7" s="60" t="inlineStr">
        <is>
          <t>SELF-ISSUED (VERIFIED biz card; INFERRED self - own terms, no Elan). Open membership. No online card app.</t>
        </is>
      </c>
      <c r="AH7" s="64" t="inlineStr">
        <is>
          <t>ccu.com/bank/business/credit-cards/; ccu.com/join/</t>
        </is>
      </c>
    </row>
    <row r="8">
      <c r="A8" s="57" t="n">
        <v>7</v>
      </c>
      <c r="B8" s="59" t="inlineStr">
        <is>
          <t>B - Self-issued, in-person</t>
        </is>
      </c>
      <c r="C8" s="59" t="inlineStr">
        <is>
          <t>Nuvision Credit Union</t>
        </is>
      </c>
      <c r="D8" s="60" t="inlineStr">
        <is>
          <t>3/4 (missing: apply online)</t>
        </is>
      </c>
      <c r="E8" s="61" t="inlineStr">
        <is>
          <t>Credit Union</t>
        </is>
      </c>
      <c r="F8" s="61" t="inlineStr">
        <is>
          <t>Yes</t>
        </is>
      </c>
      <c r="G8" s="60" t="inlineStr">
        <is>
          <t>SoCal - Orange County</t>
        </is>
      </c>
      <c r="H8" s="62" t="inlineStr">
        <is>
          <t>CA-HQ (Southern California)</t>
        </is>
      </c>
      <c r="I8" s="63" t="inlineStr">
        <is>
          <t>$5k-$25k (est; self-issued community pattern)</t>
        </is>
      </c>
      <c r="J8" s="60" t="inlineStr">
        <is>
          <t>~$2.8B</t>
        </is>
      </c>
      <c r="K8" s="60" t="inlineStr">
        <is>
          <t>~$2.4B (shares)</t>
        </is>
      </c>
      <c r="L8" s="60" t="inlineStr">
        <is>
          <t>OC + LA/SD/Ventura/SB; ACC membership path</t>
        </is>
      </c>
      <c r="M8" s="60" t="n">
        <v>151</v>
      </c>
      <c r="N8" s="60" t="inlineStr">
        <is>
          <t>Huntington Beach</t>
        </is>
      </c>
      <c r="O8" s="60" t="inlineStr">
        <is>
          <t>Orange</t>
        </is>
      </c>
      <c r="P8" s="64" t="inlineStr">
        <is>
          <t>nuvisionfederal.com</t>
        </is>
      </c>
      <c r="Q8" s="65" t="inlineStr">
        <is>
          <t>Yes</t>
        </is>
      </c>
      <c r="R8" s="64" t="inlineStr">
        <is>
          <t>nuvisionfederal.com/business-banking/credit-cards</t>
        </is>
      </c>
      <c r="S8" s="70" t="inlineStr">
        <is>
          <t>In-person</t>
        </is>
      </c>
      <c r="T8" s="60" t="inlineStr">
        <is>
          <t>Download paper app -&gt; fax/branch; also LoansPQ online link; 800-444-6327</t>
        </is>
      </c>
      <c r="U8" s="65" t="inlineStr">
        <is>
          <t>Yes</t>
        </is>
      </c>
      <c r="V8" s="62" t="inlineStr">
        <is>
          <t>Self-issued (inferred; Nuvision-processed)</t>
        </is>
      </c>
      <c r="W8" s="57" t="inlineStr">
        <is>
          <t>Yes (revolving)</t>
        </is>
      </c>
      <c r="X8" s="67" t="inlineStr">
        <is>
          <t>No</t>
        </is>
      </c>
      <c r="Y8" s="60" t="inlineStr">
        <is>
          <t>Business Visa Rewards: ~13-18% var (tracks consumer tier), $0 AF, 1 pt/$1</t>
        </is>
      </c>
      <c r="Z8" s="60" t="inlineStr">
        <is>
          <t>Unknown</t>
        </is>
      </c>
      <c r="AA8" s="60" t="inlineStr">
        <is>
          <t>Unknown</t>
        </is>
      </c>
      <c r="AB8" s="60" t="inlineStr">
        <is>
          <t>Unknown</t>
        </is>
      </c>
      <c r="AC8" s="60" t="inlineStr">
        <is>
          <t>None found</t>
        </is>
      </c>
      <c r="AD8" s="60" t="inlineStr">
        <is>
          <t>-</t>
        </is>
      </c>
      <c r="AE8" s="60" t="inlineStr">
        <is>
          <t>Membership req (EASY: ACC or 5 SoCal counties)</t>
        </is>
      </c>
      <c r="AF8" s="60" t="inlineStr">
        <is>
          <t>Business lending separate</t>
        </is>
      </c>
      <c r="AG8" s="60" t="inlineStr">
        <is>
          <t>SELF-issued INFERRED (consumer agreements self-filed; biz issuer not stated). PAPER app only.</t>
        </is>
      </c>
      <c r="AH8" s="64" t="inlineStr">
        <is>
          <t>nuvisionfederal.com/business-banking/credit-cards</t>
        </is>
      </c>
    </row>
    <row r="9">
      <c r="A9" s="57" t="n">
        <v>8</v>
      </c>
      <c r="B9" s="59" t="inlineStr">
        <is>
          <t>B - Self-issued, in-person</t>
        </is>
      </c>
      <c r="C9" s="59" t="inlineStr">
        <is>
          <t>Altura Credit Union</t>
        </is>
      </c>
      <c r="D9" s="60" t="inlineStr">
        <is>
          <t>3/4 (missing: apply online)</t>
        </is>
      </c>
      <c r="E9" s="61" t="inlineStr">
        <is>
          <t>Credit Union</t>
        </is>
      </c>
      <c r="F9" s="61" t="inlineStr">
        <is>
          <t>Yes</t>
        </is>
      </c>
      <c r="G9" s="60" t="inlineStr">
        <is>
          <t>SoCal - Inland Empire</t>
        </is>
      </c>
      <c r="H9" s="62" t="inlineStr">
        <is>
          <t>CA-HQ (Southern California)</t>
        </is>
      </c>
      <c r="I9" s="63" t="inlineStr">
        <is>
          <t>Up to $25k (VERIFIED published)</t>
        </is>
      </c>
      <c r="J9" s="60" t="inlineStr">
        <is>
          <t>~$2.45B</t>
        </is>
      </c>
      <c r="K9" s="60" t="inlineStr">
        <is>
          <t>~$2.1B (shares)</t>
        </is>
      </c>
      <c r="L9" s="60" t="inlineStr">
        <is>
          <t>Inland Empire (Riverside County); ~20 branches</t>
        </is>
      </c>
      <c r="M9" s="60" t="n">
        <v>151</v>
      </c>
      <c r="N9" s="60" t="inlineStr">
        <is>
          <t>Riverside</t>
        </is>
      </c>
      <c r="O9" s="60" t="inlineStr">
        <is>
          <t>Riverside</t>
        </is>
      </c>
      <c r="P9" s="64" t="inlineStr">
        <is>
          <t>alturacu.com</t>
        </is>
      </c>
      <c r="Q9" s="65" t="inlineStr">
        <is>
          <t>Yes</t>
        </is>
      </c>
      <c r="R9" s="64" t="inlineStr">
        <is>
          <t>alturacu.com/business-credit-card/</t>
        </is>
      </c>
      <c r="S9" s="70" t="inlineStr">
        <is>
          <t>In-person</t>
        </is>
      </c>
      <c r="T9" s="60" t="inlineStr">
        <is>
          <t>Branch or 888-883-7228 (no online card app)</t>
        </is>
      </c>
      <c r="U9" s="65" t="inlineStr">
        <is>
          <t>Yes</t>
        </is>
      </c>
      <c r="V9" s="62" t="inlineStr">
        <is>
          <t>Self-issued (Altura CU)</t>
        </is>
      </c>
      <c r="W9" s="57" t="inlineStr">
        <is>
          <t>Yes (revolving)</t>
        </is>
      </c>
      <c r="X9" s="67" t="inlineStr">
        <is>
          <t>No</t>
        </is>
      </c>
      <c r="Y9" s="60" t="inlineStr">
        <is>
          <t>Business Platinum: variable WSJ Prime+margin (exact not published), $0 AF, NO BT/cash-advance fee, up to $25k</t>
        </is>
      </c>
      <c r="Z9" s="60" t="inlineStr">
        <is>
          <t>Not disclosed (UNKNOWN)</t>
        </is>
      </c>
      <c r="AA9" s="60" t="inlineStr">
        <is>
          <t>Unknown (Altura notes biz-card activity MAY hit owner personal credit)</t>
        </is>
      </c>
      <c r="AB9" s="60" t="inlineStr">
        <is>
          <t>May report to owner's personal credit, esp. missed payments (Altura FAQ)</t>
        </is>
      </c>
      <c r="AC9" s="60" t="inlineStr">
        <is>
          <t>None found</t>
        </is>
      </c>
      <c r="AD9" s="60" t="inlineStr">
        <is>
          <t>-</t>
        </is>
      </c>
      <c r="AE9" s="60" t="inlineStr">
        <is>
          <t>Membership req (OPEN: live/work/worship/school Riverside County; online app)</t>
        </is>
      </c>
      <c r="AF9" s="60" t="inlineStr">
        <is>
          <t>Business lending separate</t>
        </is>
      </c>
      <c r="AG9" s="60" t="inlineStr">
        <is>
          <t>SELF-ISSUED (VERIFIED biz card; INFERRED self - own agreement, no Elan). Inland Empire. No online card app.</t>
        </is>
      </c>
      <c r="AH9" s="64" t="inlineStr">
        <is>
          <t>alturacu.com/business-credit-card/</t>
        </is>
      </c>
    </row>
    <row r="10">
      <c r="A10" s="57" t="n">
        <v>9</v>
      </c>
      <c r="B10" s="59" t="inlineStr">
        <is>
          <t>B - Self-issued, in-person</t>
        </is>
      </c>
      <c r="C10" s="59" t="inlineStr">
        <is>
          <t>Sun Community Federal Credit Union</t>
        </is>
      </c>
      <c r="D10" s="60" t="inlineStr">
        <is>
          <t>3/4 (missing: apply online)</t>
        </is>
      </c>
      <c r="E10" s="61" t="inlineStr">
        <is>
          <t>Credit Union</t>
        </is>
      </c>
      <c r="F10" s="61" t="inlineStr">
        <is>
          <t>Yes</t>
        </is>
      </c>
      <c r="G10" s="60" t="inlineStr">
        <is>
          <t>SoCal - Coachella Valley</t>
        </is>
      </c>
      <c r="H10" s="62" t="inlineStr">
        <is>
          <t>CA-HQ (Southern California)</t>
        </is>
      </c>
      <c r="I10" s="63" t="inlineStr">
        <is>
          <t>$5k-$25k (est; self-issued community pattern)</t>
        </is>
      </c>
      <c r="J10" s="60" t="inlineStr">
        <is>
          <t>~$826M</t>
        </is>
      </c>
      <c r="K10" s="60" t="inlineStr">
        <is>
          <t>~$700M (shares)</t>
        </is>
      </c>
      <c r="L10" s="60" t="inlineStr">
        <is>
          <t>Imperial County HQ; Coachella Valley branches (Coachella, Indio, Palm Springs)</t>
        </is>
      </c>
      <c r="M10" s="60" t="n">
        <v>132</v>
      </c>
      <c r="N10" s="60" t="inlineStr">
        <is>
          <t>El Centro (branches Coachella/Indio/Palm Springs)</t>
        </is>
      </c>
      <c r="O10" s="60" t="inlineStr">
        <is>
          <t>Imperial / Riverside</t>
        </is>
      </c>
      <c r="P10" s="64" t="inlineStr">
        <is>
          <t>suncommunity.com</t>
        </is>
      </c>
      <c r="Q10" s="65" t="inlineStr">
        <is>
          <t>Yes</t>
        </is>
      </c>
      <c r="R10" s="64" t="inlineStr">
        <is>
          <t>suncommunity.com/products/business-credit-card</t>
        </is>
      </c>
      <c r="S10" s="70" t="inlineStr">
        <is>
          <t>In-person</t>
        </is>
      </c>
      <c r="T10" s="60" t="inlineStr">
        <is>
          <t>Commercial Lending 760-336-8663 or commerciallending@suncommunityfcu.org (no online app)</t>
        </is>
      </c>
      <c r="U10" s="65" t="inlineStr">
        <is>
          <t>Yes</t>
        </is>
      </c>
      <c r="V10" s="62" t="inlineStr">
        <is>
          <t>Self-issued (Sun Community FCU)</t>
        </is>
      </c>
      <c r="W10" s="57" t="inlineStr">
        <is>
          <t>Yes (revolving)</t>
        </is>
      </c>
      <c r="X10" s="67" t="inlineStr">
        <is>
          <t>No</t>
        </is>
      </c>
      <c r="Y10" s="60" t="inlineStr">
        <is>
          <t>Business Rewards Mastercard (DreamPoints 1 pt/$1), $0 AF; APR not published</t>
        </is>
      </c>
      <c r="Z10" s="60" t="inlineStr">
        <is>
          <t>Unknown</t>
        </is>
      </c>
      <c r="AA10" s="60" t="inlineStr">
        <is>
          <t>Unknown</t>
        </is>
      </c>
      <c r="AB10" s="60" t="inlineStr">
        <is>
          <t>Unknown</t>
        </is>
      </c>
      <c r="AC10" s="60" t="inlineStr">
        <is>
          <t>None found</t>
        </is>
      </c>
      <c r="AD10" s="60" t="inlineStr">
        <is>
          <t>-</t>
        </is>
      </c>
      <c r="AE10" s="60" t="inlineStr">
        <is>
          <t>Membership req (live/work/worship/volunteer Imperial County; Coachella Valley branches)</t>
        </is>
      </c>
      <c r="AF10" s="60" t="inlineStr">
        <is>
          <t>Business lending separate</t>
        </is>
      </c>
      <c r="AG10" s="60" t="inlineStr">
        <is>
          <t>SELF-ISSUED (VERIFIED biz card; INFERRED self - DreamPoints, no Elan). Coachella Valley presence (lowest geo priority).</t>
        </is>
      </c>
      <c r="AH10" s="64" t="inlineStr">
        <is>
          <t>suncommunity.com/products/business-credit-card</t>
        </is>
      </c>
    </row>
    <row r="11">
      <c r="A11" s="57" t="n"/>
      <c r="B11" s="58" t="inlineStr">
        <is>
          <t>A - Self-issued, apply online</t>
        </is>
      </c>
      <c r="C11" s="59" t="inlineStr">
        <is>
          <t>Chase (Ink Business)</t>
        </is>
      </c>
      <c r="D11" s="60" t="inlineStr">
        <is>
          <t>3/4 (missing: SoCal)</t>
        </is>
      </c>
      <c r="E11" s="69" t="inlineStr">
        <is>
          <t>Bank</t>
        </is>
      </c>
      <c r="F11" s="67" t="inlineStr">
        <is>
          <t>No</t>
        </is>
      </c>
      <c r="G11" s="60" t="inlineStr">
        <is>
          <t>Out-of-state (national)</t>
        </is>
      </c>
      <c r="H11" s="62" t="inlineStr">
        <is>
          <t>Has CA branches statewide; apply online (CA-accessible)</t>
        </is>
      </c>
      <c r="I11" s="63" t="inlineStr">
        <is>
          <t>$3k-$50k (myFICO: thin-file ~$4k to ~$36k; auto-CLI to ~$90k)</t>
        </is>
      </c>
      <c r="J11" s="60" t="inlineStr">
        <is>
          <t>~$3.9T</t>
        </is>
      </c>
      <c r="K11" s="60" t="inlineStr">
        <is>
          <t>~$2.4T</t>
        </is>
      </c>
      <c r="L11" s="60" t="inlineStr">
        <is>
          <t>National; largest U.S. bank</t>
        </is>
      </c>
      <c r="M11" s="60" t="n">
        <v>166</v>
      </c>
      <c r="N11" s="60" t="inlineStr">
        <is>
          <t>New York</t>
        </is>
      </c>
      <c r="O11" s="60" t="inlineStr">
        <is>
          <t>New York (NY)</t>
        </is>
      </c>
      <c r="P11" s="64" t="inlineStr">
        <is>
          <t>chase.com</t>
        </is>
      </c>
      <c r="Q11" s="65" t="inlineStr">
        <is>
          <t>Yes</t>
        </is>
      </c>
      <c r="R11" s="64" t="inlineStr">
        <is>
          <t>creditcards.chase.com/business-credit-cards</t>
        </is>
      </c>
      <c r="S11" s="65" t="inlineStr">
        <is>
          <t>Online</t>
        </is>
      </c>
      <c r="T11" s="60" t="inlineStr">
        <is>
          <t>creditcards.chase.com/business-credit-cards</t>
        </is>
      </c>
      <c r="U11" s="65" t="inlineStr">
        <is>
          <t>Yes</t>
        </is>
      </c>
      <c r="V11" s="62" t="inlineStr">
        <is>
          <t>Self-issued (JPMorgan Chase Bank, N.A.)</t>
        </is>
      </c>
      <c r="W11" s="57" t="inlineStr">
        <is>
          <t>Yes (revolving)</t>
        </is>
      </c>
      <c r="X11" s="66" t="inlineStr">
        <is>
          <t>Yes - 12 mo (Ink Unlimited/Cash)</t>
        </is>
      </c>
      <c r="Y11" s="60" t="inlineStr">
        <is>
          <t>Ink Unlimited/Cash: 0% 12mo, ~16.74-24.74% var, $0 AF, $750 bonus. Ink Preferred $95 (3x cats)</t>
        </is>
      </c>
      <c r="Z11" s="60" t="inlineStr">
        <is>
          <t>Experian most common (state-dependent)</t>
        </is>
      </c>
      <c r="AA11" s="60" t="inlineStr">
        <is>
          <t>D&amp;B, Experian Biz, Equifax Biz, SBFE</t>
        </is>
      </c>
      <c r="AB11" s="60" t="inlineStr">
        <is>
          <t>No (negative/default only)</t>
        </is>
      </c>
      <c r="AC11" s="60" t="inlineStr">
        <is>
          <t>SLs ~$3k-$50k; ~$36k at $500k rev/$200k income; thin-file ~$4k; auto-CLI to ~$90k over time</t>
        </is>
      </c>
      <c r="AD11" s="64" t="inlineStr">
        <is>
          <t>myFICO 6823313, 6589293; DoC</t>
        </is>
      </c>
      <c r="AE11" s="60" t="inlineStr">
        <is>
          <t>No</t>
        </is>
      </c>
      <c r="AF11" s="60" t="inlineStr">
        <is>
          <t>No - SBA/LOC/term underwritten</t>
        </is>
      </c>
      <c r="AG11" s="60" t="inlineStr">
        <is>
          <t>SELF-ISSUED VERIFIED. KEY RULE: 5/24 (denied if 5+ personal cards/24mo). Richest forum data.</t>
        </is>
      </c>
      <c r="AH11" s="64" t="inlineStr">
        <is>
          <t>creditcards.chase.com/business-credit-cards; thepointsguy.com 5/24</t>
        </is>
      </c>
    </row>
    <row r="12">
      <c r="A12" s="57" t="n"/>
      <c r="B12" s="58" t="inlineStr">
        <is>
          <t>A - Self-issued, apply online</t>
        </is>
      </c>
      <c r="C12" s="59" t="inlineStr">
        <is>
          <t>U.S. Bank</t>
        </is>
      </c>
      <c r="D12" s="60" t="inlineStr">
        <is>
          <t>3/4 (missing: SoCal)</t>
        </is>
      </c>
      <c r="E12" s="69" t="inlineStr">
        <is>
          <t>Bank</t>
        </is>
      </c>
      <c r="F12" s="67" t="inlineStr">
        <is>
          <t>No</t>
        </is>
      </c>
      <c r="G12" s="60" t="inlineStr">
        <is>
          <t>Out-of-state (national)</t>
        </is>
      </c>
      <c r="H12" s="62" t="inlineStr">
        <is>
          <t>Has CA branches statewide; apply online (CA-accessible)</t>
        </is>
      </c>
      <c r="I12" s="63" t="inlineStr">
        <is>
          <t>$10k-$30k (myFICO datapoints)</t>
        </is>
      </c>
      <c r="J12" s="60" t="inlineStr">
        <is>
          <t>~$680B</t>
        </is>
      </c>
      <c r="K12" s="60" t="inlineStr">
        <is>
          <t>~$510B</t>
        </is>
      </c>
      <c r="L12" s="60" t="inlineStr">
        <is>
          <t>National; ~2,000 branches; large CA presence</t>
        </is>
      </c>
      <c r="M12" s="60" t="n">
        <v>166</v>
      </c>
      <c r="N12" s="60" t="inlineStr">
        <is>
          <t>Minneapolis</t>
        </is>
      </c>
      <c r="O12" s="60" t="inlineStr">
        <is>
          <t>Hennepin (MN)</t>
        </is>
      </c>
      <c r="P12" s="64" t="inlineStr">
        <is>
          <t>usbank.com</t>
        </is>
      </c>
      <c r="Q12" s="65" t="inlineStr">
        <is>
          <t>Yes</t>
        </is>
      </c>
      <c r="R12" s="64" t="inlineStr">
        <is>
          <t>usbank.com/business-banking/business-credit-cards</t>
        </is>
      </c>
      <c r="S12" s="65" t="inlineStr">
        <is>
          <t>Online</t>
        </is>
      </c>
      <c r="T12" s="60" t="inlineStr">
        <is>
          <t>creditcardapply.usbank.com/.../business-triplecash-rewards</t>
        </is>
      </c>
      <c r="U12" s="65" t="inlineStr">
        <is>
          <t>Yes</t>
        </is>
      </c>
      <c r="V12" s="62" t="inlineStr">
        <is>
          <t>Self-issued (U.S. Bank N.A., own-brand)</t>
        </is>
      </c>
      <c r="W12" s="57" t="inlineStr">
        <is>
          <t>Yes (revolving)</t>
        </is>
      </c>
      <c r="X12" s="66" t="inlineStr">
        <is>
          <t>Yes - 15 billing cycles (Triple Cash)</t>
        </is>
      </c>
      <c r="Y12" s="60" t="inlineStr">
        <is>
          <t>Business Triple Cash: 0% 15 cycles, ~17.24-26.24% var, $0 AF, 3% cats, $750 bonus. Business Leverage $95 (wvd yr1)</t>
        </is>
      </c>
      <c r="Z12" s="60" t="inlineStr">
        <is>
          <t>TransUnion most common (state-dependent)</t>
        </is>
      </c>
      <c r="AA12" s="60" t="inlineStr">
        <is>
          <t>D&amp;B + SBFE (VERIFIED, U.S. Bank KB)</t>
        </is>
      </c>
      <c r="AB12" s="60" t="inlineStr">
        <is>
          <t>No (good standing)</t>
        </is>
      </c>
      <c r="AC12" s="60" t="inlineStr">
        <is>
          <t>Triple Cash: ~$10k-$30k start; no 5/24; soft CLIs. $25k at ~750 FICO datapoint</t>
        </is>
      </c>
      <c r="AD12" s="64" t="inlineStr">
        <is>
          <t>myFICO 6845780, 6792967, 6524750</t>
        </is>
      </c>
      <c r="AE12" s="60" t="inlineStr">
        <is>
          <t>No</t>
        </is>
      </c>
      <c r="AF12" s="60" t="inlineStr">
        <is>
          <t>No - SBA/LOC/term underwritten</t>
        </is>
      </c>
      <c r="AG12" s="60" t="inlineStr">
        <is>
          <t>SELF-ISSUED VERIFIED (own-brand; 'creditor is U.S. Bank N.A.'). Note: U.S. Bank OWNS Elan but own-brand is self.</t>
        </is>
      </c>
      <c r="AH12" s="64" t="inlineStr">
        <is>
          <t>usbank.com/.../business-triple-cash; usbank.com KB0096233 (biz bureaus)</t>
        </is>
      </c>
    </row>
    <row r="13">
      <c r="A13" s="57" t="n"/>
      <c r="B13" s="58" t="inlineStr">
        <is>
          <t>A - Self-issued, apply online</t>
        </is>
      </c>
      <c r="C13" s="59" t="inlineStr">
        <is>
          <t>Capital One (Spark/Venture Business)</t>
        </is>
      </c>
      <c r="D13" s="60" t="inlineStr">
        <is>
          <t>3/4 (missing: SoCal)</t>
        </is>
      </c>
      <c r="E13" s="69" t="inlineStr">
        <is>
          <t>Bank</t>
        </is>
      </c>
      <c r="F13" s="67" t="inlineStr">
        <is>
          <t>No</t>
        </is>
      </c>
      <c r="G13" s="60" t="inlineStr">
        <is>
          <t>Out-of-state (national)</t>
        </is>
      </c>
      <c r="H13" s="62" t="inlineStr">
        <is>
          <t>Online nationwide - no branch needed (CA-accessible)</t>
        </is>
      </c>
      <c r="I13" s="63" t="inlineStr">
        <is>
          <t>Cash Plus: no preset limit; Cash Select ~$5k+ (myFICO)</t>
        </is>
      </c>
      <c r="J13" s="60" t="inlineStr">
        <is>
          <t>~$480B</t>
        </is>
      </c>
      <c r="K13" s="60" t="inlineStr">
        <is>
          <t>~$360B</t>
        </is>
      </c>
      <c r="L13" s="60" t="inlineStr">
        <is>
          <t>National; bank HQ Richmond VA</t>
        </is>
      </c>
      <c r="M13" s="60" t="n">
        <v>166</v>
      </c>
      <c r="N13" s="60" t="inlineStr">
        <is>
          <t>McLean</t>
        </is>
      </c>
      <c r="O13" s="60" t="inlineStr">
        <is>
          <t>Fairfax (VA)</t>
        </is>
      </c>
      <c r="P13" s="64" t="inlineStr">
        <is>
          <t>capitalone.com</t>
        </is>
      </c>
      <c r="Q13" s="65" t="inlineStr">
        <is>
          <t>Yes</t>
        </is>
      </c>
      <c r="R13" s="64" t="inlineStr">
        <is>
          <t>capitalone.com/small-business/credit-cards/</t>
        </is>
      </c>
      <c r="S13" s="65" t="inlineStr">
        <is>
          <t>Online</t>
        </is>
      </c>
      <c r="T13" s="60" t="inlineStr">
        <is>
          <t>capitalone.com/.../preapprove (soft pre-qual)</t>
        </is>
      </c>
      <c r="U13" s="65" t="inlineStr">
        <is>
          <t>Yes</t>
        </is>
      </c>
      <c r="V13" s="62" t="inlineStr">
        <is>
          <t>Self-issued (Capital One, N.A.)</t>
        </is>
      </c>
      <c r="W13" s="57" t="inlineStr">
        <is>
          <t>Yes (revolving)</t>
        </is>
      </c>
      <c r="X13" s="66" t="inlineStr">
        <is>
          <t>Yes - 9 mo (Spark Cash Select)</t>
        </is>
      </c>
      <c r="Y13" s="60" t="inlineStr">
        <is>
          <t>Spark Cash Select: 0% 9mo, 17.49-23.49%, $0 AF, 1.5%. Spark Cash Plus $150 (charge, NPSL, 2%). Venture Business $95</t>
        </is>
      </c>
      <c r="Z13" s="60" t="inlineStr">
        <is>
          <t>ALL THREE (EQ+EX+TU) - triple hard pull</t>
        </is>
      </c>
      <c r="AA13" s="60" t="inlineStr">
        <is>
          <t>D&amp;B, Experian Biz, Equifax Biz, SBFE</t>
        </is>
      </c>
      <c r="AB13" s="60" t="inlineStr">
        <is>
          <t>YES for most Spark (NOT Cash Plus/Venture X)</t>
        </is>
      </c>
      <c r="AC13" s="60" t="inlineStr">
        <is>
          <t>Spark Cash Plus NPSL warms up (one ran ~$89k); revolving SLs ~$5k+; triple pull; PG required; FICO ~720+</t>
        </is>
      </c>
      <c r="AD13" s="64" t="inlineStr">
        <is>
          <t>myFICO 6822160, 6555884</t>
        </is>
      </c>
      <c r="AE13" s="60" t="inlineStr">
        <is>
          <t>No</t>
        </is>
      </c>
      <c r="AF13" s="60" t="inlineStr">
        <is>
          <t>No - underwritten</t>
        </is>
      </c>
      <c r="AG13" s="60" t="inlineStr">
        <is>
          <t>SELF-ISSUED VERIFIED. TRIPLE hard pull. Most Spark cards REPORT to personal bureaus (key differentiator).</t>
        </is>
      </c>
      <c r="AH13" s="64" t="inlineStr">
        <is>
          <t>capitalone.com/small-business/credit-cards; doctorofcredit.com (Cap One pull)</t>
        </is>
      </c>
    </row>
    <row r="14">
      <c r="A14" s="57" t="n"/>
      <c r="B14" s="58" t="inlineStr">
        <is>
          <t>A - Self-issued, apply online</t>
        </is>
      </c>
      <c r="C14" s="59" t="inlineStr">
        <is>
          <t>First Tech FCU</t>
        </is>
      </c>
      <c r="D14" s="60" t="inlineStr">
        <is>
          <t>3/4 (missing: SoCal)</t>
        </is>
      </c>
      <c r="E14" s="61" t="inlineStr">
        <is>
          <t>Credit Union</t>
        </is>
      </c>
      <c r="F14" s="67" t="inlineStr">
        <is>
          <t>No</t>
        </is>
      </c>
      <c r="G14" s="60" t="inlineStr">
        <is>
          <t>Other California</t>
        </is>
      </c>
      <c r="H14" s="62" t="inlineStr">
        <is>
          <t>CA-HQ (NorCal/Central CA)</t>
        </is>
      </c>
      <c r="I14" s="63" t="inlineStr">
        <is>
          <t>$10k-$25k (myFICO: $25k card on one application)</t>
        </is>
      </c>
      <c r="J14" s="60" t="inlineStr">
        <is>
          <t>~$28.7B</t>
        </is>
      </c>
      <c r="K14" s="60" t="inlineStr">
        <is>
          <t>~$24B</t>
        </is>
      </c>
      <c r="L14" s="60" t="inlineStr">
        <is>
          <t>Bay Area + OR; post-DCU merger adds MA/New England; 50+ branches, 8 states</t>
        </is>
      </c>
      <c r="M14" s="60" t="n">
        <v>161</v>
      </c>
      <c r="N14" s="60" t="inlineStr">
        <is>
          <t>San Jose</t>
        </is>
      </c>
      <c r="O14" s="60" t="inlineStr">
        <is>
          <t>Santa Clara</t>
        </is>
      </c>
      <c r="P14" s="64" t="inlineStr">
        <is>
          <t>firsttechfed.com</t>
        </is>
      </c>
      <c r="Q14" s="65" t="inlineStr">
        <is>
          <t>Yes</t>
        </is>
      </c>
      <c r="R14" s="64" t="inlineStr">
        <is>
          <t>firsttechfed.com/bank/business</t>
        </is>
      </c>
      <c r="S14" s="65" t="inlineStr">
        <is>
          <t>Online</t>
        </is>
      </c>
      <c r="T14" s="60" t="inlineStr">
        <is>
          <t>firsttechfed.com/application</t>
        </is>
      </c>
      <c r="U14" s="65" t="inlineStr">
        <is>
          <t>Yes</t>
        </is>
      </c>
      <c r="V14" s="62" t="inlineStr">
        <is>
          <t>Self-issued (First Tech FCU)</t>
        </is>
      </c>
      <c r="W14" s="57" t="inlineStr">
        <is>
          <t>Yes (revolving)</t>
        </is>
      </c>
      <c r="X14" s="67" t="inlineStr">
        <is>
          <t>No long biz 0% (not Elan partner)</t>
        </is>
      </c>
      <c r="Y14" s="60" t="inlineStr">
        <is>
          <t>Business Credit Mastercard (member-gated); consumer APR 10.49-18% (CA 18% cap); no annual fee typical</t>
        </is>
      </c>
      <c r="Z14" s="60" t="inlineStr">
        <is>
          <t>Experian primary (anecdotal TU/EQ)</t>
        </is>
      </c>
      <c r="AA14" s="60" t="inlineStr">
        <is>
          <t>D&amp;B, Experian Biz, Equifax Biz (SBFE unconfirmed)</t>
        </is>
      </c>
      <c r="AB14" s="60" t="inlineStr">
        <is>
          <t>Verify</t>
        </is>
      </c>
      <c r="AC14" s="60" t="inlineStr">
        <is>
          <t>Double-approval datapoint: $25k card + $10k PLOC on ONE app. Sensitive to high existing available credit</t>
        </is>
      </c>
      <c r="AD14" s="64" t="inlineStr">
        <is>
          <t>myFICO 6709004</t>
        </is>
      </c>
      <c r="AE14" s="60" t="inlineStr">
        <is>
          <t>Membership req (EASY: join via Financial Fitness Assn ~$8/yr, they pay it)</t>
        </is>
      </c>
      <c r="AF14" s="60" t="inlineStr">
        <is>
          <t>Commercial + CRE lending (full-doc). No unsecured no-doc biz LOC</t>
        </is>
      </c>
      <c r="AG14" s="60" t="inlineStr">
        <is>
          <t>SELF-ISSUED (VERIFIED-moderate). Easiest membership. Only top-CU with a real biz card.</t>
        </is>
      </c>
      <c r="AH14" s="64" t="inlineStr">
        <is>
          <t>firsttechfed.com/merger, /bank/business; myFICO 6709004</t>
        </is>
      </c>
    </row>
    <row r="15">
      <c r="A15" s="57" t="n"/>
      <c r="B15" s="58" t="inlineStr">
        <is>
          <t>A - Self-issued, apply online</t>
        </is>
      </c>
      <c r="C15" s="59" t="inlineStr">
        <is>
          <t>Truist</t>
        </is>
      </c>
      <c r="D15" s="60" t="inlineStr">
        <is>
          <t>3/4 (missing: SoCal)</t>
        </is>
      </c>
      <c r="E15" s="69" t="inlineStr">
        <is>
          <t>Bank</t>
        </is>
      </c>
      <c r="F15" s="67" t="inlineStr">
        <is>
          <t>No</t>
        </is>
      </c>
      <c r="G15" s="60" t="inlineStr">
        <is>
          <t>Out-of-state (national)</t>
        </is>
      </c>
      <c r="H15" s="82" t="inlineStr">
        <is>
          <t>NO CA branches - local relationship required (NOT CA-accessible)</t>
        </is>
      </c>
      <c r="I15" s="63" t="inlineStr">
        <is>
          <t>~$10k start (myFICO) - but no CA branches</t>
        </is>
      </c>
      <c r="J15" s="60" t="inlineStr">
        <is>
          <t>~$540B</t>
        </is>
      </c>
      <c r="K15" s="60" t="inlineStr">
        <is>
          <t>~$400B</t>
        </is>
      </c>
      <c r="L15" s="60" t="inlineStr">
        <is>
          <t>National (Southeast/Mid-Atlantic heavy); ~1,900 branches</t>
        </is>
      </c>
      <c r="M15" s="60" t="n">
        <v>159</v>
      </c>
      <c r="N15" s="60" t="inlineStr">
        <is>
          <t>Charlotte</t>
        </is>
      </c>
      <c r="O15" s="60" t="inlineStr">
        <is>
          <t>Mecklenburg (NC)</t>
        </is>
      </c>
      <c r="P15" s="64" t="inlineStr">
        <is>
          <t>truist.com</t>
        </is>
      </c>
      <c r="Q15" s="65" t="inlineStr">
        <is>
          <t>Yes</t>
        </is>
      </c>
      <c r="R15" s="64" t="inlineStr">
        <is>
          <t>truist.com/small-business/credit-cards</t>
        </is>
      </c>
      <c r="S15" s="65" t="inlineStr">
        <is>
          <t>Online</t>
        </is>
      </c>
      <c r="T15" s="60" t="inlineStr">
        <is>
          <t>businesscreditcard.digitalcommerce.truist.com/product/SBC</t>
        </is>
      </c>
      <c r="U15" s="65" t="inlineStr">
        <is>
          <t>Yes</t>
        </is>
      </c>
      <c r="V15" s="62" t="inlineStr">
        <is>
          <t>Self-issued (Truist Bank)</t>
        </is>
      </c>
      <c r="W15" s="57" t="inlineStr">
        <is>
          <t>Yes (revolving)</t>
        </is>
      </c>
      <c r="X15" s="66" t="inlineStr">
        <is>
          <t>Yes - 12 billing cycles (Business Card)</t>
        </is>
      </c>
      <c r="Y15" s="60" t="inlineStr">
        <is>
          <t>Business Card: 0% 12 cycles, go-to 13.74-22.74%, $0 AF. Cash Rewards: 0% 9 cycles, 2% cats. Premium Visa Infinite $299 (wvd)</t>
        </is>
      </c>
      <c r="Z15" s="60" t="inlineStr">
        <is>
          <t>Equifax (forum-strong)</t>
        </is>
      </c>
      <c r="AA15" s="60" t="inlineStr">
        <is>
          <t>Unknown (likely SBFE)</t>
        </is>
      </c>
      <c r="AB15" s="60" t="inlineStr">
        <is>
          <t>No</t>
        </is>
      </c>
      <c r="AC15" s="60" t="inlineStr">
        <is>
          <t>EQ pulls at ~754; ~$10k starting limits; users obtain a 2nd Truist biz card</t>
        </is>
      </c>
      <c r="AD15" s="64" t="inlineStr">
        <is>
          <t>myFICO 6693085, 6693086, 6741527</t>
        </is>
      </c>
      <c r="AE15" s="60" t="inlineStr">
        <is>
          <t>No</t>
        </is>
      </c>
      <c r="AF15" s="60" t="inlineStr">
        <is>
          <t>No - SBA/commercial underwritten</t>
        </is>
      </c>
      <c r="AG15" s="60" t="inlineStr">
        <is>
          <t>SELF-ISSUED VERIFIED ('issued by Truist'). 12-cycle 0%. EQ pull.</t>
        </is>
      </c>
      <c r="AH15" s="64" t="inlineStr">
        <is>
          <t>truist.com/.../business-card/disclosures; digitalcommerce.truist.com</t>
        </is>
      </c>
    </row>
    <row r="16">
      <c r="A16" s="57" t="n"/>
      <c r="B16" s="58" t="inlineStr">
        <is>
          <t>A - Self-issued, apply online</t>
        </is>
      </c>
      <c r="C16" s="59" t="inlineStr">
        <is>
          <t>American Express (Business)</t>
        </is>
      </c>
      <c r="D16" s="60" t="inlineStr">
        <is>
          <t>3/4 (missing: SoCal)</t>
        </is>
      </c>
      <c r="E16" s="83" t="inlineStr">
        <is>
          <t>Card issuer</t>
        </is>
      </c>
      <c r="F16" s="67" t="inlineStr">
        <is>
          <t>No</t>
        </is>
      </c>
      <c r="G16" s="60" t="inlineStr">
        <is>
          <t>Out-of-state (national)</t>
        </is>
      </c>
      <c r="H16" s="62" t="inlineStr">
        <is>
          <t>Online nationwide - no branch/local presence needed (CA-accessible)</t>
        </is>
      </c>
      <c r="I16" s="63" t="inlineStr">
        <is>
          <t>Blue: $2k-$20k (common ~$10k, myFICO); Gold/Platinum: no preset limit</t>
        </is>
      </c>
      <c r="J16" s="60" t="inlineStr">
        <is>
          <t>~$270B</t>
        </is>
      </c>
      <c r="K16" s="60" t="inlineStr">
        <is>
          <t>~$140B</t>
        </is>
      </c>
      <c r="L16" s="60" t="inlineStr">
        <is>
          <t>National card issuer</t>
        </is>
      </c>
      <c r="M16" s="60" t="n">
        <v>159</v>
      </c>
      <c r="N16" s="60" t="inlineStr">
        <is>
          <t>New York</t>
        </is>
      </c>
      <c r="O16" s="60" t="inlineStr">
        <is>
          <t>New York (NY)</t>
        </is>
      </c>
      <c r="P16" s="64" t="inlineStr">
        <is>
          <t>americanexpress.com</t>
        </is>
      </c>
      <c r="Q16" s="65" t="inlineStr">
        <is>
          <t>Yes</t>
        </is>
      </c>
      <c r="R16" s="64" t="inlineStr">
        <is>
          <t>americanexpress.com/us/credit-cards/business/business-credit-cards/</t>
        </is>
      </c>
      <c r="S16" s="65" t="inlineStr">
        <is>
          <t>Online</t>
        </is>
      </c>
      <c r="T16" s="60" t="inlineStr">
        <is>
          <t>americanexpress.com/.../business-credit-cards/</t>
        </is>
      </c>
      <c r="U16" s="65" t="inlineStr">
        <is>
          <t>Yes</t>
        </is>
      </c>
      <c r="V16" s="62" t="inlineStr">
        <is>
          <t>Self-issued (American Express)</t>
        </is>
      </c>
      <c r="W16" s="57" t="inlineStr">
        <is>
          <t>Yes (revolving)</t>
        </is>
      </c>
      <c r="X16" s="66" t="inlineStr">
        <is>
          <t>Yes - 12 mo (Blue Business Cash/Plus)</t>
        </is>
      </c>
      <c r="Y16" s="60" t="inlineStr">
        <is>
          <t>Blue Business Cash: 0% 12mo, 18.49-26.49%, $0 AF, 2% to $50k/yr. Business Gold $375 / Platinum $895 (charge)</t>
        </is>
      </c>
      <c r="Z16" s="60" t="inlineStr">
        <is>
          <t>Experian (~90%)</t>
        </is>
      </c>
      <c r="AA16" s="60" t="inlineStr">
        <is>
          <t>SBFE; D&amp;B negative-only</t>
        </is>
      </c>
      <c r="AB16" s="60" t="inlineStr">
        <is>
          <t>No (negative/default only)</t>
        </is>
      </c>
      <c r="AC16" s="60" t="inlineStr">
        <is>
          <t>Blue SLs ~$2k-$20k (common $9-12k); existing members often SOFT-pull approved; accepts EIN/ITIN</t>
        </is>
      </c>
      <c r="AD16" s="64" t="inlineStr">
        <is>
          <t>myFICO 5497108, 6587048; DoC</t>
        </is>
      </c>
      <c r="AE16" s="60" t="inlineStr">
        <is>
          <t>No</t>
        </is>
      </c>
      <c r="AF16" s="60" t="inlineStr">
        <is>
          <t>Charge cards (Gold/Platinum) = NPSL pay-in-full</t>
        </is>
      </c>
      <c r="AG16" s="60" t="inlineStr">
        <is>
          <t>SELF-ISSUED VERIFIED. RULES: 1-in-5-days, 2-in-90-days. Soft-pull for existing members.</t>
        </is>
      </c>
      <c r="AH16" s="64" t="inlineStr">
        <is>
          <t>americanexpress.com/.../business; doctorofcredit.com (Amex pull)</t>
        </is>
      </c>
    </row>
    <row r="17">
      <c r="A17" s="57" t="n"/>
      <c r="B17" s="58" t="inlineStr">
        <is>
          <t>A - Self-issued, apply online</t>
        </is>
      </c>
      <c r="C17" s="59" t="inlineStr">
        <is>
          <t>Citizens (Citizens Bank, N.A.)</t>
        </is>
      </c>
      <c r="D17" s="60" t="inlineStr">
        <is>
          <t>3/4 (missing: SoCal)</t>
        </is>
      </c>
      <c r="E17" s="69" t="inlineStr">
        <is>
          <t>Bank</t>
        </is>
      </c>
      <c r="F17" s="67" t="inlineStr">
        <is>
          <t>No</t>
        </is>
      </c>
      <c r="G17" s="60" t="inlineStr">
        <is>
          <t>Out-of-state (national)</t>
        </is>
      </c>
      <c r="H17" s="82" t="inlineStr">
        <is>
          <t>NO CA branches - Northeast only (NOT CA-accessible)</t>
        </is>
      </c>
      <c r="I17" s="63" t="inlineStr">
        <is>
          <t>Up to $25k (myFICO Everyday Points)</t>
        </is>
      </c>
      <c r="J17" s="60" t="inlineStr">
        <is>
          <t>~$220B</t>
        </is>
      </c>
      <c r="K17" s="60" t="inlineStr">
        <is>
          <t>~$175B</t>
        </is>
      </c>
      <c r="L17" s="60" t="inlineStr">
        <is>
          <t>Northeast/Mid-Atlantic (CT DE FL MD MA MI NH NJ NY OH PA RI VT VA DC)</t>
        </is>
      </c>
      <c r="M17" s="60" t="n">
        <v>159</v>
      </c>
      <c r="N17" s="60" t="inlineStr">
        <is>
          <t>Providence</t>
        </is>
      </c>
      <c r="O17" s="60" t="inlineStr">
        <is>
          <t>Providence (RI)</t>
        </is>
      </c>
      <c r="P17" s="64" t="inlineStr">
        <is>
          <t>citizensbank.com</t>
        </is>
      </c>
      <c r="Q17" s="65" t="inlineStr">
        <is>
          <t>Yes</t>
        </is>
      </c>
      <c r="R17" s="64" t="inlineStr">
        <is>
          <t>citizensbank.com/small-business/business-credit-cards/overview.aspx</t>
        </is>
      </c>
      <c r="S17" s="65" t="inlineStr">
        <is>
          <t>Online</t>
        </is>
      </c>
      <c r="T17" s="60" t="inlineStr">
        <is>
          <t>citizensbank.com (online or 888-333-5145)</t>
        </is>
      </c>
      <c r="U17" s="65" t="inlineStr">
        <is>
          <t>Yes</t>
        </is>
      </c>
      <c r="V17" s="62" t="inlineStr">
        <is>
          <t>Self-issued (Citizens Bank, N.A.)</t>
        </is>
      </c>
      <c r="W17" s="57" t="inlineStr">
        <is>
          <t>Yes (revolving)</t>
        </is>
      </c>
      <c r="X17" s="66" t="inlineStr">
        <is>
          <t>Yes - 12 months (Business Platinum)</t>
        </is>
      </c>
      <c r="Y17" s="60" t="inlineStr">
        <is>
          <t>Everyday Points Business MC; Business Platinum MC (0% 12mo, $0 AF). APR per Pricing Addendum</t>
        </is>
      </c>
      <c r="Z17" s="60" t="inlineStr">
        <is>
          <t>Experian (shifted from soft-pull EQ ~2023)</t>
        </is>
      </c>
      <c r="AA17" s="60" t="inlineStr">
        <is>
          <t>Business Experian + D&amp;B (inferred); asks ~3mo bank statements</t>
        </is>
      </c>
      <c r="AB17" s="60" t="inlineStr">
        <is>
          <t>No</t>
        </is>
      </c>
      <c r="AC17" s="60" t="inlineStr">
        <is>
          <t>Everyday Points approvals up to $25k; soft-pull era ended 2023 (now hard EX)</t>
        </is>
      </c>
      <c r="AD17" s="64" t="inlineStr">
        <is>
          <t>myFICO 6605401, 6666893, 6515847</t>
        </is>
      </c>
      <c r="AE17" s="60" t="inlineStr">
        <is>
          <t>No</t>
        </is>
      </c>
      <c r="AF17" s="60" t="inlineStr">
        <is>
          <t>No - SBA/commercial underwritten</t>
        </is>
      </c>
      <c r="AG17" s="60" t="inlineStr">
        <is>
          <t>SELF-ISSUED VERIFIED ('issued by Citizens Bank, N.A.'). Now hard-pull Experian.</t>
        </is>
      </c>
      <c r="AH17" s="64" t="inlineStr">
        <is>
          <t>citizensbank.com/small-business/business-credit-cards</t>
        </is>
      </c>
    </row>
    <row r="18">
      <c r="A18" s="57" t="n"/>
      <c r="B18" s="58" t="inlineStr">
        <is>
          <t>A - Self-issued, apply online</t>
        </is>
      </c>
      <c r="C18" s="59" t="inlineStr">
        <is>
          <t>Bank of Stockton</t>
        </is>
      </c>
      <c r="D18" s="60" t="inlineStr">
        <is>
          <t>3/4 (missing: SoCal)</t>
        </is>
      </c>
      <c r="E18" s="69" t="inlineStr">
        <is>
          <t>Bank</t>
        </is>
      </c>
      <c r="F18" s="67" t="inlineStr">
        <is>
          <t>No</t>
        </is>
      </c>
      <c r="G18" s="60" t="inlineStr">
        <is>
          <t>Other California</t>
        </is>
      </c>
      <c r="H18" s="62" t="inlineStr">
        <is>
          <t>CA-HQ (NorCal/Central CA)</t>
        </is>
      </c>
      <c r="I18" s="63" t="inlineStr">
        <is>
          <t>$5k-$25k (est; self-issued community pattern)</t>
        </is>
      </c>
      <c r="J18" s="60" t="inlineStr">
        <is>
          <t>$4.74B</t>
        </is>
      </c>
      <c r="K18" s="60" t="inlineStr">
        <is>
          <t>$3.70B</t>
        </is>
      </c>
      <c r="L18" s="60" t="inlineStr">
        <is>
          <t>Central Valley; founded 1867; ~20 branches</t>
        </is>
      </c>
      <c r="M18" s="60" t="n">
        <v>156</v>
      </c>
      <c r="N18" s="60" t="inlineStr">
        <is>
          <t>Stockton</t>
        </is>
      </c>
      <c r="O18" s="60" t="inlineStr">
        <is>
          <t>San Joaquin</t>
        </is>
      </c>
      <c r="P18" s="64" t="inlineStr">
        <is>
          <t>bankofstockton.com</t>
        </is>
      </c>
      <c r="Q18" s="65" t="inlineStr">
        <is>
          <t>Yes</t>
        </is>
      </c>
      <c r="R18" s="64" t="inlineStr">
        <is>
          <t>bankofstockton.com/business_credit_cards</t>
        </is>
      </c>
      <c r="S18" s="65" t="inlineStr">
        <is>
          <t>Online</t>
        </is>
      </c>
      <c r="T18" s="60" t="inlineStr">
        <is>
          <t>bankofstockton.com/business_credit_cards (Apply Online)</t>
        </is>
      </c>
      <c r="U18" s="65" t="inlineStr">
        <is>
          <t>Yes</t>
        </is>
      </c>
      <c r="V18" s="62" t="inlineStr">
        <is>
          <t>Self-issued (Bank of Stockton)</t>
        </is>
      </c>
      <c r="W18" s="57" t="inlineStr">
        <is>
          <t>Yes (revolving)</t>
        </is>
      </c>
      <c r="X18" s="67" t="inlineStr">
        <is>
          <t>No</t>
        </is>
      </c>
      <c r="Y18" s="60" t="inlineStr">
        <is>
          <t>Visa Business/Classic, MC Standard/Gold: 16.00% fixed APR, $0 AF, cash adv 3%, FX 1%</t>
        </is>
      </c>
      <c r="Z18" s="60" t="inlineStr">
        <is>
          <t>One of Experian/Equifax/TransUnion/Innovis (per agreement)</t>
        </is>
      </c>
      <c r="AA18" s="60" t="inlineStr">
        <is>
          <t>Unknown</t>
        </is>
      </c>
      <c r="AB18" s="60" t="inlineStr">
        <is>
          <t>Unknown</t>
        </is>
      </c>
      <c r="AC18" s="60" t="inlineStr">
        <is>
          <t>None found</t>
        </is>
      </c>
      <c r="AD18" s="60" t="inlineStr">
        <is>
          <t>-</t>
        </is>
      </c>
      <c r="AE18" s="60" t="inlineStr">
        <is>
          <t>No</t>
        </is>
      </c>
      <c r="AF18" s="60" t="inlineStr">
        <is>
          <t>No - commercial underwritten</t>
        </is>
      </c>
      <c r="AG18" s="60" t="inlineStr">
        <is>
          <t>SELF-ISSUED VERIFIED (own agreement, creditor = Bank of Stockton). ONLINE apply. Fiserv servicing, but BoS is creditor.</t>
        </is>
      </c>
      <c r="AH18" s="64" t="inlineStr">
        <is>
          <t>bankofstockton.com/credit_card_agreement; /business_credit_cards</t>
        </is>
      </c>
    </row>
    <row r="19">
      <c r="A19" s="57" t="n"/>
      <c r="B19" s="58" t="inlineStr">
        <is>
          <t>A - Self-issued, apply online</t>
        </is>
      </c>
      <c r="C19" s="60" t="inlineStr">
        <is>
          <t>PNC Bank</t>
        </is>
      </c>
      <c r="D19" s="60" t="inlineStr">
        <is>
          <t>2/4 (missing: apply online, SoCal)</t>
        </is>
      </c>
      <c r="E19" s="69" t="inlineStr">
        <is>
          <t>Bank</t>
        </is>
      </c>
      <c r="F19" s="67" t="inlineStr">
        <is>
          <t>No</t>
        </is>
      </c>
      <c r="G19" s="60" t="inlineStr">
        <is>
          <t>Out-of-state (national)</t>
        </is>
      </c>
      <c r="H19" s="82" t="inlineStr">
        <is>
          <t>NO CA retail branches - local relationship required (NOT CA-accessible)</t>
        </is>
      </c>
      <c r="I19" s="63" t="inlineStr">
        <is>
          <t>~$25k start; six-figure aggregate (myFICO) - but CA approval unlikely (no branches)</t>
        </is>
      </c>
      <c r="J19" s="60" t="inlineStr">
        <is>
          <t>~$560B</t>
        </is>
      </c>
      <c r="K19" s="60" t="inlineStr">
        <is>
          <t>~$420B</t>
        </is>
      </c>
      <c r="L19" s="60" t="inlineStr">
        <is>
          <t>National; ~2,300 branches</t>
        </is>
      </c>
      <c r="M19" s="60" t="n">
        <v>151</v>
      </c>
      <c r="N19" s="60" t="inlineStr">
        <is>
          <t>Pittsburgh</t>
        </is>
      </c>
      <c r="O19" s="60" t="inlineStr">
        <is>
          <t>Allegheny (PA)</t>
        </is>
      </c>
      <c r="P19" s="64" t="inlineStr">
        <is>
          <t>pnc.com</t>
        </is>
      </c>
      <c r="Q19" s="65" t="inlineStr">
        <is>
          <t>Yes</t>
        </is>
      </c>
      <c r="R19" s="64" t="inlineStr">
        <is>
          <t>pnc.com/.../business-credit-cards</t>
        </is>
      </c>
      <c r="S19" s="66" t="inlineStr">
        <is>
          <t>Partial online</t>
        </is>
      </c>
      <c r="T19" s="60" t="inlineStr">
        <is>
          <t>Cash Rewards online; BusinessOptions phone (855-762-2365)</t>
        </is>
      </c>
      <c r="U19" s="65" t="inlineStr">
        <is>
          <t>Yes</t>
        </is>
      </c>
      <c r="V19" s="62" t="inlineStr">
        <is>
          <t>Self-issued (PNC Bank N.A.)</t>
        </is>
      </c>
      <c r="W19" s="57" t="inlineStr">
        <is>
          <t>Yes (revolving)</t>
        </is>
      </c>
      <c r="X19" s="67" t="inlineStr">
        <is>
          <t>Varies by product</t>
        </is>
      </c>
      <c r="Y19" s="60" t="inlineStr">
        <is>
          <t>Cash Rewards Visa Sig Business: 1.5% cash back, $0 AF, $400 bonus. BusinessOptions Visa Sig</t>
        </is>
      </c>
      <c r="Z19" s="60" t="inlineStr">
        <is>
          <t>Equifax most common (EX/TU possible)</t>
        </is>
      </c>
      <c r="AA19" s="60" t="inlineStr">
        <is>
          <t>Business bureaus (not personal) - inferred</t>
        </is>
      </c>
      <c r="AB19" s="60" t="inlineStr">
        <is>
          <t>No</t>
        </is>
      </c>
      <c r="AC19" s="60" t="inlineStr">
        <is>
          <t>BusinessOptions ~$25k start (+BLOC ~$20k); six-figure aggregate reported</t>
        </is>
      </c>
      <c r="AD19" s="64" t="inlineStr">
        <is>
          <t>myFICO 6509179, 6589727, 6675929</t>
        </is>
      </c>
      <c r="AE19" s="60" t="inlineStr">
        <is>
          <t>No</t>
        </is>
      </c>
      <c r="AF19" s="60" t="inlineStr">
        <is>
          <t>No - SBA/LOC/term underwritten</t>
        </is>
      </c>
      <c r="AG19" s="60" t="inlineStr">
        <is>
          <t>SELF-ISSUED VERIFIED ('PNC Bank N.A. is the creditor and issuer'). Strong reported limits.</t>
        </is>
      </c>
      <c r="AH19" s="64" t="inlineStr">
        <is>
          <t>pnc.com/.../pnc-cash-rewards-visa-signature-business; term sheet PDF</t>
        </is>
      </c>
    </row>
    <row r="20">
      <c r="A20" s="57" t="n"/>
      <c r="B20" s="58" t="inlineStr">
        <is>
          <t>A - Self-issued, apply online</t>
        </is>
      </c>
      <c r="C20" s="59" t="inlineStr">
        <is>
          <t>Regions Bank</t>
        </is>
      </c>
      <c r="D20" s="60" t="inlineStr">
        <is>
          <t>3/4 (missing: SoCal)</t>
        </is>
      </c>
      <c r="E20" s="69" t="inlineStr">
        <is>
          <t>Bank</t>
        </is>
      </c>
      <c r="F20" s="67" t="inlineStr">
        <is>
          <t>No</t>
        </is>
      </c>
      <c r="G20" s="60" t="inlineStr">
        <is>
          <t>Out-of-state (national)</t>
        </is>
      </c>
      <c r="H20" s="82" t="inlineStr">
        <is>
          <t>NO CA branches - South (NOT CA-accessible)</t>
        </is>
      </c>
      <c r="I20" s="63" t="inlineStr">
        <is>
          <t>$5k-$25k (est; self-issued community pattern)</t>
        </is>
      </c>
      <c r="J20" s="60" t="inlineStr">
        <is>
          <t>~$160B</t>
        </is>
      </c>
      <c r="K20" s="60" t="inlineStr">
        <is>
          <t>~$125B</t>
        </is>
      </c>
      <c r="L20" s="60" t="inlineStr">
        <is>
          <t>National (South/Midwest); ~1,250 branches</t>
        </is>
      </c>
      <c r="M20" s="60" t="n">
        <v>151</v>
      </c>
      <c r="N20" s="60" t="inlineStr">
        <is>
          <t>Birmingham</t>
        </is>
      </c>
      <c r="O20" s="60" t="inlineStr">
        <is>
          <t>Jefferson (AL)</t>
        </is>
      </c>
      <c r="P20" s="64" t="inlineStr">
        <is>
          <t>regions.com</t>
        </is>
      </c>
      <c r="Q20" s="65" t="inlineStr">
        <is>
          <t>Yes</t>
        </is>
      </c>
      <c r="R20" s="64" t="inlineStr">
        <is>
          <t>regions.com/small-business/business-credit-cards</t>
        </is>
      </c>
      <c r="S20" s="65" t="inlineStr">
        <is>
          <t>Online</t>
        </is>
      </c>
      <c r="T20" s="60" t="inlineStr">
        <is>
          <t>regions.com online application</t>
        </is>
      </c>
      <c r="U20" s="65" t="inlineStr">
        <is>
          <t>Yes</t>
        </is>
      </c>
      <c r="V20" s="62" t="inlineStr">
        <is>
          <t>Self-issued (Regions Bank)</t>
        </is>
      </c>
      <c r="W20" s="57" t="inlineStr">
        <is>
          <t>Yes (revolving)</t>
        </is>
      </c>
      <c r="X20" s="66" t="inlineStr">
        <is>
          <t>Yes - 6 mo (Business) / 12 mo (Enhanced)</t>
        </is>
      </c>
      <c r="Y20" s="60" t="inlineStr">
        <is>
          <t>Business: 0% 6mo, 13.99-23.99%, $0 AF. Enhanced: 0% 12mo, 15.99-25.99%, $0 AF, 2% cash back offer</t>
        </is>
      </c>
      <c r="Z20" s="60" t="inlineStr">
        <is>
          <t>Unknown (not named)</t>
        </is>
      </c>
      <c r="AA20" s="60" t="inlineStr">
        <is>
          <t>Unknown</t>
        </is>
      </c>
      <c r="AB20" s="60" t="inlineStr">
        <is>
          <t>Unknown</t>
        </is>
      </c>
      <c r="AC20" s="60" t="inlineStr">
        <is>
          <t>Thin forum data</t>
        </is>
      </c>
      <c r="AD20" s="60" t="inlineStr">
        <is>
          <t>-</t>
        </is>
      </c>
      <c r="AE20" s="60" t="inlineStr">
        <is>
          <t>No</t>
        </is>
      </c>
      <c r="AF20" s="60" t="inlineStr">
        <is>
          <t>No - SBA/commercial underwritten</t>
        </is>
      </c>
      <c r="AG20" s="60" t="inlineStr">
        <is>
          <t>SELF-ISSUED VERIFIED (Regions Bank creditor). 0% 6-12mo. Online apply.</t>
        </is>
      </c>
      <c r="AH20" s="64" t="inlineStr">
        <is>
          <t>regions.com/.../business-credit-card; Business pricing PDF</t>
        </is>
      </c>
    </row>
    <row r="21" ht="15.75" customHeight="1">
      <c r="A21" s="57" t="n"/>
      <c r="B21" s="58" t="inlineStr">
        <is>
          <t>A - Self-issued, apply online</t>
        </is>
      </c>
      <c r="C21" s="59" t="inlineStr">
        <is>
          <t>Travis Credit Union</t>
        </is>
      </c>
      <c r="D21" s="60" t="inlineStr">
        <is>
          <t>3/4 (missing: SoCal)</t>
        </is>
      </c>
      <c r="E21" s="61" t="inlineStr">
        <is>
          <t>Credit Union</t>
        </is>
      </c>
      <c r="F21" s="67" t="inlineStr">
        <is>
          <t>No</t>
        </is>
      </c>
      <c r="G21" s="60" t="inlineStr">
        <is>
          <t>Other California</t>
        </is>
      </c>
      <c r="H21" s="62" t="inlineStr">
        <is>
          <t>CA-HQ (NorCal/Central CA)</t>
        </is>
      </c>
      <c r="I21" s="63" t="inlineStr">
        <is>
          <t>$5k-$25k (est; self-issued community pattern)</t>
        </is>
      </c>
      <c r="J21" s="60" t="inlineStr">
        <is>
          <t>~$5.7B</t>
        </is>
      </c>
      <c r="K21" s="60" t="inlineStr">
        <is>
          <t>~$5B (shares)</t>
        </is>
      </c>
      <c r="L21" s="60" t="inlineStr">
        <is>
          <t>12 NorCal counties; ~271k members</t>
        </is>
      </c>
      <c r="M21" s="60" t="n">
        <v>151</v>
      </c>
      <c r="N21" s="60" t="inlineStr">
        <is>
          <t>Vacaville</t>
        </is>
      </c>
      <c r="O21" s="60" t="inlineStr">
        <is>
          <t>Solano</t>
        </is>
      </c>
      <c r="P21" s="64" t="inlineStr">
        <is>
          <t>traviscu.org</t>
        </is>
      </c>
      <c r="Q21" s="65" t="inlineStr">
        <is>
          <t>Yes</t>
        </is>
      </c>
      <c r="R21" s="64" t="inlineStr">
        <is>
          <t>traviscu.org/business/lending/business-visa/</t>
        </is>
      </c>
      <c r="S21" s="65" t="inlineStr">
        <is>
          <t>Online</t>
        </is>
      </c>
      <c r="T21" s="60" t="inlineStr">
        <is>
          <t>traviscu.org (online or in-person)</t>
        </is>
      </c>
      <c r="U21" s="65" t="inlineStr">
        <is>
          <t>Yes</t>
        </is>
      </c>
      <c r="V21" s="62" t="inlineStr">
        <is>
          <t>Self-issued (Travis CU)</t>
        </is>
      </c>
      <c r="W21" s="57" t="inlineStr">
        <is>
          <t>Yes (revolving)</t>
        </is>
      </c>
      <c r="X21" s="67" t="inlineStr">
        <is>
          <t>No</t>
        </is>
      </c>
      <c r="Y21" s="60" t="inlineStr">
        <is>
          <t>TCU Business Visa: variable, $0 AF for members, ScoreCard Bonus Points</t>
        </is>
      </c>
      <c r="Z21" s="60" t="inlineStr">
        <is>
          <t>Unknown</t>
        </is>
      </c>
      <c r="AA21" s="60" t="inlineStr">
        <is>
          <t>Unknown</t>
        </is>
      </c>
      <c r="AB21" s="60" t="inlineStr">
        <is>
          <t>Unknown</t>
        </is>
      </c>
      <c r="AC21" s="60" t="inlineStr">
        <is>
          <t>None found</t>
        </is>
      </c>
      <c r="AD21" s="60" t="inlineStr">
        <is>
          <t>-</t>
        </is>
      </c>
      <c r="AE21" s="60" t="inlineStr">
        <is>
          <t>Membership req (OPEN: anyone in 12 NorCal counties)</t>
        </is>
      </c>
      <c r="AF21" s="60" t="inlineStr">
        <is>
          <t>Business lending separate</t>
        </is>
      </c>
      <c r="AG21" s="60" t="inlineStr">
        <is>
          <t>SELF-ISSUED VERIFIED (CFPB filing; ScoreCard, not Elan). Online/in-person apply. Open membership.</t>
        </is>
      </c>
      <c r="AH21" s="64" t="inlineStr">
        <is>
          <t>traviscu.org/business/lending/business-visa/; CFPB DB</t>
        </is>
      </c>
    </row>
    <row r="22" ht="15.75" customHeight="1">
      <c r="A22" s="57" t="n"/>
      <c r="B22" s="58" t="inlineStr">
        <is>
          <t>A - Self-issued, apply online</t>
        </is>
      </c>
      <c r="C22" s="59" t="inlineStr">
        <is>
          <t>SAFE Credit Union</t>
        </is>
      </c>
      <c r="D22" s="60" t="inlineStr">
        <is>
          <t>3/4 (missing: SoCal)</t>
        </is>
      </c>
      <c r="E22" s="61" t="inlineStr">
        <is>
          <t>Credit Union</t>
        </is>
      </c>
      <c r="F22" s="67" t="inlineStr">
        <is>
          <t>No</t>
        </is>
      </c>
      <c r="G22" s="60" t="inlineStr">
        <is>
          <t>Other California</t>
        </is>
      </c>
      <c r="H22" s="62" t="inlineStr">
        <is>
          <t>CA-HQ (NorCal/Central CA)</t>
        </is>
      </c>
      <c r="I22" s="63" t="inlineStr">
        <is>
          <t>$5k-$25k (est; self-issued community pattern)</t>
        </is>
      </c>
      <c r="J22" s="60" t="inlineStr">
        <is>
          <t>~$5B</t>
        </is>
      </c>
      <c r="K22" s="60" t="inlineStr">
        <is>
          <t>~$4.3B (shares)</t>
        </is>
      </c>
      <c r="L22" s="60" t="inlineStr">
        <is>
          <t>13 NorCal counties; ~246k members</t>
        </is>
      </c>
      <c r="M22" s="60" t="n">
        <v>151</v>
      </c>
      <c r="N22" s="60" t="inlineStr">
        <is>
          <t>Folsom</t>
        </is>
      </c>
      <c r="O22" s="60" t="inlineStr">
        <is>
          <t>Sacramento</t>
        </is>
      </c>
      <c r="P22" s="64" t="inlineStr">
        <is>
          <t>safecu.org</t>
        </is>
      </c>
      <c r="Q22" s="65" t="inlineStr">
        <is>
          <t>Yes</t>
        </is>
      </c>
      <c r="R22" s="64" t="inlineStr">
        <is>
          <t>safecu.org/business/grow-your-business/visa-business</t>
        </is>
      </c>
      <c r="S22" s="65" t="inlineStr">
        <is>
          <t>Online</t>
        </is>
      </c>
      <c r="T22" s="60" t="inlineStr">
        <is>
          <t>safecu.org business Visa (online/in-person)</t>
        </is>
      </c>
      <c r="U22" s="65" t="inlineStr">
        <is>
          <t>Yes</t>
        </is>
      </c>
      <c r="V22" s="62" t="inlineStr">
        <is>
          <t>Self-issued (SAFE CU)</t>
        </is>
      </c>
      <c r="W22" s="57" t="inlineStr">
        <is>
          <t>Yes (revolving)</t>
        </is>
      </c>
      <c r="X22" s="67" t="inlineStr">
        <is>
          <t>No</t>
        </is>
      </c>
      <c r="Y22" s="60" t="inlineStr">
        <is>
          <t>SAFE Visa Business: variable WSJ Prime+margin, $0 AF (likely)</t>
        </is>
      </c>
      <c r="Z22" s="60" t="inlineStr">
        <is>
          <t>Unknown</t>
        </is>
      </c>
      <c r="AA22" s="60" t="inlineStr">
        <is>
          <t>Unknown</t>
        </is>
      </c>
      <c r="AB22" s="60" t="inlineStr">
        <is>
          <t>Unknown</t>
        </is>
      </c>
      <c r="AC22" s="60" t="inlineStr">
        <is>
          <t>None found</t>
        </is>
      </c>
      <c r="AD22" s="60" t="inlineStr">
        <is>
          <t>-</t>
        </is>
      </c>
      <c r="AE22" s="60" t="inlineStr">
        <is>
          <t>Membership req (13 NorCal counties: Sacramento/Placer/El Dorado/Yolo +9)</t>
        </is>
      </c>
      <c r="AF22" s="60" t="inlineStr">
        <is>
          <t>Business lending separate</t>
        </is>
      </c>
      <c r="AG22" s="60" t="inlineStr">
        <is>
          <t>SELF-ISSUED VERIFIED ('issued by SAFE'). Online apply.</t>
        </is>
      </c>
      <c r="AH22" s="64" t="inlineStr">
        <is>
          <t>safecu.org/business/grow-your-business/visa-business; Web_Business_Credit_Agreement PDF</t>
        </is>
      </c>
    </row>
    <row r="23" ht="15.75" customHeight="1">
      <c r="A23" s="57" t="n"/>
      <c r="B23" s="58" t="inlineStr">
        <is>
          <t>A - Self-issued, apply online</t>
        </is>
      </c>
      <c r="C23" s="59" t="inlineStr">
        <is>
          <t>Redwood Credit Union</t>
        </is>
      </c>
      <c r="D23" s="60" t="inlineStr">
        <is>
          <t>3/4 (missing: SoCal)</t>
        </is>
      </c>
      <c r="E23" s="61" t="inlineStr">
        <is>
          <t>Credit Union</t>
        </is>
      </c>
      <c r="F23" s="67" t="inlineStr">
        <is>
          <t>No</t>
        </is>
      </c>
      <c r="G23" s="60" t="inlineStr">
        <is>
          <t>Other California</t>
        </is>
      </c>
      <c r="H23" s="62" t="inlineStr">
        <is>
          <t>CA-HQ (NorCal/Central CA)</t>
        </is>
      </c>
      <c r="I23" s="63" t="inlineStr">
        <is>
          <t>$5k-$25k (est; self-issued community pattern)</t>
        </is>
      </c>
      <c r="J23" s="60" t="inlineStr">
        <is>
          <t>~$4.7B</t>
        </is>
      </c>
      <c r="K23" s="60" t="inlineStr">
        <is>
          <t>~$4B (shares)</t>
        </is>
      </c>
      <c r="L23" s="60" t="inlineStr">
        <is>
          <t>8 NorCal counties (Sonoma/Marin/Napa/Mendocino/Lake/SF/Solano/Contra Costa)</t>
        </is>
      </c>
      <c r="M23" s="60" t="n">
        <v>151</v>
      </c>
      <c r="N23" s="60" t="inlineStr">
        <is>
          <t>Santa Rosa</t>
        </is>
      </c>
      <c r="O23" s="60" t="inlineStr">
        <is>
          <t>Sonoma</t>
        </is>
      </c>
      <c r="P23" s="64" t="inlineStr">
        <is>
          <t>redwoodcu.org</t>
        </is>
      </c>
      <c r="Q23" s="65" t="inlineStr">
        <is>
          <t>Yes</t>
        </is>
      </c>
      <c r="R23" s="64" t="inlineStr">
        <is>
          <t>redwoodcu.org/business/cards/business-visa-platinum/</t>
        </is>
      </c>
      <c r="S23" s="65" t="inlineStr">
        <is>
          <t>Online</t>
        </is>
      </c>
      <c r="T23" s="60" t="inlineStr">
        <is>
          <t>redwoodcu.org (biz membership before funding)</t>
        </is>
      </c>
      <c r="U23" s="65" t="inlineStr">
        <is>
          <t>Yes</t>
        </is>
      </c>
      <c r="V23" s="62" t="inlineStr">
        <is>
          <t>Self-issued (Redwood CU)</t>
        </is>
      </c>
      <c r="W23" s="57" t="inlineStr">
        <is>
          <t>Yes (revolving)</t>
        </is>
      </c>
      <c r="X23" s="67" t="inlineStr">
        <is>
          <t>No</t>
        </is>
      </c>
      <c r="Y23" s="60" t="inlineStr">
        <is>
          <t>Business Visa Platinum: variable Prime-based, $0 AF, no BT fee, 1 pt/$1, employee cards</t>
        </is>
      </c>
      <c r="Z23" s="60" t="inlineStr">
        <is>
          <t>Equifax (consumer; biz unconfirmed)</t>
        </is>
      </c>
      <c r="AA23" s="60" t="inlineStr">
        <is>
          <t>Unknown</t>
        </is>
      </c>
      <c r="AB23" s="60" t="inlineStr">
        <is>
          <t>Unknown</t>
        </is>
      </c>
      <c r="AC23" s="60" t="inlineStr">
        <is>
          <t>Consumer Platinum $25k approval (EQ pull); no biz-card thread</t>
        </is>
      </c>
      <c r="AD23" s="64" t="inlineStr">
        <is>
          <t>ficoforums.myfico.com 6675557</t>
        </is>
      </c>
      <c r="AE23" s="60" t="inlineStr">
        <is>
          <t>Membership req (8-county FOM); biz membership before funding</t>
        </is>
      </c>
      <c r="AF23" s="60" t="inlineStr">
        <is>
          <t>Business lending separate</t>
        </is>
      </c>
      <c r="AG23" s="60" t="inlineStr">
        <is>
          <t>SELF-ISSUED VERIFIED (CFPB filing; ScoreCard rewards, not Elan). Online apply.</t>
        </is>
      </c>
      <c r="AH23" s="64" t="inlineStr">
        <is>
          <t>redwoodcu.org/business/cards/business-visa-platinum/; CFPB DB</t>
        </is>
      </c>
    </row>
    <row r="24" ht="15.75" customHeight="1">
      <c r="A24" s="57" t="n"/>
      <c r="B24" s="58" t="inlineStr">
        <is>
          <t>A - Self-issued, apply online</t>
        </is>
      </c>
      <c r="C24" s="59" t="inlineStr">
        <is>
          <t>Stanford Federal Credit Union</t>
        </is>
      </c>
      <c r="D24" s="60" t="inlineStr">
        <is>
          <t>3/4 (missing: SoCal)</t>
        </is>
      </c>
      <c r="E24" s="61" t="inlineStr">
        <is>
          <t>Credit Union</t>
        </is>
      </c>
      <c r="F24" s="67" t="inlineStr">
        <is>
          <t>No</t>
        </is>
      </c>
      <c r="G24" s="60" t="inlineStr">
        <is>
          <t>Other California</t>
        </is>
      </c>
      <c r="H24" s="62" t="inlineStr">
        <is>
          <t>CA-HQ (NorCal/Central CA)</t>
        </is>
      </c>
      <c r="I24" s="63" t="inlineStr">
        <is>
          <t>Up to $50k (VERIFIED published)</t>
        </is>
      </c>
      <c r="J24" s="60" t="inlineStr">
        <is>
          <t>~$4.55B</t>
        </is>
      </c>
      <c r="K24" s="60" t="inlineStr">
        <is>
          <t>~$4B (shares)</t>
        </is>
      </c>
      <c r="L24" s="60" t="inlineStr">
        <is>
          <t>Open membership nationwide; ~$4.55B</t>
        </is>
      </c>
      <c r="M24" s="60" t="n">
        <v>151</v>
      </c>
      <c r="N24" s="60" t="inlineStr">
        <is>
          <t>Palo Alto</t>
        </is>
      </c>
      <c r="O24" s="60" t="inlineStr">
        <is>
          <t>Santa Clara</t>
        </is>
      </c>
      <c r="P24" s="64" t="inlineStr">
        <is>
          <t>sfcu.org</t>
        </is>
      </c>
      <c r="Q24" s="65" t="inlineStr">
        <is>
          <t>Yes</t>
        </is>
      </c>
      <c r="R24" s="64" t="inlineStr">
        <is>
          <t>sfcu.org/business/business-credit-card</t>
        </is>
      </c>
      <c r="S24" s="65" t="inlineStr">
        <is>
          <t>Online</t>
        </is>
      </c>
      <c r="T24" s="60" t="inlineStr">
        <is>
          <t>sfcu.org (online; 6-mo biz checking required first)</t>
        </is>
      </c>
      <c r="U24" s="65" t="inlineStr">
        <is>
          <t>Yes</t>
        </is>
      </c>
      <c r="V24" s="62" t="inlineStr">
        <is>
          <t>Self-issued (Stanford FCU)</t>
        </is>
      </c>
      <c r="W24" s="57" t="inlineStr">
        <is>
          <t>Yes (revolving)</t>
        </is>
      </c>
      <c r="X24" s="67" t="inlineStr">
        <is>
          <t>No</t>
        </is>
      </c>
      <c r="Y24" s="60" t="inlineStr">
        <is>
          <t>Business Rewards Visa: 16.00-17.99% var, $0 AF, 2% food/food-delivery + 1% else, limits up to $50,000</t>
        </is>
      </c>
      <c r="Z24" s="60" t="inlineStr">
        <is>
          <t>Equifax</t>
        </is>
      </c>
      <c r="AA24" s="60" t="inlineStr">
        <is>
          <t>Unknown</t>
        </is>
      </c>
      <c r="AB24" s="60" t="inlineStr">
        <is>
          <t>Unknown</t>
        </is>
      </c>
      <c r="AC24" s="60" t="inlineStr">
        <is>
          <t>Consumer Stanford approvals (EQ pull); no biz-card thread</t>
        </is>
      </c>
      <c r="AD24" s="64" t="inlineStr">
        <is>
          <t>ficoforums.myfico.com 6036159</t>
        </is>
      </c>
      <c r="AE24" s="60" t="inlineStr">
        <is>
          <t>Membership req (OPEN: join FOPAL or Museum of American Heritage); 6-mo biz checking first; 640+ score, 2yr+ biz</t>
        </is>
      </c>
      <c r="AF24" s="60" t="inlineStr">
        <is>
          <t>Business lending separate</t>
        </is>
      </c>
      <c r="AG24" s="60" t="inlineStr">
        <is>
          <t>SELF-ISSUED VERIFIED ('issuer is Stanford FCU'). Online apply but needs 6-mo biz checking tenure first.</t>
        </is>
      </c>
      <c r="AH24" s="64" t="inlineStr">
        <is>
          <t>sfcu.org/business/business-credit-card; A&amp;S disclosure</t>
        </is>
      </c>
    </row>
    <row r="25" ht="15.75" customHeight="1">
      <c r="A25" s="57" t="n"/>
      <c r="B25" s="58" t="inlineStr">
        <is>
          <t>A - Self-issued, apply online</t>
        </is>
      </c>
      <c r="C25" s="60" t="inlineStr">
        <is>
          <t>Huntington Bank</t>
        </is>
      </c>
      <c r="D25" s="60" t="inlineStr">
        <is>
          <t>2/4 (missing: apply online, SoCal)</t>
        </is>
      </c>
      <c r="E25" s="69" t="inlineStr">
        <is>
          <t>Bank</t>
        </is>
      </c>
      <c r="F25" s="67" t="inlineStr">
        <is>
          <t>No</t>
        </is>
      </c>
      <c r="G25" s="60" t="inlineStr">
        <is>
          <t>Out-of-state (national)</t>
        </is>
      </c>
      <c r="H25" s="82" t="inlineStr">
        <is>
          <t>NO CA branches - Midwest (NOT CA-accessible)</t>
        </is>
      </c>
      <c r="I25" s="63" t="inlineStr">
        <is>
          <t>$1.5k-$25k (myFICO; mostly consumer Voice) - no CA branches</t>
        </is>
      </c>
      <c r="J25" s="60" t="inlineStr">
        <is>
          <t>~$210B</t>
        </is>
      </c>
      <c r="K25" s="60" t="inlineStr">
        <is>
          <t>~$160B</t>
        </is>
      </c>
      <c r="L25" s="60" t="inlineStr">
        <is>
          <t>National (Midwest); ~1,000 branches (11 states)</t>
        </is>
      </c>
      <c r="M25" s="60" t="n">
        <v>149</v>
      </c>
      <c r="N25" s="60" t="inlineStr">
        <is>
          <t>Columbus</t>
        </is>
      </c>
      <c r="O25" s="60" t="inlineStr">
        <is>
          <t>Franklin (OH)</t>
        </is>
      </c>
      <c r="P25" s="64" t="inlineStr">
        <is>
          <t>huntington.com</t>
        </is>
      </c>
      <c r="Q25" s="65" t="inlineStr">
        <is>
          <t>Yes</t>
        </is>
      </c>
      <c r="R25" s="64" t="inlineStr">
        <is>
          <t>huntington.com/SmallBusiness/voice-business-credit-card</t>
        </is>
      </c>
      <c r="S25" s="66" t="inlineStr">
        <is>
          <t>Partial online</t>
        </is>
      </c>
      <c r="T25" s="60" t="inlineStr">
        <is>
          <t>huntington.com (connect with business banker)</t>
        </is>
      </c>
      <c r="U25" s="65" t="inlineStr">
        <is>
          <t>Yes</t>
        </is>
      </c>
      <c r="V25" s="62" t="inlineStr">
        <is>
          <t>Self-issued (Huntington National Bank)</t>
        </is>
      </c>
      <c r="W25" s="57" t="inlineStr">
        <is>
          <t>Yes (revolving)</t>
        </is>
      </c>
      <c r="X25" s="66" t="inlineStr">
        <is>
          <t>Yes - 12 months (Voice Business)</t>
        </is>
      </c>
      <c r="Y25" s="60" t="inlineStr">
        <is>
          <t>Voice Business: 0% 12mo purch + 12-cycle BT, go-to 16.74-26.74%, $0 AF, no FX, choose-4% category</t>
        </is>
      </c>
      <c r="Z25" s="60" t="inlineStr">
        <is>
          <t>Equifax + TransUnion (inferred; mostly consumer Voice data)</t>
        </is>
      </c>
      <c r="AA25" s="60" t="inlineStr">
        <is>
          <t>Unknown</t>
        </is>
      </c>
      <c r="AB25" s="60" t="inlineStr">
        <is>
          <t>Unknown</t>
        </is>
      </c>
      <c r="AC25" s="60" t="inlineStr">
        <is>
          <t>Voice (consumer) limits $1.5k-$25k; auto-CLIs; min ~640 score</t>
        </is>
      </c>
      <c r="AD25" s="64" t="inlineStr">
        <is>
          <t>myFICO 2425987, 4480000; DoC Business Voice</t>
        </is>
      </c>
      <c r="AE25" s="60" t="inlineStr">
        <is>
          <t>No (banker-assisted apply)</t>
        </is>
      </c>
      <c r="AF25" s="60" t="inlineStr">
        <is>
          <t>No - SBA/commercial underwritten</t>
        </is>
      </c>
      <c r="AG25" s="60" t="inlineStr">
        <is>
          <t>SELF-ISSUED VERIFIED ('credit extended by Huntington National Bank'). 0% 12mo.</t>
        </is>
      </c>
      <c r="AH25" s="64" t="inlineStr">
        <is>
          <t>huntington.com/SmallBusiness/voice-business-credit-card; Voice Business T&amp;C PDF</t>
        </is>
      </c>
    </row>
    <row r="26" ht="15.75" customHeight="1">
      <c r="A26" s="57" t="n"/>
      <c r="B26" s="58" t="inlineStr">
        <is>
          <t>A - Self-issued, apply online</t>
        </is>
      </c>
      <c r="C26" s="59" t="inlineStr">
        <is>
          <t>Navy Federal Credit Union</t>
        </is>
      </c>
      <c r="D26" s="60" t="inlineStr">
        <is>
          <t>3/4 (missing: SoCal)</t>
        </is>
      </c>
      <c r="E26" s="61" t="inlineStr">
        <is>
          <t>Credit Union</t>
        </is>
      </c>
      <c r="F26" s="67" t="inlineStr">
        <is>
          <t>No</t>
        </is>
      </c>
      <c r="G26" s="60" t="inlineStr">
        <is>
          <t>Out-of-state (national)</t>
        </is>
      </c>
      <c r="H26" s="62" t="inlineStr">
        <is>
          <t>CA branches near military bases; membership = military/DoD</t>
        </is>
      </c>
      <c r="I26" s="63" t="inlineStr">
        <is>
          <t>$5k-$25k (est; WalletHub: generous starting limits)</t>
        </is>
      </c>
      <c r="J26" s="60" t="inlineStr">
        <is>
          <t>~$180B</t>
        </is>
      </c>
      <c r="K26" s="60" t="inlineStr">
        <is>
          <t>~$145B (shares)</t>
        </is>
      </c>
      <c r="L26" s="60" t="inlineStr">
        <is>
          <t>National; ~360 branches worldwide; military/DoD</t>
        </is>
      </c>
      <c r="M26" s="60" t="n">
        <v>141</v>
      </c>
      <c r="N26" s="60" t="inlineStr">
        <is>
          <t>Vienna</t>
        </is>
      </c>
      <c r="O26" s="60" t="inlineStr">
        <is>
          <t>Fairfax (VA)</t>
        </is>
      </c>
      <c r="P26" s="64" t="inlineStr">
        <is>
          <t>navyfederal.org</t>
        </is>
      </c>
      <c r="Q26" s="65" t="inlineStr">
        <is>
          <t>Yes</t>
        </is>
      </c>
      <c r="R26" s="64" t="inlineStr">
        <is>
          <t>navyfederal.org/services/business/credit-cards.html</t>
        </is>
      </c>
      <c r="S26" s="65" t="inlineStr">
        <is>
          <t>Online</t>
        </is>
      </c>
      <c r="T26" s="60" t="inlineStr">
        <is>
          <t>navyfederal.org (after biz membership)</t>
        </is>
      </c>
      <c r="U26" s="65" t="inlineStr">
        <is>
          <t>Yes</t>
        </is>
      </c>
      <c r="V26" s="62" t="inlineStr">
        <is>
          <t>Self-issued (Navy Federal)</t>
        </is>
      </c>
      <c r="W26" s="57" t="inlineStr">
        <is>
          <t>Yes (revolving)</t>
        </is>
      </c>
      <c r="X26" s="67" t="inlineStr">
        <is>
          <t>No</t>
        </is>
      </c>
      <c r="Y26" s="60" t="inlineStr">
        <is>
          <t>GO BIZ Rewards Visa/MC: APR 16.65-18% var, $0 AF, 1 pt/$1</t>
        </is>
      </c>
      <c r="Z26" s="60" t="inlineStr">
        <is>
          <t>Experian</t>
        </is>
      </c>
      <c r="AA26" s="60" t="inlineStr">
        <is>
          <t>None - reports to PERSONAL bureaus (EX/TU/EQ), not biz bureaus</t>
        </is>
      </c>
      <c r="AB26" s="60" t="inlineStr">
        <is>
          <t>YES (reports to personal bureaus)</t>
        </is>
      </c>
      <c r="AC26" s="60" t="inlineStr">
        <is>
          <t>~750 FICO for good odds; max 1 GO BIZ per membership (2 total); UW up to 5 days</t>
        </is>
      </c>
      <c r="AD26" s="64" t="inlineStr">
        <is>
          <t>WalletHub; NFCU FAQ</t>
        </is>
      </c>
      <c r="AE26" s="60" t="inlineStr">
        <is>
          <t>Membership req (military/DoD/veteran/family ONLY) + biz membership</t>
        </is>
      </c>
      <c r="AF26" s="60" t="inlineStr">
        <is>
          <t>Business LOC/term (PG required)</t>
        </is>
      </c>
      <c r="AG26" s="60" t="inlineStr">
        <is>
          <t>SELF-ISSUED VERIFIED. Reports biz card to PERSONAL bureaus (unusual). Restricted membership.</t>
        </is>
      </c>
      <c r="AH26" s="64" t="inlineStr">
        <is>
          <t>navyfederal.org/services/business/credit-cards.html</t>
        </is>
      </c>
    </row>
    <row r="27" ht="15.75" customHeight="1">
      <c r="A27" s="57" t="n"/>
      <c r="B27" s="58" t="inlineStr">
        <is>
          <t>A - Self-issued, apply online</t>
        </is>
      </c>
      <c r="C27" s="59" t="inlineStr">
        <is>
          <t>Randolph-Brooks FCU</t>
        </is>
      </c>
      <c r="D27" s="60" t="inlineStr">
        <is>
          <t>3/4 (missing: SoCal)</t>
        </is>
      </c>
      <c r="E27" s="61" t="inlineStr">
        <is>
          <t>Credit Union</t>
        </is>
      </c>
      <c r="F27" s="67" t="inlineStr">
        <is>
          <t>No</t>
        </is>
      </c>
      <c r="G27" s="60" t="inlineStr">
        <is>
          <t>Out-of-state (national)</t>
        </is>
      </c>
      <c r="H27" s="82" t="inlineStr">
        <is>
          <t>CU - membership restricted (Texas; CA cannot join)</t>
        </is>
      </c>
      <c r="I27" s="63" t="inlineStr">
        <is>
          <t>$5k-$25k (est; self-issued community pattern)</t>
        </is>
      </c>
      <c r="J27" s="60" t="inlineStr">
        <is>
          <t>~$17.5B</t>
        </is>
      </c>
      <c r="K27" s="60" t="inlineStr">
        <is>
          <t>~$15B (shares)</t>
        </is>
      </c>
      <c r="L27" s="60" t="inlineStr">
        <is>
          <t>Texas; ~$17.5B</t>
        </is>
      </c>
      <c r="M27" s="60" t="n">
        <v>141</v>
      </c>
      <c r="N27" s="60" t="inlineStr">
        <is>
          <t>Live Oak</t>
        </is>
      </c>
      <c r="O27" s="60" t="inlineStr">
        <is>
          <t>Bexar (TX)</t>
        </is>
      </c>
      <c r="P27" s="64" t="inlineStr">
        <is>
          <t>rbfcu.org</t>
        </is>
      </c>
      <c r="Q27" s="65" t="inlineStr">
        <is>
          <t>Yes</t>
        </is>
      </c>
      <c r="R27" s="64" t="inlineStr">
        <is>
          <t>rbfcu.org/business/business-credit-card</t>
        </is>
      </c>
      <c r="S27" s="65" t="inlineStr">
        <is>
          <t>Online</t>
        </is>
      </c>
      <c r="T27" s="60" t="inlineStr">
        <is>
          <t>rbfcu.org / mobile app (online) or branch</t>
        </is>
      </c>
      <c r="U27" s="65" t="inlineStr">
        <is>
          <t>Yes</t>
        </is>
      </c>
      <c r="V27" s="62" t="inlineStr">
        <is>
          <t>Self-issued (RBFCU)</t>
        </is>
      </c>
      <c r="W27" s="57" t="inlineStr">
        <is>
          <t>Yes (revolving)</t>
        </is>
      </c>
      <c r="X27" s="66" t="inlineStr">
        <is>
          <t>Low: 2.9% intro 12 cycles on BT/CA (not 0%)</t>
        </is>
      </c>
      <c r="Y27" s="60" t="inlineStr">
        <is>
          <t>Business Select MC: 18.00% var (Prime+14.65%), 2% cash back all, $0 AF, no FX, no penalty APR</t>
        </is>
      </c>
      <c r="Z27" s="60" t="inlineStr">
        <is>
          <t>Unknown (security interest in shares)</t>
        </is>
      </c>
      <c r="AA27" s="60" t="inlineStr">
        <is>
          <t>Unknown</t>
        </is>
      </c>
      <c r="AB27" s="60" t="inlineStr">
        <is>
          <t>Unknown</t>
        </is>
      </c>
      <c r="AC27" s="60" t="inlineStr">
        <is>
          <t>None found</t>
        </is>
      </c>
      <c r="AD27" s="60" t="inlineStr">
        <is>
          <t>-</t>
        </is>
      </c>
      <c r="AE27" s="60" t="inlineStr">
        <is>
          <t>Membership req (3,500+ paths; $1 savings)</t>
        </is>
      </c>
      <c r="AF27" s="60" t="inlineStr">
        <is>
          <t>Business lending separate</t>
        </is>
      </c>
      <c r="AG27" s="60" t="inlineStr">
        <is>
          <t>SELF-ISSUED VERIFIED. 2% flat cash back. (Earlier '0%' snippet wrong; it is 2.9% intro.)</t>
        </is>
      </c>
      <c r="AH27" s="64" t="inlineStr">
        <is>
          <t>rbfcu.org businessselectmastercard rates PDF</t>
        </is>
      </c>
    </row>
    <row r="28" ht="15.75" customHeight="1">
      <c r="A28" s="57" t="n"/>
      <c r="B28" s="58" t="inlineStr">
        <is>
          <t>A - Self-issued, apply online</t>
        </is>
      </c>
      <c r="C28" s="60" t="inlineStr">
        <is>
          <t>Patelco Credit Union</t>
        </is>
      </c>
      <c r="D28" s="60" t="inlineStr">
        <is>
          <t>2/4 (missing: apply online, SoCal)</t>
        </is>
      </c>
      <c r="E28" s="61" t="inlineStr">
        <is>
          <t>Credit Union</t>
        </is>
      </c>
      <c r="F28" s="67" t="inlineStr">
        <is>
          <t>No</t>
        </is>
      </c>
      <c r="G28" s="60" t="inlineStr">
        <is>
          <t>Other California</t>
        </is>
      </c>
      <c r="H28" s="62" t="inlineStr">
        <is>
          <t>CA-HQ (NorCal/Central CA)</t>
        </is>
      </c>
      <c r="I28" s="63" t="inlineStr">
        <is>
          <t>$5k-$25k (est; self-issued community pattern)</t>
        </is>
      </c>
      <c r="J28" s="60" t="inlineStr">
        <is>
          <t>~$9B</t>
        </is>
      </c>
      <c r="K28" s="60" t="inlineStr">
        <is>
          <t>~$7.5B (shares)</t>
        </is>
      </c>
      <c r="L28" s="60" t="inlineStr">
        <is>
          <t>Bay Area; ~500k members</t>
        </is>
      </c>
      <c r="M28" s="60" t="n">
        <v>141</v>
      </c>
      <c r="N28" s="60" t="inlineStr">
        <is>
          <t>Dublin</t>
        </is>
      </c>
      <c r="O28" s="60" t="inlineStr">
        <is>
          <t>Alameda</t>
        </is>
      </c>
      <c r="P28" s="64" t="inlineStr">
        <is>
          <t>patelco.org</t>
        </is>
      </c>
      <c r="Q28" s="65" t="inlineStr">
        <is>
          <t>Yes</t>
        </is>
      </c>
      <c r="R28" s="64" t="inlineStr">
        <is>
          <t>patelco.org/business-banking/business-rewards-card</t>
        </is>
      </c>
      <c r="S28" s="66" t="inlineStr">
        <is>
          <t>Partial online</t>
        </is>
      </c>
      <c r="T28" s="60" t="inlineStr">
        <is>
          <t>Patelco Virtual Branch (appointment)</t>
        </is>
      </c>
      <c r="U28" s="65" t="inlineStr">
        <is>
          <t>Yes</t>
        </is>
      </c>
      <c r="V28" s="62" t="inlineStr">
        <is>
          <t>Self-issued (Patelco CU)</t>
        </is>
      </c>
      <c r="W28" s="57" t="inlineStr">
        <is>
          <t>Yes (revolving)</t>
        </is>
      </c>
      <c r="X28" s="67" t="inlineStr">
        <is>
          <t>No</t>
        </is>
      </c>
      <c r="Y28" s="60" t="inlineStr">
        <is>
          <t>Business Rewards Mastercard: ~10.65% var, $0 AF, 1.5 pts/$1, 20,000-pt (~$200) bonus after $1,500/3mo</t>
        </is>
      </c>
      <c r="Z28" s="60" t="inlineStr">
        <is>
          <t>Experian (consumer; biz unconfirmed)</t>
        </is>
      </c>
      <c r="AA28" s="60" t="inlineStr">
        <is>
          <t>Reports to personal AND business credit (bureau not named)</t>
        </is>
      </c>
      <c r="AB28" s="60" t="inlineStr">
        <is>
          <t>Yes (personal + business)</t>
        </is>
      </c>
      <c r="AC28" s="60" t="inlineStr">
        <is>
          <t>Consumer myFICO datapoints; no biz-card-specific thread</t>
        </is>
      </c>
      <c r="AD28" s="64" t="inlineStr">
        <is>
          <t>ficoforums.myfico.com Patelco</t>
        </is>
      </c>
      <c r="AE28" s="60" t="inlineStr">
        <is>
          <t>Membership req (OPEN: Financial Fitness Assn, Patelco pays $8); biz 2yr+ established</t>
        </is>
      </c>
      <c r="AF28" s="60" t="inlineStr">
        <is>
          <t>Business lending separate</t>
        </is>
      </c>
      <c r="AG28" s="60" t="inlineStr">
        <is>
          <t>SELF-ISSUED VERIFIED ('Patelco is the issuer'; CFPB filing). Open membership. Partial online (Virtual Branch).</t>
        </is>
      </c>
      <c r="AH28" s="64" t="inlineStr">
        <is>
          <t>patelco.org/business-banking/business-rewards-card; Business-Banking-Credit-Card PDF</t>
        </is>
      </c>
    </row>
    <row r="29" ht="15.75" customHeight="1">
      <c r="A29" s="57" t="n"/>
      <c r="B29" s="58" t="inlineStr">
        <is>
          <t>A - Self-issued, apply online</t>
        </is>
      </c>
      <c r="C29" s="59" t="inlineStr">
        <is>
          <t>BECU</t>
        </is>
      </c>
      <c r="D29" s="60" t="inlineStr">
        <is>
          <t>3/4 (missing: SoCal)</t>
        </is>
      </c>
      <c r="E29" s="61" t="inlineStr">
        <is>
          <t>Credit Union</t>
        </is>
      </c>
      <c r="F29" s="67" t="inlineStr">
        <is>
          <t>No</t>
        </is>
      </c>
      <c r="G29" s="60" t="inlineStr">
        <is>
          <t>Out-of-state (national)</t>
        </is>
      </c>
      <c r="H29" s="74" t="inlineStr">
        <is>
          <t>CU - partial (WA + alumni assns; narrow CA path)</t>
        </is>
      </c>
      <c r="I29" s="63" t="inlineStr">
        <is>
          <t>$5k-$25k (est; self-issued community pattern)</t>
        </is>
      </c>
      <c r="J29" s="60" t="inlineStr">
        <is>
          <t>~$29.4B</t>
        </is>
      </c>
      <c r="K29" s="60" t="inlineStr">
        <is>
          <t>~$25B (shares)</t>
        </is>
      </c>
      <c r="L29" s="60" t="inlineStr">
        <is>
          <t>WA + select OR/ID counties; ~$29.4B</t>
        </is>
      </c>
      <c r="M29" s="60" t="n">
        <v>139</v>
      </c>
      <c r="N29" s="60" t="inlineStr">
        <is>
          <t>Tukwila</t>
        </is>
      </c>
      <c r="O29" s="60" t="inlineStr">
        <is>
          <t>King (WA)</t>
        </is>
      </c>
      <c r="P29" s="64" t="inlineStr">
        <is>
          <t>becu.org</t>
        </is>
      </c>
      <c r="Q29" s="65" t="inlineStr">
        <is>
          <t>Yes</t>
        </is>
      </c>
      <c r="R29" s="64" t="inlineStr">
        <is>
          <t>becu.org/business-banking/credit-card/low-rate-credit-card</t>
        </is>
      </c>
      <c r="S29" s="65" t="inlineStr">
        <is>
          <t>Online</t>
        </is>
      </c>
      <c r="T29" s="60" t="inlineStr">
        <is>
          <t>becu.org/support/business-forms/docusign-business-credit-card</t>
        </is>
      </c>
      <c r="U29" s="65" t="inlineStr">
        <is>
          <t>Yes</t>
        </is>
      </c>
      <c r="V29" s="62" t="inlineStr">
        <is>
          <t>Self-issued (BECU)</t>
        </is>
      </c>
      <c r="W29" s="57" t="inlineStr">
        <is>
          <t>Yes (revolving)</t>
        </is>
      </c>
      <c r="X29" s="67" t="inlineStr">
        <is>
          <t>No (low APR)</t>
        </is>
      </c>
      <c r="Y29" s="60" t="inlineStr">
        <is>
          <t>Business Low Rate (as low as 14.49% var, $0 AF, no CA/FX fee) + Business Cash Back (1.5% unlimited)</t>
        </is>
      </c>
      <c r="Z29" s="60" t="inlineStr">
        <is>
          <t>Unknown</t>
        </is>
      </c>
      <c r="AA29" s="60" t="inlineStr">
        <is>
          <t>Unknown</t>
        </is>
      </c>
      <c r="AB29" s="60" t="inlineStr">
        <is>
          <t>Unknown</t>
        </is>
      </c>
      <c r="AC29" s="60" t="inlineStr">
        <is>
          <t>None found</t>
        </is>
      </c>
      <c r="AD29" s="60" t="inlineStr">
        <is>
          <t>-</t>
        </is>
      </c>
      <c r="AE29" s="60" t="inlineStr">
        <is>
          <t>Business membership req (live/work/worship/school WA + partners; free)</t>
        </is>
      </c>
      <c r="AF29" s="60" t="inlineStr">
        <is>
          <t>Business lending separate</t>
        </is>
      </c>
      <c r="AG29" s="60" t="inlineStr">
        <is>
          <t>SELF-ISSUED VERIFIED (BECU-branded Visa, NMLS 490518). Online apply via DocuSign.</t>
        </is>
      </c>
      <c r="AH29" s="64" t="inlineStr">
        <is>
          <t>becu.org/business-banking/credit-card/low-rate-credit-card</t>
        </is>
      </c>
    </row>
    <row r="30" ht="15.75" customHeight="1">
      <c r="A30" s="57" t="n"/>
      <c r="B30" s="58" t="inlineStr">
        <is>
          <t>A - Self-issued, apply online</t>
        </is>
      </c>
      <c r="C30" s="59" t="inlineStr">
        <is>
          <t>America First Credit Union</t>
        </is>
      </c>
      <c r="D30" s="60" t="inlineStr">
        <is>
          <t>3/4 (missing: SoCal)</t>
        </is>
      </c>
      <c r="E30" s="61" t="inlineStr">
        <is>
          <t>Credit Union</t>
        </is>
      </c>
      <c r="F30" s="67" t="inlineStr">
        <is>
          <t>No</t>
        </is>
      </c>
      <c r="G30" s="60" t="inlineStr">
        <is>
          <t>Out-of-state (national)</t>
        </is>
      </c>
      <c r="H30" s="74" t="inlineStr">
        <is>
          <t>CU - membership restricted (UT/ID/NV/NM/AZ; verify CA)</t>
        </is>
      </c>
      <c r="I30" s="63" t="inlineStr">
        <is>
          <t>$1.5k-$10k (consumer myFICO; biz unconfirmed)</t>
        </is>
      </c>
      <c r="J30" s="60" t="inlineStr">
        <is>
          <t>~$22.6B</t>
        </is>
      </c>
      <c r="K30" s="60" t="inlineStr">
        <is>
          <t>~$19B (shares)</t>
        </is>
      </c>
      <c r="L30" s="60" t="inlineStr">
        <is>
          <t>UT/NV/ID/AZ/CA/NM (serves CA); ~$22.6B</t>
        </is>
      </c>
      <c r="M30" s="60" t="n">
        <v>139</v>
      </c>
      <c r="N30" s="60" t="inlineStr">
        <is>
          <t>Riverdale</t>
        </is>
      </c>
      <c r="O30" s="60" t="inlineStr">
        <is>
          <t>Weber (UT)</t>
        </is>
      </c>
      <c r="P30" s="64" t="inlineStr">
        <is>
          <t>americafirst.com</t>
        </is>
      </c>
      <c r="Q30" s="65" t="inlineStr">
        <is>
          <t>Yes</t>
        </is>
      </c>
      <c r="R30" s="64" t="inlineStr">
        <is>
          <t>americafirst.com/business/visa/credit-card.html</t>
        </is>
      </c>
      <c r="S30" s="65" t="inlineStr">
        <is>
          <t>Online</t>
        </is>
      </c>
      <c r="T30" s="60" t="inlineStr">
        <is>
          <t>americafirst.com business credit application (online/branch)</t>
        </is>
      </c>
      <c r="U30" s="65" t="inlineStr">
        <is>
          <t>Yes</t>
        </is>
      </c>
      <c r="V30" s="62" t="inlineStr">
        <is>
          <t>Self-issued (America First CU)</t>
        </is>
      </c>
      <c r="W30" s="57" t="inlineStr">
        <is>
          <t>Yes (revolving)</t>
        </is>
      </c>
      <c r="X30" s="67" t="inlineStr">
        <is>
          <t>No (low ongoing APR)</t>
        </is>
      </c>
      <c r="Y30" s="60" t="inlineStr">
        <is>
          <t>Business Visa Platinum/Rewards: variable Prime+margin, $0 AF, FX up to 1%, 25-day grace</t>
        </is>
      </c>
      <c r="Z30" s="60" t="inlineStr">
        <is>
          <t>Unknown (income verification reported)</t>
        </is>
      </c>
      <c r="AA30" s="60" t="inlineStr">
        <is>
          <t>Unknown</t>
        </is>
      </c>
      <c r="AB30" s="60" t="inlineStr">
        <is>
          <t>Unknown</t>
        </is>
      </c>
      <c r="AC30" s="60" t="inlineStr">
        <is>
          <t>Consumer datapoints $1.5k-$10k; biz unconfirmed</t>
        </is>
      </c>
      <c r="AD30" s="64" t="inlineStr">
        <is>
          <t>ficoforums.myfico.com 6485072</t>
        </is>
      </c>
      <c r="AE30" s="60" t="inlineStr">
        <is>
          <t>Membership req (live/work/worship/school UT/NV/ID/AZ/CA/NM; $1 savings)</t>
        </is>
      </c>
      <c r="AF30" s="60" t="inlineStr">
        <is>
          <t>Business lending separate</t>
        </is>
      </c>
      <c r="AG30" s="60" t="inlineStr">
        <is>
          <t>SELF-ISSUED VERIFIED ('issued by America First CU'). Online apply. Field of membership includes California.</t>
        </is>
      </c>
      <c r="AH30" s="64" t="inlineStr">
        <is>
          <t>americafirst.com/business/visa/credit-card.html</t>
        </is>
      </c>
    </row>
    <row r="31" ht="15.75" customHeight="1">
      <c r="A31" s="57" t="n"/>
      <c r="B31" s="58" t="inlineStr">
        <is>
          <t>A - Self-issued, apply online</t>
        </is>
      </c>
      <c r="C31" s="59" t="inlineStr">
        <is>
          <t>Suncoast Credit Union</t>
        </is>
      </c>
      <c r="D31" s="60" t="inlineStr">
        <is>
          <t>3/4 (missing: SoCal)</t>
        </is>
      </c>
      <c r="E31" s="61" t="inlineStr">
        <is>
          <t>Credit Union</t>
        </is>
      </c>
      <c r="F31" s="67" t="inlineStr">
        <is>
          <t>No</t>
        </is>
      </c>
      <c r="G31" s="60" t="inlineStr">
        <is>
          <t>Out-of-state (national)</t>
        </is>
      </c>
      <c r="H31" s="82" t="inlineStr">
        <is>
          <t>CU - membership restricted (Florida; CA cannot join)</t>
        </is>
      </c>
      <c r="I31" s="63" t="inlineStr">
        <is>
          <t>Online &lt;=$15k; lines up to $50k (published)</t>
        </is>
      </c>
      <c r="J31" s="60" t="inlineStr">
        <is>
          <t>~$19.1B</t>
        </is>
      </c>
      <c r="K31" s="60" t="inlineStr">
        <is>
          <t>~$16B (shares)</t>
        </is>
      </c>
      <c r="L31" s="60" t="inlineStr">
        <is>
          <t>Florida (served counties); ~$19.1B</t>
        </is>
      </c>
      <c r="M31" s="60" t="n">
        <v>139</v>
      </c>
      <c r="N31" s="60" t="inlineStr">
        <is>
          <t>Tampa</t>
        </is>
      </c>
      <c r="O31" s="60" t="inlineStr">
        <is>
          <t>Hillsborough (FL)</t>
        </is>
      </c>
      <c r="P31" s="64" t="inlineStr">
        <is>
          <t>suncoast.com</t>
        </is>
      </c>
      <c r="Q31" s="65" t="inlineStr">
        <is>
          <t>Yes</t>
        </is>
      </c>
      <c r="R31" s="64" t="inlineStr">
        <is>
          <t>suncoast.com/For-Your-Business/Loans-and-Credit-Cards/Business-Credit-Cards</t>
        </is>
      </c>
      <c r="S31" s="65" t="inlineStr">
        <is>
          <t>Online</t>
        </is>
      </c>
      <c r="T31" s="60" t="inlineStr">
        <is>
          <t>apply.suncoast.com (online up to $15k)</t>
        </is>
      </c>
      <c r="U31" s="65" t="inlineStr">
        <is>
          <t>Yes</t>
        </is>
      </c>
      <c r="V31" s="62" t="inlineStr">
        <is>
          <t>Self-issued (Suncoast CU)</t>
        </is>
      </c>
      <c r="W31" s="57" t="inlineStr">
        <is>
          <t>Yes (revolving)</t>
        </is>
      </c>
      <c r="X31" s="67" t="inlineStr">
        <is>
          <t>No (low APR)</t>
        </is>
      </c>
      <c r="Y31" s="60" t="inlineStr">
        <is>
          <t>Business Platinum Visa (+ Secured): low APR, $0 AF, lines up to $50k</t>
        </is>
      </c>
      <c r="Z31" s="60" t="inlineStr">
        <is>
          <t>Unknown</t>
        </is>
      </c>
      <c r="AA31" s="60" t="inlineStr">
        <is>
          <t>Unknown</t>
        </is>
      </c>
      <c r="AB31" s="60" t="inlineStr">
        <is>
          <t>Unknown</t>
        </is>
      </c>
      <c r="AC31" s="60" t="inlineStr">
        <is>
          <t>Online &lt;=$15k; &gt;$15k contact; biz ~3yr; Secured option for thin credit</t>
        </is>
      </c>
      <c r="AD31" s="60" t="inlineStr">
        <is>
          <t>-</t>
        </is>
      </c>
      <c r="AE31" s="60" t="inlineStr">
        <is>
          <t>Membership req (live/work/school/worship FL counties + FL College alumni; $5)</t>
        </is>
      </c>
      <c r="AF31" s="60" t="inlineStr">
        <is>
          <t>Business lending separate</t>
        </is>
      </c>
      <c r="AG31" s="60" t="inlineStr">
        <is>
          <t>SELF-ISSUED VERIFIED (CFPB filings; no Elan). Online apply up to $15k; lines up to $50k.</t>
        </is>
      </c>
      <c r="AH31" s="64" t="inlineStr">
        <is>
          <t>suncoast.com/.../Business-Credit-Cards; CFPB</t>
        </is>
      </c>
    </row>
    <row r="32" ht="15.75" customHeight="1">
      <c r="A32" s="57" t="n"/>
      <c r="B32" s="58" t="inlineStr">
        <is>
          <t>A - Self-issued, apply online</t>
        </is>
      </c>
      <c r="C32" s="59" t="inlineStr">
        <is>
          <t>Lake Michigan Credit Union</t>
        </is>
      </c>
      <c r="D32" s="60" t="inlineStr">
        <is>
          <t>3/4 (missing: SoCal)</t>
        </is>
      </c>
      <c r="E32" s="61" t="inlineStr">
        <is>
          <t>Credit Union</t>
        </is>
      </c>
      <c r="F32" s="67" t="inlineStr">
        <is>
          <t>No</t>
        </is>
      </c>
      <c r="G32" s="60" t="inlineStr">
        <is>
          <t>Out-of-state (national)</t>
        </is>
      </c>
      <c r="H32" s="62" t="inlineStr">
        <is>
          <t>CU - joinable from CA (ALS Assn $5)</t>
        </is>
      </c>
      <c r="I32" s="63" t="inlineStr">
        <is>
          <t>Not published; conservative underwriter (myFICO)</t>
        </is>
      </c>
      <c r="J32" s="60" t="inlineStr">
        <is>
          <t>~$15B</t>
        </is>
      </c>
      <c r="K32" s="60" t="inlineStr">
        <is>
          <t>~$13B (shares)</t>
        </is>
      </c>
      <c r="L32" s="60" t="inlineStr">
        <is>
          <t>Michigan + FL; ~$15B</t>
        </is>
      </c>
      <c r="M32" s="60" t="n">
        <v>139</v>
      </c>
      <c r="N32" s="60" t="inlineStr">
        <is>
          <t>Grand Rapids</t>
        </is>
      </c>
      <c r="O32" s="60" t="inlineStr">
        <is>
          <t>Kent (MI)</t>
        </is>
      </c>
      <c r="P32" s="64" t="inlineStr">
        <is>
          <t>lmcu.org</t>
        </is>
      </c>
      <c r="Q32" s="65" t="inlineStr">
        <is>
          <t>Yes</t>
        </is>
      </c>
      <c r="R32" s="64" t="inlineStr">
        <is>
          <t>lmcu.org/business/borrow/my-biz-visa/</t>
        </is>
      </c>
      <c r="S32" s="65" t="inlineStr">
        <is>
          <t>Online</t>
        </is>
      </c>
      <c r="T32" s="60" t="inlineStr">
        <is>
          <t>lmcu.org My Biz Visa (online)</t>
        </is>
      </c>
      <c r="U32" s="65" t="inlineStr">
        <is>
          <t>Yes</t>
        </is>
      </c>
      <c r="V32" s="62" t="inlineStr">
        <is>
          <t>Self-issued (LMCU) - INFERRED</t>
        </is>
      </c>
      <c r="W32" s="57" t="inlineStr">
        <is>
          <t>Yes (revolving)</t>
        </is>
      </c>
      <c r="X32" s="67" t="inlineStr">
        <is>
          <t>No</t>
        </is>
      </c>
      <c r="Y32" s="60" t="inlineStr">
        <is>
          <t>My Biz Visa: 2% cash back, $0 AF (consumer page); FX 1%, cash adv 3%</t>
        </is>
      </c>
      <c r="Z32" s="60" t="inlineStr">
        <is>
          <t>Unknown</t>
        </is>
      </c>
      <c r="AA32" s="60" t="inlineStr">
        <is>
          <t>Reports to all 3 bureaus (SuperMoney)</t>
        </is>
      </c>
      <c r="AB32" s="60" t="inlineStr">
        <is>
          <t>Unknown</t>
        </is>
      </c>
      <c r="AC32" s="60" t="inlineStr">
        <is>
          <t>Conservative underwriter; dislikes new accounts (myFICO)</t>
        </is>
      </c>
      <c r="AD32" s="60" t="inlineStr">
        <is>
          <t>-</t>
        </is>
      </c>
      <c r="AE32" s="60" t="inlineStr">
        <is>
          <t>Membership req (OPEN: $5 ALS Association donation)</t>
        </is>
      </c>
      <c r="AF32" s="60" t="inlineStr">
        <is>
          <t>Business lending separate</t>
        </is>
      </c>
      <c r="AG32" s="60" t="inlineStr">
        <is>
          <t>SELF-ISSUED INFERRED (own CFPB filing, MI law; not Elan). Online apply.</t>
        </is>
      </c>
      <c r="AH32" s="64" t="inlineStr">
        <is>
          <t>lmcu.org/business/borrow/my-biz-visa/; CFPB</t>
        </is>
      </c>
    </row>
    <row r="33" ht="15.75" customHeight="1">
      <c r="A33" s="57" t="n"/>
      <c r="B33" s="58" t="inlineStr">
        <is>
          <t>A - Self-issued, apply online</t>
        </is>
      </c>
      <c r="C33" s="59" t="inlineStr">
        <is>
          <t>Idaho Central Credit Union</t>
        </is>
      </c>
      <c r="D33" s="60" t="inlineStr">
        <is>
          <t>3/4 (missing: SoCal)</t>
        </is>
      </c>
      <c r="E33" s="61" t="inlineStr">
        <is>
          <t>Credit Union</t>
        </is>
      </c>
      <c r="F33" s="67" t="inlineStr">
        <is>
          <t>No</t>
        </is>
      </c>
      <c r="G33" s="60" t="inlineStr">
        <is>
          <t>Out-of-state (national)</t>
        </is>
      </c>
      <c r="H33" s="82" t="inlineStr">
        <is>
          <t>CU - membership restricted (Idaho; CA cannot join)</t>
        </is>
      </c>
      <c r="I33" s="63" t="inlineStr">
        <is>
          <t>$5k-$25k (est; self-issued community pattern)</t>
        </is>
      </c>
      <c r="J33" s="60" t="inlineStr">
        <is>
          <t>~$14.8B</t>
        </is>
      </c>
      <c r="K33" s="60" t="inlineStr">
        <is>
          <t>~$12B (shares)</t>
        </is>
      </c>
      <c r="L33" s="60" t="inlineStr">
        <is>
          <t>Idaho; ~$14.8B</t>
        </is>
      </c>
      <c r="M33" s="60" t="n">
        <v>139</v>
      </c>
      <c r="N33" s="60" t="inlineStr">
        <is>
          <t>Chubbuck</t>
        </is>
      </c>
      <c r="O33" s="60" t="inlineStr">
        <is>
          <t>Bannock (ID)</t>
        </is>
      </c>
      <c r="P33" s="64" t="inlineStr">
        <is>
          <t>iccu.com</t>
        </is>
      </c>
      <c r="Q33" s="65" t="inlineStr">
        <is>
          <t>Yes</t>
        </is>
      </c>
      <c r="R33" s="64" t="inlineStr">
        <is>
          <t>iccu.com/business/loans/visa-credit-cards/</t>
        </is>
      </c>
      <c r="S33" s="65" t="inlineStr">
        <is>
          <t>Online</t>
        </is>
      </c>
      <c r="T33" s="60" t="inlineStr">
        <is>
          <t>iccu.com Apply Now / 800-456-5067</t>
        </is>
      </c>
      <c r="U33" s="65" t="inlineStr">
        <is>
          <t>Yes</t>
        </is>
      </c>
      <c r="V33" s="62" t="inlineStr">
        <is>
          <t>Self-issued (ICCU) - INFERRED</t>
        </is>
      </c>
      <c r="W33" s="57" t="inlineStr">
        <is>
          <t>Yes (revolving)</t>
        </is>
      </c>
      <c r="X33" s="67" t="inlineStr">
        <is>
          <t>Unknown</t>
        </is>
      </c>
      <c r="Y33" s="60" t="inlineStr">
        <is>
          <t>Business Visa Platinum (11.24%+) / Rewards (12.24%+) / Premier Rewards ($95): variable</t>
        </is>
      </c>
      <c r="Z33" s="60" t="inlineStr">
        <is>
          <t>Unknown</t>
        </is>
      </c>
      <c r="AA33" s="60" t="inlineStr">
        <is>
          <t>Unknown</t>
        </is>
      </c>
      <c r="AB33" s="60" t="inlineStr">
        <is>
          <t>Unknown</t>
        </is>
      </c>
      <c r="AC33" s="60" t="inlineStr">
        <is>
          <t>None found</t>
        </is>
      </c>
      <c r="AD33" s="60" t="inlineStr">
        <is>
          <t>-</t>
        </is>
      </c>
      <c r="AE33" s="60" t="inlineStr">
        <is>
          <t>Membership req (OPEN: anyone living/working/studying in any ID county; $30)</t>
        </is>
      </c>
      <c r="AF33" s="60" t="inlineStr">
        <is>
          <t>Business lending separate</t>
        </is>
      </c>
      <c r="AG33" s="60" t="inlineStr">
        <is>
          <t>SELF-ISSUED INFERRED (own rates + CFPB TCCP; no Elan). Online apply.</t>
        </is>
      </c>
      <c r="AH33" s="64" t="inlineStr">
        <is>
          <t>iccu.com/business/loans/visa-credit-cards/</t>
        </is>
      </c>
    </row>
    <row r="34" ht="15.75" customHeight="1">
      <c r="A34" s="57" t="n"/>
      <c r="B34" s="59" t="inlineStr">
        <is>
          <t>B - Self-issued, in-person</t>
        </is>
      </c>
      <c r="C34" s="60" t="inlineStr">
        <is>
          <t>Tri Counties Bank</t>
        </is>
      </c>
      <c r="D34" s="60" t="inlineStr">
        <is>
          <t>2/4 (missing: apply online, SoCal)</t>
        </is>
      </c>
      <c r="E34" s="69" t="inlineStr">
        <is>
          <t>Bank</t>
        </is>
      </c>
      <c r="F34" s="67" t="inlineStr">
        <is>
          <t>No</t>
        </is>
      </c>
      <c r="G34" s="60" t="inlineStr">
        <is>
          <t>Other California</t>
        </is>
      </c>
      <c r="H34" s="62" t="inlineStr">
        <is>
          <t>CA-HQ (NorCal/Central CA)</t>
        </is>
      </c>
      <c r="I34" s="63" t="inlineStr">
        <is>
          <t>$5k-$25k (est; self-issued community pattern)</t>
        </is>
      </c>
      <c r="J34" s="60" t="inlineStr">
        <is>
          <t>$9.87B</t>
        </is>
      </c>
      <c r="K34" s="60" t="inlineStr">
        <is>
          <t>$8.34B</t>
        </is>
      </c>
      <c r="L34" s="60" t="inlineStr">
        <is>
          <t>NorCal/Central CA; ~75 branches</t>
        </is>
      </c>
      <c r="M34" s="60" t="n">
        <v>137</v>
      </c>
      <c r="N34" s="60" t="inlineStr">
        <is>
          <t>Chico</t>
        </is>
      </c>
      <c r="O34" s="60" t="inlineStr">
        <is>
          <t>Butte</t>
        </is>
      </c>
      <c r="P34" s="64" t="inlineStr">
        <is>
          <t>tcbk.com</t>
        </is>
      </c>
      <c r="Q34" s="65" t="inlineStr">
        <is>
          <t>Yes</t>
        </is>
      </c>
      <c r="R34" s="64" t="inlineStr">
        <is>
          <t>tcbk.com/business/credit-cards</t>
        </is>
      </c>
      <c r="S34" s="70" t="inlineStr">
        <is>
          <t>In-person</t>
        </is>
      </c>
      <c r="T34" s="60" t="inlineStr">
        <is>
          <t>Branch / banker 800-922-8742 (no online biz app)</t>
        </is>
      </c>
      <c r="U34" s="65" t="inlineStr">
        <is>
          <t>Yes</t>
        </is>
      </c>
      <c r="V34" s="62" t="inlineStr">
        <is>
          <t>Self-issued (Tri Counties Bank)</t>
        </is>
      </c>
      <c r="W34" s="57" t="inlineStr">
        <is>
          <t>Yes (revolving)</t>
        </is>
      </c>
      <c r="X34" s="67" t="inlineStr">
        <is>
          <t>No (promo APR possible, none standing)</t>
        </is>
      </c>
      <c r="Y34" s="60" t="inlineStr">
        <is>
          <t>Visa Business + Visa Platinum Business: variable WSJ Prime+margin (set at approval); Platinum 1.5% cash back; $0 AF</t>
        </is>
      </c>
      <c r="Z34" s="60" t="inlineStr">
        <is>
          <t>Unknown (agreement says 'credit bureaus', none named)</t>
        </is>
      </c>
      <c r="AA34" s="60" t="inlineStr">
        <is>
          <t>Unknown</t>
        </is>
      </c>
      <c r="AB34" s="60" t="inlineStr">
        <is>
          <t>Unknown</t>
        </is>
      </c>
      <c r="AC34" s="60" t="inlineStr">
        <is>
          <t>None found</t>
        </is>
      </c>
      <c r="AD34" s="60" t="inlineStr">
        <is>
          <t>-</t>
        </is>
      </c>
      <c r="AE34" s="60" t="inlineStr">
        <is>
          <t>No (UCC lien on any deposits held; not required to apply)</t>
        </is>
      </c>
      <c r="AF34" s="60" t="inlineStr">
        <is>
          <t>No - commercial underwritten</t>
        </is>
      </c>
      <c r="AG34" s="60" t="inlineStr">
        <is>
          <t>SELF-ISSUED VERIFIED (business cards; 'Credit cards are issued by Tri Counties Bank'). NOTE: personal cards = TCM. No online app.</t>
        </is>
      </c>
      <c r="AH34" s="64" t="inlineStr">
        <is>
          <t>tcbk.com/business/credit-cards; Business_Card_Disclosure_Booklet PDF</t>
        </is>
      </c>
    </row>
    <row r="35" ht="15.75" customHeight="1">
      <c r="A35" s="57" t="n"/>
      <c r="B35" s="58" t="inlineStr">
        <is>
          <t>A - Self-issued, apply online</t>
        </is>
      </c>
      <c r="C35" s="59" t="inlineStr">
        <is>
          <t>Coastal Credit Union</t>
        </is>
      </c>
      <c r="D35" s="60" t="inlineStr">
        <is>
          <t>3/4 (missing: SoCal)</t>
        </is>
      </c>
      <c r="E35" s="61" t="inlineStr">
        <is>
          <t>Credit Union</t>
        </is>
      </c>
      <c r="F35" s="67" t="inlineStr">
        <is>
          <t>No</t>
        </is>
      </c>
      <c r="G35" s="60" t="inlineStr">
        <is>
          <t>Out-of-state (national)</t>
        </is>
      </c>
      <c r="H35" s="62" t="inlineStr">
        <is>
          <t>CU - joinable from CA (NCSEA / NC Consumers Council $18)</t>
        </is>
      </c>
      <c r="I35" s="63" t="inlineStr">
        <is>
          <t>Starts $5k; &gt;$25k needs docs (published)</t>
        </is>
      </c>
      <c r="J35" s="60" t="inlineStr">
        <is>
          <t>~$5.15B</t>
        </is>
      </c>
      <c r="K35" s="60" t="inlineStr">
        <is>
          <t>~$4.4B (shares)</t>
        </is>
      </c>
      <c r="L35" s="60" t="inlineStr">
        <is>
          <t>North Carolina; ~$5.15B</t>
        </is>
      </c>
      <c r="M35" s="60" t="n">
        <v>137</v>
      </c>
      <c r="N35" s="60" t="inlineStr">
        <is>
          <t>Raleigh</t>
        </is>
      </c>
      <c r="O35" s="60" t="inlineStr">
        <is>
          <t>Wake (NC)</t>
        </is>
      </c>
      <c r="P35" s="64" t="inlineStr">
        <is>
          <t>coastal24.com</t>
        </is>
      </c>
      <c r="Q35" s="65" t="inlineStr">
        <is>
          <t>Yes</t>
        </is>
      </c>
      <c r="R35" s="64" t="inlineStr">
        <is>
          <t>coastal24.com/products/business-services/business-visa</t>
        </is>
      </c>
      <c r="S35" s="65" t="inlineStr">
        <is>
          <t>Online</t>
        </is>
      </c>
      <c r="T35" s="60" t="inlineStr">
        <is>
          <t>coastal24.com business Visa application (online/PDF)</t>
        </is>
      </c>
      <c r="U35" s="65" t="inlineStr">
        <is>
          <t>Yes</t>
        </is>
      </c>
      <c r="V35" s="62" t="inlineStr">
        <is>
          <t>Self-issued (Coastal FCU)</t>
        </is>
      </c>
      <c r="W35" s="57" t="inlineStr">
        <is>
          <t>Yes (revolving)</t>
        </is>
      </c>
      <c r="X35" s="67" t="inlineStr">
        <is>
          <t>No</t>
        </is>
      </c>
      <c r="Y35" s="60" t="inlineStr">
        <is>
          <t>Business Visa: 14.75% fixed purchases / 16.75% cash adv, $0 AF, no penalty APR, BT 3%</t>
        </is>
      </c>
      <c r="Z35" s="60" t="inlineStr">
        <is>
          <t>Unknown</t>
        </is>
      </c>
      <c r="AA35" s="60" t="inlineStr">
        <is>
          <t>Reports to multiple bureaus (SuperMoney)</t>
        </is>
      </c>
      <c r="AB35" s="60" t="inlineStr">
        <is>
          <t>Unknown</t>
        </is>
      </c>
      <c r="AC35" s="60" t="inlineStr">
        <is>
          <t>Starts $5k; &gt;$25k total line needs docs; accepts ~600+ credit; PG</t>
        </is>
      </c>
      <c r="AD35" s="60" t="inlineStr">
        <is>
          <t>-</t>
        </is>
      </c>
      <c r="AE35" s="60" t="inlineStr">
        <is>
          <t>Membership req (OPEN: Coastal CU Foundation ~$18; $25 savings)</t>
        </is>
      </c>
      <c r="AF35" s="60" t="inlineStr">
        <is>
          <t>Business lending separate</t>
        </is>
      </c>
      <c r="AG35" s="60" t="inlineStr">
        <is>
          <t>SELF-ISSUED VERIFIED ('Coastal FCU authorized to issue'). Online apply, fair-credit-friendly.</t>
        </is>
      </c>
      <c r="AH35" s="64" t="inlineStr">
        <is>
          <t>coastal24.com/products/business-services/business-visa; Business-Visa-Application PDF</t>
        </is>
      </c>
    </row>
    <row r="36" ht="15.75" customHeight="1">
      <c r="A36" s="57" t="n"/>
      <c r="B36" s="58" t="inlineStr">
        <is>
          <t>A - Self-issued, apply online</t>
        </is>
      </c>
      <c r="C36" s="60" t="inlineStr">
        <is>
          <t>Fifth Third Bank</t>
        </is>
      </c>
      <c r="D36" s="60" t="inlineStr">
        <is>
          <t>2/4 (missing: apply online, SoCal)</t>
        </is>
      </c>
      <c r="E36" s="69" t="inlineStr">
        <is>
          <t>Bank</t>
        </is>
      </c>
      <c r="F36" s="67" t="inlineStr">
        <is>
          <t>No</t>
        </is>
      </c>
      <c r="G36" s="60" t="inlineStr">
        <is>
          <t>Out-of-state (national)</t>
        </is>
      </c>
      <c r="H36" s="82" t="inlineStr">
        <is>
          <t>NO CA branches - Midwest/SE (NOT CA-accessible)</t>
        </is>
      </c>
      <c r="I36" s="63" t="inlineStr">
        <is>
          <t>$5k-$25k (est; self-issued community pattern)</t>
        </is>
      </c>
      <c r="J36" s="60" t="inlineStr">
        <is>
          <t>~$210B</t>
        </is>
      </c>
      <c r="K36" s="60" t="inlineStr">
        <is>
          <t>~$165B</t>
        </is>
      </c>
      <c r="L36" s="60" t="inlineStr">
        <is>
          <t>National (Midwest/Southeast); ~1,100 branches</t>
        </is>
      </c>
      <c r="M36" s="60" t="n">
        <v>136</v>
      </c>
      <c r="N36" s="60" t="inlineStr">
        <is>
          <t>Cincinnati</t>
        </is>
      </c>
      <c r="O36" s="60" t="inlineStr">
        <is>
          <t>Hamilton (OH)</t>
        </is>
      </c>
      <c r="P36" s="64" t="inlineStr">
        <is>
          <t>53.com</t>
        </is>
      </c>
      <c r="Q36" s="65" t="inlineStr">
        <is>
          <t>Yes</t>
        </is>
      </c>
      <c r="R36" s="64" t="inlineStr">
        <is>
          <t>53.com/.../credit-card-solutions.html</t>
        </is>
      </c>
      <c r="S36" s="66" t="inlineStr">
        <is>
          <t>Partial online</t>
        </is>
      </c>
      <c r="T36" s="60" t="inlineStr">
        <is>
          <t>Online if enrolled customer; else branch/phone (866-671-5353)</t>
        </is>
      </c>
      <c r="U36" s="65" t="inlineStr">
        <is>
          <t>Yes</t>
        </is>
      </c>
      <c r="V36" s="62" t="inlineStr">
        <is>
          <t>Self-issued (Fifth Third Bank, N.A.)</t>
        </is>
      </c>
      <c r="W36" s="57" t="inlineStr">
        <is>
          <t>Yes (revolving)</t>
        </is>
      </c>
      <c r="X36" s="67" t="inlineStr">
        <is>
          <t>Varies</t>
        </is>
      </c>
      <c r="Y36" s="60" t="inlineStr">
        <is>
          <t>Business / Business Rewards MC &amp; Visa; variable APR cap 29.99%. (Simply Business closed to new apps)</t>
        </is>
      </c>
      <c r="Z36" s="60" t="inlineStr">
        <is>
          <t>Equifax-leaning (regional, inferred)</t>
        </is>
      </c>
      <c r="AA36" s="60" t="inlineStr">
        <is>
          <t>Unknown</t>
        </is>
      </c>
      <c r="AB36" s="60" t="inlineStr">
        <is>
          <t>Unknown</t>
        </is>
      </c>
      <c r="AC36" s="60" t="inlineStr">
        <is>
          <t>Sparse for business product</t>
        </is>
      </c>
      <c r="AD36" s="60" t="inlineStr">
        <is>
          <t>-</t>
        </is>
      </c>
      <c r="AE36" s="60" t="inlineStr">
        <is>
          <t>Online apply needs existing customer</t>
        </is>
      </c>
      <c r="AF36" s="60" t="inlineStr">
        <is>
          <t>No - commercial/SBA underwritten</t>
        </is>
      </c>
      <c r="AG36" s="60" t="inlineStr">
        <is>
          <t>SELF-ISSUED VERIFIED (agreement: 'Fifth Third Bank, N.A.'). Online limited to customers.</t>
        </is>
      </c>
      <c r="AH36" s="64" t="inlineStr">
        <is>
          <t>53.com/.../credit-card-solutions; business card agreement PDF</t>
        </is>
      </c>
    </row>
    <row r="37" ht="15.75" customHeight="1">
      <c r="A37" s="57" t="n"/>
      <c r="B37" s="59" t="inlineStr">
        <is>
          <t>B - Self-issued, in-person</t>
        </is>
      </c>
      <c r="C37" s="60" t="inlineStr">
        <is>
          <t>First Citizens Bank</t>
        </is>
      </c>
      <c r="D37" s="60" t="inlineStr">
        <is>
          <t>2/4 (missing: apply online, SoCal)</t>
        </is>
      </c>
      <c r="E37" s="69" t="inlineStr">
        <is>
          <t>Bank</t>
        </is>
      </c>
      <c r="F37" s="67" t="inlineStr">
        <is>
          <t>No</t>
        </is>
      </c>
      <c r="G37" s="60" t="inlineStr">
        <is>
          <t>Out-of-state (national)</t>
        </is>
      </c>
      <c r="H37" s="74" t="inlineStr">
        <is>
          <t>Partial CA presence (owns SVB, Santa Clara)</t>
        </is>
      </c>
      <c r="I37" s="63" t="inlineStr">
        <is>
          <t>$5k-$25k (est; self-issued community pattern)</t>
        </is>
      </c>
      <c r="J37" s="60" t="inlineStr">
        <is>
          <t>~$220B</t>
        </is>
      </c>
      <c r="K37" s="60" t="inlineStr">
        <is>
          <t>~$155B</t>
        </is>
      </c>
      <c r="L37" s="60" t="inlineStr">
        <is>
          <t>National (owns former SVB); ~500 branches</t>
        </is>
      </c>
      <c r="M37" s="60" t="n">
        <v>132</v>
      </c>
      <c r="N37" s="60" t="inlineStr">
        <is>
          <t>Raleigh</t>
        </is>
      </c>
      <c r="O37" s="60" t="inlineStr">
        <is>
          <t>Wake (NC)</t>
        </is>
      </c>
      <c r="P37" s="64" t="inlineStr">
        <is>
          <t>firstcitizens.com</t>
        </is>
      </c>
      <c r="Q37" s="65" t="inlineStr">
        <is>
          <t>Yes</t>
        </is>
      </c>
      <c r="R37" s="64" t="inlineStr">
        <is>
          <t>firstcitizens.com/small-business/credit-financing/credit-cards</t>
        </is>
      </c>
      <c r="S37" s="70" t="inlineStr">
        <is>
          <t>In-person</t>
        </is>
      </c>
      <c r="T37" s="60" t="inlineStr">
        <is>
          <t>Visit local branch</t>
        </is>
      </c>
      <c r="U37" s="65" t="inlineStr">
        <is>
          <t>Yes</t>
        </is>
      </c>
      <c r="V37" s="62" t="inlineStr">
        <is>
          <t>Self-issued (First-Citizens Bank &amp; Trust)</t>
        </is>
      </c>
      <c r="W37" s="57" t="inlineStr">
        <is>
          <t>Yes (revolving)</t>
        </is>
      </c>
      <c r="X37" s="66" t="inlineStr">
        <is>
          <t>Yes - 9 months (Cash Rewards)</t>
        </is>
      </c>
      <c r="Y37" s="60" t="inlineStr">
        <is>
          <t>Cash Rewards Business: 0% 9mo, go-to 15.49-24.49%, $0 AF, 5% utilities/wireless yr1. Also Rewards / Smart Option</t>
        </is>
      </c>
      <c r="Z37" s="60" t="inlineStr">
        <is>
          <t>Unknown</t>
        </is>
      </c>
      <c r="AA37" s="60" t="inlineStr">
        <is>
          <t>Unknown</t>
        </is>
      </c>
      <c r="AB37" s="60" t="inlineStr">
        <is>
          <t>Unknown</t>
        </is>
      </c>
      <c r="AC37" s="60" t="inlineStr">
        <is>
          <t>No reliable forum dataset</t>
        </is>
      </c>
      <c r="AD37" s="60" t="inlineStr">
        <is>
          <t>-</t>
        </is>
      </c>
      <c r="AE37" s="60" t="inlineStr">
        <is>
          <t>No online apply (branch)</t>
        </is>
      </c>
      <c r="AF37" s="60" t="inlineStr">
        <is>
          <t>No - SBA/commercial underwritten</t>
        </is>
      </c>
      <c r="AG37" s="60" t="inlineStr">
        <is>
          <t>SELF-ISSUED VERIFIED (First-Citizens Bank &amp; Trust). NO online apply (branch).</t>
        </is>
      </c>
      <c r="AH37" s="64" t="inlineStr">
        <is>
          <t>firstcitizens.com/.../cash-rewards</t>
        </is>
      </c>
    </row>
    <row r="38" ht="15.75" customHeight="1">
      <c r="A38" s="57" t="n"/>
      <c r="B38" s="59" t="inlineStr">
        <is>
          <t>B - Self-issued, in-person</t>
        </is>
      </c>
      <c r="C38" s="60" t="inlineStr">
        <is>
          <t>M&amp;T Bank</t>
        </is>
      </c>
      <c r="D38" s="60" t="inlineStr">
        <is>
          <t>2/4 (missing: apply online, SoCal)</t>
        </is>
      </c>
      <c r="E38" s="69" t="inlineStr">
        <is>
          <t>Bank</t>
        </is>
      </c>
      <c r="F38" s="67" t="inlineStr">
        <is>
          <t>No</t>
        </is>
      </c>
      <c r="G38" s="60" t="inlineStr">
        <is>
          <t>Out-of-state (national)</t>
        </is>
      </c>
      <c r="H38" s="82" t="inlineStr">
        <is>
          <t>NO CA branches - Northeast (NOT CA-accessible)</t>
        </is>
      </c>
      <c r="I38" s="63" t="inlineStr">
        <is>
          <t>$5k-$25k (est; self-issued community pattern)</t>
        </is>
      </c>
      <c r="J38" s="60" t="inlineStr">
        <is>
          <t>~$210B</t>
        </is>
      </c>
      <c r="K38" s="60" t="inlineStr">
        <is>
          <t>~$160B</t>
        </is>
      </c>
      <c r="L38" s="60" t="inlineStr">
        <is>
          <t>Northeast/Mid-Atlantic; ~1,000 branches</t>
        </is>
      </c>
      <c r="M38" s="60" t="n">
        <v>132</v>
      </c>
      <c r="N38" s="60" t="inlineStr">
        <is>
          <t>Buffalo</t>
        </is>
      </c>
      <c r="O38" s="60" t="inlineStr">
        <is>
          <t>Erie (NY)</t>
        </is>
      </c>
      <c r="P38" s="64" t="inlineStr">
        <is>
          <t>mtb.com</t>
        </is>
      </c>
      <c r="Q38" s="65" t="inlineStr">
        <is>
          <t>Yes</t>
        </is>
      </c>
      <c r="R38" s="64" t="inlineStr">
        <is>
          <t>mtb.com/business/business-financing/business-credit-card-options</t>
        </is>
      </c>
      <c r="S38" s="70" t="inlineStr">
        <is>
          <t>In-person</t>
        </is>
      </c>
      <c r="T38" s="60" t="inlineStr">
        <is>
          <t>Appointment/phone (866-236-1219); no online app</t>
        </is>
      </c>
      <c r="U38" s="65" t="inlineStr">
        <is>
          <t>Yes</t>
        </is>
      </c>
      <c r="V38" s="62" t="inlineStr">
        <is>
          <t>Self-issued (M&amp;T Bank)</t>
        </is>
      </c>
      <c r="W38" s="57" t="inlineStr">
        <is>
          <t>Yes (revolving)</t>
        </is>
      </c>
      <c r="X38" s="66" t="inlineStr">
        <is>
          <t>Yes - 9 cycles (Rewards) / 12 cycles (Business Card)</t>
        </is>
      </c>
      <c r="Y38" s="60" t="inlineStr">
        <is>
          <t>Business Rewards: 0% 9 cycles, 16.74-23.74%, $0 AF, 1.5 pts/$1. Business Card: 0% 12 cycles, 13.74-20.74%</t>
        </is>
      </c>
      <c r="Z38" s="60" t="inlineStr">
        <is>
          <t>Unknown</t>
        </is>
      </c>
      <c r="AA38" s="60" t="inlineStr">
        <is>
          <t>Unknown</t>
        </is>
      </c>
      <c r="AB38" s="60" t="inlineStr">
        <is>
          <t>Unknown</t>
        </is>
      </c>
      <c r="AC38" s="60" t="inlineStr">
        <is>
          <t>No reliable forum dataset</t>
        </is>
      </c>
      <c r="AD38" s="60" t="inlineStr">
        <is>
          <t>-</t>
        </is>
      </c>
      <c r="AE38" s="60" t="inlineStr">
        <is>
          <t>No online apply (appointment/phone)</t>
        </is>
      </c>
      <c r="AF38" s="60" t="inlineStr">
        <is>
          <t>No - commercial/SBA underwritten</t>
        </is>
      </c>
      <c r="AG38" s="60" t="inlineStr">
        <is>
          <t>SELF-ISSUED VERIFIED ('M&amp;T Bank...issuer and account creditor'). NO online apply.</t>
        </is>
      </c>
      <c r="AH38" s="64" t="inlineStr">
        <is>
          <t>mtb.com/business/.../m-and-t-business-rewards-credit-card</t>
        </is>
      </c>
    </row>
    <row r="39" ht="15.75" customHeight="1">
      <c r="A39" s="57" t="n"/>
      <c r="B39" s="58" t="inlineStr">
        <is>
          <t>A - Self-issued, apply online</t>
        </is>
      </c>
      <c r="C39" s="60" t="inlineStr">
        <is>
          <t>Truliant FCU</t>
        </is>
      </c>
      <c r="D39" s="60" t="inlineStr">
        <is>
          <t>2/4 (missing: apply online, SoCal)</t>
        </is>
      </c>
      <c r="E39" s="61" t="inlineStr">
        <is>
          <t>Credit Union</t>
        </is>
      </c>
      <c r="F39" s="67" t="inlineStr">
        <is>
          <t>No</t>
        </is>
      </c>
      <c r="G39" s="60" t="inlineStr">
        <is>
          <t>Out-of-state (national)</t>
        </is>
      </c>
      <c r="H39" s="62" t="inlineStr">
        <is>
          <t>CU - membership restricted (ACC limited to GA/NC/SC/TN/VA)</t>
        </is>
      </c>
      <c r="I39" s="63" t="inlineStr">
        <is>
          <t>Up to $50k (marketed)</t>
        </is>
      </c>
      <c r="J39" s="60" t="inlineStr">
        <is>
          <t>~$5.4B</t>
        </is>
      </c>
      <c r="K39" s="60" t="inlineStr">
        <is>
          <t>~$4.6B (shares)</t>
        </is>
      </c>
      <c r="L39" s="60" t="inlineStr">
        <is>
          <t>NC/SC/GA/TN/VA; ~$5.4B</t>
        </is>
      </c>
      <c r="M39" s="60" t="n">
        <v>132</v>
      </c>
      <c r="N39" s="60" t="inlineStr">
        <is>
          <t>Winston-Salem</t>
        </is>
      </c>
      <c r="O39" s="60" t="inlineStr">
        <is>
          <t>Forsyth (NC)</t>
        </is>
      </c>
      <c r="P39" s="64" t="inlineStr">
        <is>
          <t>truliantfcu.org</t>
        </is>
      </c>
      <c r="Q39" s="65" t="inlineStr">
        <is>
          <t>Yes</t>
        </is>
      </c>
      <c r="R39" s="64" t="inlineStr">
        <is>
          <t>truliantfcu.org/business/borrow/credit-cards</t>
        </is>
      </c>
      <c r="S39" s="66" t="inlineStr">
        <is>
          <t>Partial online</t>
        </is>
      </c>
      <c r="T39" s="60" t="inlineStr">
        <is>
          <t>Business contact form (not instant online)</t>
        </is>
      </c>
      <c r="U39" s="65" t="inlineStr">
        <is>
          <t>Yes</t>
        </is>
      </c>
      <c r="V39" s="62" t="inlineStr">
        <is>
          <t>Self-issued (Truliant FCU)</t>
        </is>
      </c>
      <c r="W39" s="57" t="inlineStr">
        <is>
          <t>Yes (revolving)</t>
        </is>
      </c>
      <c r="X39" s="66" t="inlineStr">
        <is>
          <t>Yes - 9 months 0% on purchases</t>
        </is>
      </c>
      <c r="Y39" s="60" t="inlineStr">
        <is>
          <t>MaxBack Business Visa: 0% 9mo then 15.99-17.99% var (18% cap), $0 AF, 1.5% cash back, $300 bonus, up to $50k</t>
        </is>
      </c>
      <c r="Z39" s="60" t="inlineStr">
        <is>
          <t>Unknown (agreement reports to bureaus)</t>
        </is>
      </c>
      <c r="AA39" s="60" t="inlineStr">
        <is>
          <t>Unknown</t>
        </is>
      </c>
      <c r="AB39" s="60" t="inlineStr">
        <is>
          <t>Unknown</t>
        </is>
      </c>
      <c r="AC39" s="60" t="inlineStr">
        <is>
          <t>Up to $50k marketed; PG; security interest in shares</t>
        </is>
      </c>
      <c r="AD39" s="60" t="inlineStr">
        <is>
          <t>-</t>
        </is>
      </c>
      <c r="AE39" s="60" t="inlineStr">
        <is>
          <t>Membership req (OPEN: American Consumer Council; GA/NC/SC/TN/VA)</t>
        </is>
      </c>
      <c r="AF39" s="60" t="inlineStr">
        <is>
          <t>Business lending separate</t>
        </is>
      </c>
      <c r="AG39" s="60" t="inlineStr">
        <is>
          <t>SELF-ISSUED VERIFIED (own filed agreement, NC law). 0% 9mo + 1.5% cash back. Strong national self-issuer.</t>
        </is>
      </c>
      <c r="AH39" s="64" t="inlineStr">
        <is>
          <t>truliantfcu.org/business/borrow/credit-cards; G-17928 Visa Business PDF</t>
        </is>
      </c>
    </row>
    <row r="40" ht="15.75" customHeight="1">
      <c r="A40" s="57" t="n"/>
      <c r="B40" s="58" t="inlineStr">
        <is>
          <t>A - Self-issued, apply online</t>
        </is>
      </c>
      <c r="C40" s="60" t="inlineStr">
        <is>
          <t>ESL FCU</t>
        </is>
      </c>
      <c r="D40" s="60" t="inlineStr">
        <is>
          <t>2/4 (missing: apply online, SoCal)</t>
        </is>
      </c>
      <c r="E40" s="61" t="inlineStr">
        <is>
          <t>Credit Union</t>
        </is>
      </c>
      <c r="F40" s="67" t="inlineStr">
        <is>
          <t>No</t>
        </is>
      </c>
      <c r="G40" s="60" t="inlineStr">
        <is>
          <t>Out-of-state (national)</t>
        </is>
      </c>
      <c r="H40" s="62" t="inlineStr">
        <is>
          <t>CU - joinable from CA (George Eastman Museum ~$55)</t>
        </is>
      </c>
      <c r="I40" s="63" t="inlineStr">
        <is>
          <t>$5k-$25k (est; self-issued community pattern)</t>
        </is>
      </c>
      <c r="J40" s="60" t="inlineStr">
        <is>
          <t>~$10.6B</t>
        </is>
      </c>
      <c r="K40" s="60" t="inlineStr">
        <is>
          <t>~$9B (shares)</t>
        </is>
      </c>
      <c r="L40" s="60" t="inlineStr">
        <is>
          <t>Rochester NY area; ~$10.6B</t>
        </is>
      </c>
      <c r="M40" s="60" t="n">
        <v>131</v>
      </c>
      <c r="N40" s="60" t="inlineStr">
        <is>
          <t>Rochester</t>
        </is>
      </c>
      <c r="O40" s="60" t="inlineStr">
        <is>
          <t>Monroe (NY)</t>
        </is>
      </c>
      <c r="P40" s="64" t="inlineStr">
        <is>
          <t>esl.org</t>
        </is>
      </c>
      <c r="Q40" s="65" t="inlineStr">
        <is>
          <t>Yes</t>
        </is>
      </c>
      <c r="R40" s="64" t="inlineStr">
        <is>
          <t>esl.org/business/small-business/credit-cards/visa-business-credit-card</t>
        </is>
      </c>
      <c r="S40" s="66" t="inlineStr">
        <is>
          <t>Partial online</t>
        </is>
      </c>
      <c r="T40" s="60" t="inlineStr">
        <is>
          <t>esl.org (online/branch; Rochester area)</t>
        </is>
      </c>
      <c r="U40" s="65" t="inlineStr">
        <is>
          <t>Yes</t>
        </is>
      </c>
      <c r="V40" s="62" t="inlineStr">
        <is>
          <t>Self-issued (ESL FCU)</t>
        </is>
      </c>
      <c r="W40" s="57" t="inlineStr">
        <is>
          <t>Yes (revolving)</t>
        </is>
      </c>
      <c r="X40" s="66" t="inlineStr">
        <is>
          <t>Low: 3.99% intro 6 cycles (not 0%)</t>
        </is>
      </c>
      <c r="Y40" s="60" t="inlineStr">
        <is>
          <t>Visa Business: 3.99% intro 6mo then Prime+6.74% var, $0 AF ($50 if Rewards), no CA/BT fee</t>
        </is>
      </c>
      <c r="Z40" s="60" t="inlineStr">
        <is>
          <t>Unknown</t>
        </is>
      </c>
      <c r="AA40" s="60" t="inlineStr">
        <is>
          <t>Unknown</t>
        </is>
      </c>
      <c r="AB40" s="60" t="inlineStr">
        <is>
          <t>Unknown</t>
        </is>
      </c>
      <c r="AC40" s="60" t="inlineStr">
        <is>
          <t>None found</t>
        </is>
      </c>
      <c r="AD40" s="60" t="inlineStr">
        <is>
          <t>-</t>
        </is>
      </c>
      <c r="AE40" s="60" t="inlineStr">
        <is>
          <t>Membership req (Rochester area; open via George Eastman Museum ~$55)</t>
        </is>
      </c>
      <c r="AF40" s="60" t="inlineStr">
        <is>
          <t>Business lending separate</t>
        </is>
      </c>
      <c r="AG40" s="60" t="inlineStr">
        <is>
          <t>SELF-ISSUED VERIFIED (agreement 'ESL FCU', NY law). Fiserv servicing only.</t>
        </is>
      </c>
      <c r="AH40" s="64" t="inlineStr">
        <is>
          <t>esl.org business_visa_terms_conditions.pdf</t>
        </is>
      </c>
    </row>
    <row r="41" ht="15.75" customHeight="1">
      <c r="A41" s="57" t="n"/>
      <c r="B41" s="59" t="inlineStr">
        <is>
          <t>B - Self-issued, in-person</t>
        </is>
      </c>
      <c r="C41" s="60" t="inlineStr">
        <is>
          <t>Avidbank</t>
        </is>
      </c>
      <c r="D41" s="60" t="inlineStr">
        <is>
          <t>2/4 (missing: apply online, SoCal)</t>
        </is>
      </c>
      <c r="E41" s="69" t="inlineStr">
        <is>
          <t>Bank</t>
        </is>
      </c>
      <c r="F41" s="67" t="inlineStr">
        <is>
          <t>No</t>
        </is>
      </c>
      <c r="G41" s="60" t="inlineStr">
        <is>
          <t>Other California</t>
        </is>
      </c>
      <c r="H41" s="62" t="inlineStr">
        <is>
          <t>CA-HQ (NorCal/Central CA)</t>
        </is>
      </c>
      <c r="I41" s="63" t="inlineStr">
        <is>
          <t>$5k-$25k (est; self-issued community pattern)</t>
        </is>
      </c>
      <c r="J41" s="60" t="inlineStr">
        <is>
          <t>$2.36B</t>
        </is>
      </c>
      <c r="K41" s="60" t="inlineStr">
        <is>
          <t>$2.06B</t>
        </is>
      </c>
      <c r="L41" s="60" t="inlineStr">
        <is>
          <t>Bay Area commercial/tech bank</t>
        </is>
      </c>
      <c r="M41" s="60" t="n">
        <v>130</v>
      </c>
      <c r="N41" s="60" t="inlineStr">
        <is>
          <t>San Jose</t>
        </is>
      </c>
      <c r="O41" s="60" t="inlineStr">
        <is>
          <t>Santa Clara</t>
        </is>
      </c>
      <c r="P41" s="64" t="inlineStr">
        <is>
          <t>avidbank.com</t>
        </is>
      </c>
      <c r="Q41" s="65" t="inlineStr">
        <is>
          <t>Yes</t>
        </is>
      </c>
      <c r="R41" s="64" t="inlineStr">
        <is>
          <t>avidbank.com/treasury-management</t>
        </is>
      </c>
      <c r="S41" s="70" t="inlineStr">
        <is>
          <t>In-person</t>
        </is>
      </c>
      <c r="T41" s="60" t="inlineStr">
        <is>
          <t>Treasury Mgmt / relationship officer (portal avidbank.myapexcard.com)</t>
        </is>
      </c>
      <c r="U41" s="65" t="inlineStr">
        <is>
          <t>Yes</t>
        </is>
      </c>
      <c r="V41" s="62" t="inlineStr">
        <is>
          <t>Self-issued (Avidbank, via CorServ Account-Issuer)</t>
        </is>
      </c>
      <c r="W41" s="57" t="inlineStr">
        <is>
          <t>Yes (revolving)</t>
        </is>
      </c>
      <c r="X41" s="67" t="inlineStr">
        <is>
          <t>Unknown</t>
        </is>
      </c>
      <c r="Y41" s="60" t="inlineStr">
        <is>
          <t>Corporate Credit Card + Purchasing Card (virtual/fleet, ERP, Level 2/3); terms not published</t>
        </is>
      </c>
      <c r="Z41" s="60" t="inlineStr">
        <is>
          <t>Unknown</t>
        </is>
      </c>
      <c r="AA41" s="60" t="inlineStr">
        <is>
          <t>Unknown</t>
        </is>
      </c>
      <c r="AB41" s="60" t="inlineStr">
        <is>
          <t>Unknown</t>
        </is>
      </c>
      <c r="AC41" s="60" t="inlineStr">
        <is>
          <t>None found</t>
        </is>
      </c>
      <c r="AD41" s="60" t="inlineStr">
        <is>
          <t>-</t>
        </is>
      </c>
      <c r="AE41" s="60" t="inlineStr">
        <is>
          <t>Yes (commercial relationship)</t>
        </is>
      </c>
      <c r="AF41" s="60" t="inlineStr">
        <is>
          <t>No - commercial underwritten</t>
        </is>
      </c>
      <c r="AG41" s="60" t="inlineStr">
        <is>
          <t>SELF-ISSUED INFERRED (CorServ Account-Issuer model: bank owns loans/credit decisions). 'Creditor' line not located. Commercial, no online app.</t>
        </is>
      </c>
      <c r="AH41" s="64" t="inlineStr">
        <is>
          <t>corservsolutions.com (Avidbank PR); avidbank.com/treasury-management</t>
        </is>
      </c>
    </row>
    <row r="42" ht="15.75" customHeight="1">
      <c r="A42" s="57" t="n"/>
      <c r="B42" s="59" t="inlineStr">
        <is>
          <t>B - Self-issued, in-person</t>
        </is>
      </c>
      <c r="C42" s="60" t="inlineStr">
        <is>
          <t>Beneficial State Bank</t>
        </is>
      </c>
      <c r="D42" s="60" t="inlineStr">
        <is>
          <t>2/4 (missing: apply online, SoCal)</t>
        </is>
      </c>
      <c r="E42" s="69" t="inlineStr">
        <is>
          <t>Bank</t>
        </is>
      </c>
      <c r="F42" s="67" t="inlineStr">
        <is>
          <t>No</t>
        </is>
      </c>
      <c r="G42" s="60" t="inlineStr">
        <is>
          <t>Other California</t>
        </is>
      </c>
      <c r="H42" s="62" t="inlineStr">
        <is>
          <t>CA-HQ (NorCal/Central CA)</t>
        </is>
      </c>
      <c r="I42" s="63" t="inlineStr">
        <is>
          <t>$5k-$25k (est; self-issued community pattern)</t>
        </is>
      </c>
      <c r="J42" s="60" t="inlineStr">
        <is>
          <t>$1.92B</t>
        </is>
      </c>
      <c r="K42" s="60" t="inlineStr">
        <is>
          <t>$1.64B</t>
        </is>
      </c>
      <c r="L42" s="60" t="inlineStr">
        <is>
          <t>Mission/CDFI bank; CA/OR/WA</t>
        </is>
      </c>
      <c r="M42" s="60" t="n">
        <v>130</v>
      </c>
      <c r="N42" s="60" t="inlineStr">
        <is>
          <t>Oakland</t>
        </is>
      </c>
      <c r="O42" s="60" t="inlineStr">
        <is>
          <t>Alameda</t>
        </is>
      </c>
      <c r="P42" s="64" t="inlineStr">
        <is>
          <t>beneficialstatebank.com</t>
        </is>
      </c>
      <c r="Q42" s="65" t="inlineStr">
        <is>
          <t>Yes</t>
        </is>
      </c>
      <c r="R42" s="64" t="inlineStr">
        <is>
          <t>beneficialstatebank.com/business-banking/credit-cards</t>
        </is>
      </c>
      <c r="S42" s="70" t="inlineStr">
        <is>
          <t>In-person</t>
        </is>
      </c>
      <c r="T42" s="60" t="inlineStr">
        <is>
          <t>Contact primary officer/client team (no online app)</t>
        </is>
      </c>
      <c r="U42" s="65" t="inlineStr">
        <is>
          <t>Yes</t>
        </is>
      </c>
      <c r="V42" s="62" t="inlineStr">
        <is>
          <t>Self-issued (Beneficial State Bank)</t>
        </is>
      </c>
      <c r="W42" s="57" t="inlineStr">
        <is>
          <t>Yes (revolving)</t>
        </is>
      </c>
      <c r="X42" s="67" t="inlineStr">
        <is>
          <t>Unknown (25-day grace)</t>
        </is>
      </c>
      <c r="Y42" s="60" t="inlineStr">
        <is>
          <t>Business cards (2); Prime-based variable; $0 AF (consumer line)</t>
        </is>
      </c>
      <c r="Z42" s="60" t="inlineStr">
        <is>
          <t>Unknown</t>
        </is>
      </c>
      <c r="AA42" s="60" t="inlineStr">
        <is>
          <t>Unknown</t>
        </is>
      </c>
      <c r="AB42" s="60" t="inlineStr">
        <is>
          <t>Unknown</t>
        </is>
      </c>
      <c r="AC42" s="60" t="inlineStr">
        <is>
          <t>None found</t>
        </is>
      </c>
      <c r="AD42" s="60" t="inlineStr">
        <is>
          <t>-</t>
        </is>
      </c>
      <c r="AE42" s="60" t="inlineStr">
        <is>
          <t>Officer-gated (business)</t>
        </is>
      </c>
      <c r="AF42" s="60" t="inlineStr">
        <is>
          <t>No - mission/commercial underwritten</t>
        </is>
      </c>
      <c r="AG42" s="60" t="inlineStr">
        <is>
          <t>SELF-ISSUED VERIFIED - Beneficial State Bank is issuer of record (CFPB CARD Act filing; not TCM/Elan). Business card officer-gated; CA/OR/WA only.</t>
        </is>
      </c>
      <c r="AH42" s="64" t="inlineStr">
        <is>
          <t>beneficialstatebank.com/business-banking/credit-cards</t>
        </is>
      </c>
    </row>
    <row r="43" ht="15.75" customHeight="1">
      <c r="A43" s="57" t="n"/>
      <c r="B43" s="59" t="inlineStr">
        <is>
          <t>B - Self-issued, in-person</t>
        </is>
      </c>
      <c r="C43" s="60" t="inlineStr">
        <is>
          <t>San Francisco Federal Credit Union</t>
        </is>
      </c>
      <c r="D43" s="60" t="inlineStr">
        <is>
          <t>2/4 (missing: apply online, SoCal)</t>
        </is>
      </c>
      <c r="E43" s="61" t="inlineStr">
        <is>
          <t>Credit Union</t>
        </is>
      </c>
      <c r="F43" s="67" t="inlineStr">
        <is>
          <t>No</t>
        </is>
      </c>
      <c r="G43" s="60" t="inlineStr">
        <is>
          <t>Other California</t>
        </is>
      </c>
      <c r="H43" s="62" t="inlineStr">
        <is>
          <t>CA-HQ (NorCal/Central CA)</t>
        </is>
      </c>
      <c r="I43" s="63" t="inlineStr">
        <is>
          <t>$5k-$25k (est; self-issued community pattern)</t>
        </is>
      </c>
      <c r="J43" s="60" t="inlineStr">
        <is>
          <t>~$1.3B</t>
        </is>
      </c>
      <c r="K43" s="60" t="inlineStr">
        <is>
          <t>~$1.1B (shares)</t>
        </is>
      </c>
      <c r="L43" s="60" t="inlineStr">
        <is>
          <t>SF + San Mateo counties; ~46k members</t>
        </is>
      </c>
      <c r="M43" s="60" t="n">
        <v>130</v>
      </c>
      <c r="N43" s="60" t="inlineStr">
        <is>
          <t>San Francisco</t>
        </is>
      </c>
      <c r="O43" s="60" t="inlineStr">
        <is>
          <t>San Francisco</t>
        </is>
      </c>
      <c r="P43" s="64" t="inlineStr">
        <is>
          <t>sanfranciscofcu.com</t>
        </is>
      </c>
      <c r="Q43" s="65" t="inlineStr">
        <is>
          <t>Yes</t>
        </is>
      </c>
      <c r="R43" s="64" t="inlineStr">
        <is>
          <t>sanfranciscofcu.com/business-credit-cards/</t>
        </is>
      </c>
      <c r="S43" s="70" t="inlineStr">
        <is>
          <t>In-person</t>
        </is>
      </c>
      <c r="T43" s="60" t="inlineStr">
        <is>
          <t>Call ext. 2966 / in-person</t>
        </is>
      </c>
      <c r="U43" s="65" t="inlineStr">
        <is>
          <t>Yes</t>
        </is>
      </c>
      <c r="V43" s="62" t="inlineStr">
        <is>
          <t>Self-issued (SF FCU)</t>
        </is>
      </c>
      <c r="W43" s="57" t="inlineStr">
        <is>
          <t>Yes (revolving)</t>
        </is>
      </c>
      <c r="X43" s="67" t="inlineStr">
        <is>
          <t>No (BT fee waived first 60 days)</t>
        </is>
      </c>
      <c r="Y43" s="60" t="inlineStr">
        <is>
          <t>Business Visa Platinum Rewards: 6.70-17.99% var (eff 1/1/26), $0 AF, 1% rewards (to Share acct, $500/yr cap), no FX</t>
        </is>
      </c>
      <c r="Z43" s="60" t="inlineStr">
        <is>
          <t>Unknown</t>
        </is>
      </c>
      <c r="AA43" s="60" t="inlineStr">
        <is>
          <t>Unknown</t>
        </is>
      </c>
      <c r="AB43" s="60" t="inlineStr">
        <is>
          <t>Unknown</t>
        </is>
      </c>
      <c r="AC43" s="60" t="inlineStr">
        <is>
          <t>None found</t>
        </is>
      </c>
      <c r="AD43" s="60" t="inlineStr">
        <is>
          <t>-</t>
        </is>
      </c>
      <c r="AE43" s="60" t="inlineStr">
        <is>
          <t>Membership req (SF + San Mateo counties)</t>
        </is>
      </c>
      <c r="AF43" s="60" t="inlineStr">
        <is>
          <t>Business lending separate</t>
        </is>
      </c>
      <c r="AG43" s="60" t="inlineStr">
        <is>
          <t>SELF-ISSUED VERIFIED (own terms; rewards auto-deposit to Share account, not Elan). Phone/in-person apply.</t>
        </is>
      </c>
      <c r="AH43" s="64" t="inlineStr">
        <is>
          <t>sanfranciscofcu.com/business-credit-cards/</t>
        </is>
      </c>
    </row>
    <row r="44" ht="15.75" customHeight="1">
      <c r="A44" s="57" t="n"/>
      <c r="B44" s="59" t="inlineStr">
        <is>
          <t>B - Self-issued, in-person</t>
        </is>
      </c>
      <c r="C44" s="60" t="inlineStr">
        <is>
          <t>KeyBank</t>
        </is>
      </c>
      <c r="D44" s="60" t="inlineStr">
        <is>
          <t>2/4 (missing: apply online, SoCal)</t>
        </is>
      </c>
      <c r="E44" s="69" t="inlineStr">
        <is>
          <t>Bank</t>
        </is>
      </c>
      <c r="F44" s="67" t="inlineStr">
        <is>
          <t>No</t>
        </is>
      </c>
      <c r="G44" s="60" t="inlineStr">
        <is>
          <t>Out-of-state (national)</t>
        </is>
      </c>
      <c r="H44" s="82" t="inlineStr">
        <is>
          <t>NO CA branches (NOT CA-accessible)</t>
        </is>
      </c>
      <c r="I44" s="63" t="inlineStr">
        <is>
          <t>$5k-$25k (est; self-issued community pattern)</t>
        </is>
      </c>
      <c r="J44" s="60" t="inlineStr">
        <is>
          <t>~$190B</t>
        </is>
      </c>
      <c r="K44" s="60" t="inlineStr">
        <is>
          <t>~$150B</t>
        </is>
      </c>
      <c r="L44" s="60" t="inlineStr">
        <is>
          <t>National; ~1,000 branches (15 states)</t>
        </is>
      </c>
      <c r="M44" s="60" t="n">
        <v>129</v>
      </c>
      <c r="N44" s="60" t="inlineStr">
        <is>
          <t>Cleveland</t>
        </is>
      </c>
      <c r="O44" s="60" t="inlineStr">
        <is>
          <t>Cuyahoga (OH)</t>
        </is>
      </c>
      <c r="P44" s="64" t="inlineStr">
        <is>
          <t>key.com</t>
        </is>
      </c>
      <c r="Q44" s="65" t="inlineStr">
        <is>
          <t>Yes</t>
        </is>
      </c>
      <c r="R44" s="64" t="inlineStr">
        <is>
          <t>key.com/small-business/banking/credit-cards</t>
        </is>
      </c>
      <c r="S44" s="70" t="inlineStr">
        <is>
          <t>In-person</t>
        </is>
      </c>
      <c r="T44" s="60" t="inlineStr">
        <is>
          <t>Call or visit branch / schedule appointment</t>
        </is>
      </c>
      <c r="U44" s="65" t="inlineStr">
        <is>
          <t>Yes</t>
        </is>
      </c>
      <c r="V44" s="62" t="inlineStr">
        <is>
          <t>Self-issued (KeyBank N.A.)</t>
        </is>
      </c>
      <c r="W44" s="57" t="inlineStr">
        <is>
          <t>Yes (revolving)</t>
        </is>
      </c>
      <c r="X44" s="67" t="inlineStr">
        <is>
          <t>Intro BT within 60 days; no purchase 0% noted</t>
        </is>
      </c>
      <c r="Y44" s="60" t="inlineStr">
        <is>
          <t>Business Cash Rewards / Business Rewards / Business Card (MC); APR 17.49-27.49% var</t>
        </is>
      </c>
      <c r="Z44" s="60" t="inlineStr">
        <is>
          <t>Unknown (not named)</t>
        </is>
      </c>
      <c r="AA44" s="60" t="inlineStr">
        <is>
          <t>Unknown</t>
        </is>
      </c>
      <c r="AB44" s="60" t="inlineStr">
        <is>
          <t>No - 'we do not report to personal bureaus' (VERIFIED)</t>
        </is>
      </c>
      <c r="AC44" s="60" t="inlineStr">
        <is>
          <t>Thin business forum data</t>
        </is>
      </c>
      <c r="AD44" s="60" t="inlineStr">
        <is>
          <t>-</t>
        </is>
      </c>
      <c r="AE44" s="60" t="inlineStr">
        <is>
          <t>No card online apply (branch/phone)</t>
        </is>
      </c>
      <c r="AF44" s="60" t="inlineStr">
        <is>
          <t>No - commercial/SBA underwritten</t>
        </is>
      </c>
      <c r="AG44" s="60" t="inlineStr">
        <is>
          <t>SELF-ISSUED VERIFIED ('creditor and issuer is KeyBank N.A.'). NO online apply.</t>
        </is>
      </c>
      <c r="AH44" s="64" t="inlineStr">
        <is>
          <t>key.com/.../business-credit-card-faq.html</t>
        </is>
      </c>
    </row>
    <row r="45" ht="15.75" customHeight="1">
      <c r="A45" s="57" t="n"/>
      <c r="B45" s="58" t="inlineStr">
        <is>
          <t>A - Self-issued, apply online</t>
        </is>
      </c>
      <c r="C45" s="60" t="inlineStr">
        <is>
          <t>Mountain America Credit Union</t>
        </is>
      </c>
      <c r="D45" s="60" t="inlineStr">
        <is>
          <t>2/4 (missing: apply online, SoCal)</t>
        </is>
      </c>
      <c r="E45" s="61" t="inlineStr">
        <is>
          <t>Credit Union</t>
        </is>
      </c>
      <c r="F45" s="67" t="inlineStr">
        <is>
          <t>No</t>
        </is>
      </c>
      <c r="G45" s="60" t="inlineStr">
        <is>
          <t>Out-of-state (national)</t>
        </is>
      </c>
      <c r="H45" s="62" t="inlineStr">
        <is>
          <t>CU - joinable from CA (American Consumer Council $5)</t>
        </is>
      </c>
      <c r="I45" s="63" t="inlineStr">
        <is>
          <t>$5k-$25k (est; self-issued community pattern)</t>
        </is>
      </c>
      <c r="J45" s="60" t="inlineStr">
        <is>
          <t>~$22.6B</t>
        </is>
      </c>
      <c r="K45" s="60" t="inlineStr">
        <is>
          <t>~$19B (shares)</t>
        </is>
      </c>
      <c r="L45" s="60" t="inlineStr">
        <is>
          <t>UT/ID/AZ/NV/NM/MT +; ~$22.6B</t>
        </is>
      </c>
      <c r="M45" s="60" t="n">
        <v>129</v>
      </c>
      <c r="N45" s="60" t="inlineStr">
        <is>
          <t>Sandy</t>
        </is>
      </c>
      <c r="O45" s="60" t="inlineStr">
        <is>
          <t>Salt Lake (UT)</t>
        </is>
      </c>
      <c r="P45" s="64" t="inlineStr">
        <is>
          <t>macu.com</t>
        </is>
      </c>
      <c r="Q45" s="65" t="inlineStr">
        <is>
          <t>Yes</t>
        </is>
      </c>
      <c r="R45" s="64" t="inlineStr">
        <is>
          <t>macu.com/business/visa-cards</t>
        </is>
      </c>
      <c r="S45" s="66" t="inlineStr">
        <is>
          <t>Partial online</t>
        </is>
      </c>
      <c r="T45" s="60" t="inlineStr">
        <is>
          <t>macu.com (online/branch)</t>
        </is>
      </c>
      <c r="U45" s="65" t="inlineStr">
        <is>
          <t>Yes</t>
        </is>
      </c>
      <c r="V45" s="62" t="inlineStr">
        <is>
          <t>Self-issued (Mountain America FCU)</t>
        </is>
      </c>
      <c r="W45" s="57" t="inlineStr">
        <is>
          <t>Yes (revolving)</t>
        </is>
      </c>
      <c r="X45" s="67" t="inlineStr">
        <is>
          <t>No</t>
        </is>
      </c>
      <c r="Y45" s="60" t="inlineStr">
        <is>
          <t>Business Visa Platinum 13.25% / Rewards 15.25% var, $0 AF, no BT/over-limit fee, 25-day grace</t>
        </is>
      </c>
      <c r="Z45" s="60" t="inlineStr">
        <is>
          <t>Unknown</t>
        </is>
      </c>
      <c r="AA45" s="60" t="inlineStr">
        <is>
          <t>Unknown</t>
        </is>
      </c>
      <c r="AB45" s="60" t="inlineStr">
        <is>
          <t>Unknown</t>
        </is>
      </c>
      <c r="AC45" s="60" t="inlineStr">
        <is>
          <t>None found</t>
        </is>
      </c>
      <c r="AD45" s="60" t="inlineStr">
        <is>
          <t>-</t>
        </is>
      </c>
      <c r="AE45" s="60" t="inlineStr">
        <is>
          <t>Membership req (SEG/assoc + family; $1 savings)</t>
        </is>
      </c>
      <c r="AF45" s="60" t="inlineStr">
        <is>
          <t>Business lending separate</t>
        </is>
      </c>
      <c r="AG45" s="60" t="inlineStr">
        <is>
          <t>SELF-ISSUED VERIFIED (agreement: 'Mountain America FCU').</t>
        </is>
      </c>
      <c r="AH45" s="64" t="inlineStr">
        <is>
          <t>macu.com/media/pdf/business-visa-disclosure.pdf</t>
        </is>
      </c>
    </row>
    <row r="46" ht="15.75" customHeight="1">
      <c r="A46" s="57" t="n"/>
      <c r="B46" s="58" t="inlineStr">
        <is>
          <t>A - Self-issued, apply online</t>
        </is>
      </c>
      <c r="C46" s="60" t="inlineStr">
        <is>
          <t>Security Service FCU</t>
        </is>
      </c>
      <c r="D46" s="60" t="inlineStr">
        <is>
          <t>2/4 (missing: apply online, SoCal)</t>
        </is>
      </c>
      <c r="E46" s="61" t="inlineStr">
        <is>
          <t>Credit Union</t>
        </is>
      </c>
      <c r="F46" s="67" t="inlineStr">
        <is>
          <t>No</t>
        </is>
      </c>
      <c r="G46" s="60" t="inlineStr">
        <is>
          <t>Out-of-state (national)</t>
        </is>
      </c>
      <c r="H46" s="74" t="inlineStr">
        <is>
          <t>CU - partial (military, or TX/CO/UT councils)</t>
        </is>
      </c>
      <c r="I46" s="63" t="inlineStr">
        <is>
          <t>$5k-$25k (est; self-issued community pattern)</t>
        </is>
      </c>
      <c r="J46" s="60" t="inlineStr">
        <is>
          <t>~$13.6B</t>
        </is>
      </c>
      <c r="K46" s="60" t="inlineStr">
        <is>
          <t>~$11B (shares)</t>
        </is>
      </c>
      <c r="L46" s="60" t="inlineStr">
        <is>
          <t>TX/CO/UT + military nationwide; ~$13.6B</t>
        </is>
      </c>
      <c r="M46" s="60" t="n">
        <v>129</v>
      </c>
      <c r="N46" s="60" t="inlineStr">
        <is>
          <t>San Antonio</t>
        </is>
      </c>
      <c r="O46" s="60" t="inlineStr">
        <is>
          <t>Bexar (TX)</t>
        </is>
      </c>
      <c r="P46" s="64" t="inlineStr">
        <is>
          <t>ssfcu.org</t>
        </is>
      </c>
      <c r="Q46" s="65" t="inlineStr">
        <is>
          <t>Yes</t>
        </is>
      </c>
      <c r="R46" s="64" t="inlineStr">
        <is>
          <t>ssfcu.org/business/credit-cards</t>
        </is>
      </c>
      <c r="S46" s="66" t="inlineStr">
        <is>
          <t>Partial online</t>
        </is>
      </c>
      <c r="T46" s="60" t="inlineStr">
        <is>
          <t>ssfcu.org (apply by product)</t>
        </is>
      </c>
      <c r="U46" s="65" t="inlineStr">
        <is>
          <t>Yes</t>
        </is>
      </c>
      <c r="V46" s="62" t="inlineStr">
        <is>
          <t>Self-issued (SSFCU)</t>
        </is>
      </c>
      <c r="W46" s="57" t="inlineStr">
        <is>
          <t>Yes (revolving)</t>
        </is>
      </c>
      <c r="X46" s="67" t="inlineStr">
        <is>
          <t>Unknown</t>
        </is>
      </c>
      <c r="Y46" s="60" t="inlineStr">
        <is>
          <t>Power Business Cash Back / Travel Rewards / Low-Interest MC: 3% travel/gas/dining (cash back), $50 bonus</t>
        </is>
      </c>
      <c r="Z46" s="60" t="inlineStr">
        <is>
          <t>Unknown</t>
        </is>
      </c>
      <c r="AA46" s="60" t="inlineStr">
        <is>
          <t>Unknown</t>
        </is>
      </c>
      <c r="AB46" s="60" t="inlineStr">
        <is>
          <t>Unknown</t>
        </is>
      </c>
      <c r="AC46" s="60" t="inlineStr">
        <is>
          <t>None found</t>
        </is>
      </c>
      <c r="AD46" s="60" t="inlineStr">
        <is>
          <t>-</t>
        </is>
      </c>
      <c r="AE46" s="60" t="inlineStr">
        <is>
          <t>Membership req (2,600+ ways; military nationwide)</t>
        </is>
      </c>
      <c r="AF46" s="60" t="inlineStr">
        <is>
          <t>Business lending separate</t>
        </is>
      </c>
      <c r="AG46" s="60" t="inlineStr">
        <is>
          <t>SELF-ISSUED VERIFIED (Power Business MC in SSFCU agreement).</t>
        </is>
      </c>
      <c r="AH46" s="64" t="inlineStr">
        <is>
          <t>ssfcu.org/-/media/files/business-disclosures/businessrewardstc.pdf</t>
        </is>
      </c>
    </row>
    <row r="47" ht="15.75" customHeight="1">
      <c r="A47" s="57" t="n"/>
      <c r="B47" s="58" t="inlineStr">
        <is>
          <t>A - Self-issued, apply online</t>
        </is>
      </c>
      <c r="C47" s="60" t="inlineStr">
        <is>
          <t>Digital FCU (DCU)</t>
        </is>
      </c>
      <c r="D47" s="60" t="inlineStr">
        <is>
          <t>2/4 (missing: apply online, SoCal)</t>
        </is>
      </c>
      <c r="E47" s="61" t="inlineStr">
        <is>
          <t>Credit Union</t>
        </is>
      </c>
      <c r="F47" s="67" t="inlineStr">
        <is>
          <t>No</t>
        </is>
      </c>
      <c r="G47" s="60" t="inlineStr">
        <is>
          <t>Out-of-state (national)</t>
        </is>
      </c>
      <c r="H47" s="62" t="inlineStr">
        <is>
          <t>CU - joinable from CA (participating org)</t>
        </is>
      </c>
      <c r="I47" s="63" t="inlineStr">
        <is>
          <t>$10k-$25k (consumer myFICO; biz unconfirmed)</t>
        </is>
      </c>
      <c r="J47" s="60" t="inlineStr">
        <is>
          <t>~$12.9B</t>
        </is>
      </c>
      <c r="K47" s="60" t="inlineStr">
        <is>
          <t>~$11B (shares)</t>
        </is>
      </c>
      <c r="L47" s="60" t="inlineStr">
        <is>
          <t>MA + many SEGs; ~$12.9B; now division of First Tech</t>
        </is>
      </c>
      <c r="M47" s="60" t="n">
        <v>129</v>
      </c>
      <c r="N47" s="60" t="inlineStr">
        <is>
          <t>Marlborough</t>
        </is>
      </c>
      <c r="O47" s="60" t="inlineStr">
        <is>
          <t>Middlesex (MA)</t>
        </is>
      </c>
      <c r="P47" s="64" t="inlineStr">
        <is>
          <t>dcu.org</t>
        </is>
      </c>
      <c r="Q47" s="65" t="inlineStr">
        <is>
          <t>Yes</t>
        </is>
      </c>
      <c r="R47" s="64" t="inlineStr">
        <is>
          <t>dcu.org/borrow/commercial-lending/small-business/business-visa.html</t>
        </is>
      </c>
      <c r="S47" s="66" t="inlineStr">
        <is>
          <t>Partial online</t>
        </is>
      </c>
      <c r="T47" s="60" t="inlineStr">
        <is>
          <t>dcu.org commercial lending (branch/online)</t>
        </is>
      </c>
      <c r="U47" s="65" t="inlineStr">
        <is>
          <t>Yes</t>
        </is>
      </c>
      <c r="V47" s="62" t="inlineStr">
        <is>
          <t>Self-issued (DCU, division of First Tech FCU)</t>
        </is>
      </c>
      <c r="W47" s="57" t="inlineStr">
        <is>
          <t>Yes (revolving)</t>
        </is>
      </c>
      <c r="X47" s="67" t="inlineStr">
        <is>
          <t>No (min APR 9.99%)</t>
        </is>
      </c>
      <c r="Y47" s="60" t="inlineStr">
        <is>
          <t>Business Visa Platinum/Plus: variable, min APR 9.99%, PG required, ~25-day grace, no cash-adv fee</t>
        </is>
      </c>
      <c r="Z47" s="60" t="inlineStr">
        <is>
          <t>Unknown (business + personal bureaus per agreement)</t>
        </is>
      </c>
      <c r="AA47" s="60" t="inlineStr">
        <is>
          <t>Business + personal bureaus (agreement)</t>
        </is>
      </c>
      <c r="AB47" s="60" t="inlineStr">
        <is>
          <t>Yes (agreement authorizes personal bureau)</t>
        </is>
      </c>
      <c r="AC47" s="60" t="inlineStr">
        <is>
          <t>Consumer Platinum $10k-$25k (myFICO); biz unconfirmed</t>
        </is>
      </c>
      <c r="AD47" s="64" t="inlineStr">
        <is>
          <t>myFICO</t>
        </is>
      </c>
      <c r="AE47" s="60" t="inlineStr">
        <is>
          <t>Membership req (many SEGs/associations; easy paths)</t>
        </is>
      </c>
      <c r="AF47" s="60" t="inlineStr">
        <is>
          <t>Business lending separate</t>
        </is>
      </c>
      <c r="AG47" s="60" t="inlineStr">
        <is>
          <t>SELF-ISSUED VERIFIED (agreement: 'Digital FCU, a division of First Technology FCU').</t>
        </is>
      </c>
      <c r="AH47" s="64" t="inlineStr">
        <is>
          <t>dcu.org/.../business-visa.html PDF</t>
        </is>
      </c>
    </row>
    <row r="48" ht="15.75" customHeight="1">
      <c r="A48" s="57" t="n"/>
      <c r="B48" s="58" t="inlineStr">
        <is>
          <t>A - Self-issued, apply online</t>
        </is>
      </c>
      <c r="C48" s="60" t="inlineStr">
        <is>
          <t>GreenState Credit Union</t>
        </is>
      </c>
      <c r="D48" s="60" t="inlineStr">
        <is>
          <t>2/4 (missing: apply online, SoCal)</t>
        </is>
      </c>
      <c r="E48" s="61" t="inlineStr">
        <is>
          <t>Credit Union</t>
        </is>
      </c>
      <c r="F48" s="67" t="inlineStr">
        <is>
          <t>No</t>
        </is>
      </c>
      <c r="G48" s="60" t="inlineStr">
        <is>
          <t>Out-of-state (national)</t>
        </is>
      </c>
      <c r="H48" s="82" t="inlineStr">
        <is>
          <t>CU - joinable BUT card geofenced out of CA (not card-accessible)</t>
        </is>
      </c>
      <c r="I48" s="63" t="inlineStr">
        <is>
          <t>$5k-$25k (est; self-issued community pattern)</t>
        </is>
      </c>
      <c r="J48" s="60" t="inlineStr">
        <is>
          <t>~$10.84B</t>
        </is>
      </c>
      <c r="K48" s="60" t="inlineStr">
        <is>
          <t>~$9B (shares)</t>
        </is>
      </c>
      <c r="L48" s="60" t="inlineStr">
        <is>
          <t>Iowa + IL; ~$10.84B</t>
        </is>
      </c>
      <c r="M48" s="60" t="n">
        <v>129</v>
      </c>
      <c r="N48" s="60" t="inlineStr">
        <is>
          <t>North Liberty</t>
        </is>
      </c>
      <c r="O48" s="60" t="inlineStr">
        <is>
          <t>Johnson (IA)</t>
        </is>
      </c>
      <c r="P48" s="64" t="inlineStr">
        <is>
          <t>greenstate.org</t>
        </is>
      </c>
      <c r="Q48" s="65" t="inlineStr">
        <is>
          <t>Yes</t>
        </is>
      </c>
      <c r="R48" s="64" t="inlineStr">
        <is>
          <t>greenstate.org/bank/business-accounts/business-checking.html</t>
        </is>
      </c>
      <c r="S48" s="66" t="inlineStr">
        <is>
          <t>Partial online</t>
        </is>
      </c>
      <c r="T48" s="60" t="inlineStr">
        <is>
          <t>greenstate.org business accounts</t>
        </is>
      </c>
      <c r="U48" s="65" t="inlineStr">
        <is>
          <t>Yes</t>
        </is>
      </c>
      <c r="V48" s="62" t="inlineStr">
        <is>
          <t>Self-issued (GreenState) - INFERRED</t>
        </is>
      </c>
      <c r="W48" s="57" t="inlineStr">
        <is>
          <t>Yes (revolving)</t>
        </is>
      </c>
      <c r="X48" s="67" t="inlineStr">
        <is>
          <t>Unknown</t>
        </is>
      </c>
      <c r="Y48" s="60" t="inlineStr">
        <is>
          <t>Business rewards Mastercard (cash back to savings); Mastercard Easy Savings rebates</t>
        </is>
      </c>
      <c r="Z48" s="60" t="inlineStr">
        <is>
          <t>Unknown</t>
        </is>
      </c>
      <c r="AA48" s="60" t="inlineStr">
        <is>
          <t>Unknown</t>
        </is>
      </c>
      <c r="AB48" s="60" t="inlineStr">
        <is>
          <t>Unknown</t>
        </is>
      </c>
      <c r="AC48" s="60" t="inlineStr">
        <is>
          <t>None found (biz-specific terms not published)</t>
        </is>
      </c>
      <c r="AD48" s="60" t="inlineStr">
        <is>
          <t>-</t>
        </is>
      </c>
      <c r="AE48" s="60" t="inlineStr">
        <is>
          <t>Membership req (OPEN: American Consumer Council $5; $5 savings)</t>
        </is>
      </c>
      <c r="AF48" s="60" t="inlineStr">
        <is>
          <t>Business lending separate</t>
        </is>
      </c>
      <c r="AG48" s="60" t="inlineStr">
        <is>
          <t>SELF-ISSUED INFERRED (own agreements, Iowa law, no Elan; biz-card terms not published).</t>
        </is>
      </c>
      <c r="AH48" s="64" t="inlineStr">
        <is>
          <t>greenstate.org; Cardholder-Agreement PDF</t>
        </is>
      </c>
    </row>
    <row r="49" ht="15.75" customHeight="1">
      <c r="A49" s="57" t="n"/>
      <c r="B49" s="59" t="inlineStr">
        <is>
          <t>B - Self-issued, in-person</t>
        </is>
      </c>
      <c r="C49" s="60" t="inlineStr">
        <is>
          <t>VyStar Credit Union</t>
        </is>
      </c>
      <c r="D49" s="60" t="inlineStr">
        <is>
          <t>2/4 (missing: apply online, SoCal)</t>
        </is>
      </c>
      <c r="E49" s="61" t="inlineStr">
        <is>
          <t>Credit Union</t>
        </is>
      </c>
      <c r="F49" s="67" t="inlineStr">
        <is>
          <t>No</t>
        </is>
      </c>
      <c r="G49" s="60" t="inlineStr">
        <is>
          <t>Out-of-state (national)</t>
        </is>
      </c>
      <c r="H49" s="82" t="inlineStr">
        <is>
          <t>CU - membership restricted (FL/GA; CA cannot join)</t>
        </is>
      </c>
      <c r="I49" s="63" t="inlineStr">
        <is>
          <t>Up to $50k (published)</t>
        </is>
      </c>
      <c r="J49" s="60" t="inlineStr">
        <is>
          <t>~$14.7B</t>
        </is>
      </c>
      <c r="K49" s="60" t="inlineStr">
        <is>
          <t>~$12B (shares)</t>
        </is>
      </c>
      <c r="L49" s="60" t="inlineStr">
        <is>
          <t>49 FL + 4 GA counties; ~$14.7B</t>
        </is>
      </c>
      <c r="M49" s="60" t="n">
        <v>120</v>
      </c>
      <c r="N49" s="60" t="inlineStr">
        <is>
          <t>Jacksonville</t>
        </is>
      </c>
      <c r="O49" s="60" t="inlineStr">
        <is>
          <t>Duval (FL)</t>
        </is>
      </c>
      <c r="P49" s="64" t="inlineStr">
        <is>
          <t>vystarcu.org</t>
        </is>
      </c>
      <c r="Q49" s="65" t="inlineStr">
        <is>
          <t>Yes</t>
        </is>
      </c>
      <c r="R49" s="64" t="inlineStr">
        <is>
          <t>vystarcu.org/business/borrow/business-credit-cards</t>
        </is>
      </c>
      <c r="S49" s="70" t="inlineStr">
        <is>
          <t>In-person</t>
        </is>
      </c>
      <c r="T49" s="60" t="inlineStr">
        <is>
          <t>Branch appointment / 904-474-6542 (no online app)</t>
        </is>
      </c>
      <c r="U49" s="65" t="inlineStr">
        <is>
          <t>Yes</t>
        </is>
      </c>
      <c r="V49" s="62" t="inlineStr">
        <is>
          <t>Self-issued (VyStar) - INFERRED</t>
        </is>
      </c>
      <c r="W49" s="57" t="inlineStr">
        <is>
          <t>Yes (revolving)</t>
        </is>
      </c>
      <c r="X49" s="67" t="inlineStr">
        <is>
          <t>No</t>
        </is>
      </c>
      <c r="Y49" s="60" t="inlineStr">
        <is>
          <t>Business Platinum Rewards Visa: 1.5 pts/$1, $500 bonus, $0 AF, no FX, limits up to $50k</t>
        </is>
      </c>
      <c r="Z49" s="60" t="inlineStr">
        <is>
          <t>Unknown</t>
        </is>
      </c>
      <c r="AA49" s="60" t="inlineStr">
        <is>
          <t>Unknown</t>
        </is>
      </c>
      <c r="AB49" s="60" t="inlineStr">
        <is>
          <t>Unknown</t>
        </is>
      </c>
      <c r="AC49" s="60" t="inlineStr">
        <is>
          <t>Up to $50k; PG required; biz 1yr+ (nonprofit 3yr)</t>
        </is>
      </c>
      <c r="AD49" s="60" t="inlineStr">
        <is>
          <t>-</t>
        </is>
      </c>
      <c r="AE49" s="60" t="inlineStr">
        <is>
          <t>Membership req (FL/GA counties; $5 savings)</t>
        </is>
      </c>
      <c r="AF49" s="60" t="inlineStr">
        <is>
          <t>Business lending separate</t>
        </is>
      </c>
      <c r="AG49" s="60" t="inlineStr">
        <is>
          <t>SELF-ISSUED INFERRED (own disclosures, no Elan). In-person apply. Up to $50k.</t>
        </is>
      </c>
      <c r="AH49" s="64" t="inlineStr">
        <is>
          <t>vystarcu.org/business/borrow/business-credit-cards</t>
        </is>
      </c>
    </row>
    <row r="50" ht="15.75" customHeight="1">
      <c r="A50" s="57" t="n"/>
      <c r="B50" s="59" t="inlineStr">
        <is>
          <t>B - Self-issued, in-person</t>
        </is>
      </c>
      <c r="C50" s="60" t="inlineStr">
        <is>
          <t>Bethpage FCU (FourLeaf)</t>
        </is>
      </c>
      <c r="D50" s="60" t="inlineStr">
        <is>
          <t>2/4 (missing: apply online, SoCal)</t>
        </is>
      </c>
      <c r="E50" s="61" t="inlineStr">
        <is>
          <t>Credit Union</t>
        </is>
      </c>
      <c r="F50" s="67" t="inlineStr">
        <is>
          <t>No</t>
        </is>
      </c>
      <c r="G50" s="60" t="inlineStr">
        <is>
          <t>Out-of-state (national)</t>
        </is>
      </c>
      <c r="H50" s="62" t="inlineStr">
        <is>
          <t>CU - joinable from CA (open U.S. charter, $5)</t>
        </is>
      </c>
      <c r="I50" s="63" t="inlineStr">
        <is>
          <t>~$35k soft-pull datapoint (consumer; myFICO)</t>
        </is>
      </c>
      <c r="J50" s="60" t="inlineStr">
        <is>
          <t>~$14.2B</t>
        </is>
      </c>
      <c r="K50" s="60" t="inlineStr">
        <is>
          <t>~$12B (shares)</t>
        </is>
      </c>
      <c r="L50" s="60" t="inlineStr">
        <is>
          <t>NY (open U.S. charter); ~$14.2B</t>
        </is>
      </c>
      <c r="M50" s="60" t="n">
        <v>120</v>
      </c>
      <c r="N50" s="60" t="inlineStr">
        <is>
          <t>Bethpage</t>
        </is>
      </c>
      <c r="O50" s="60" t="inlineStr">
        <is>
          <t>Nassau (NY)</t>
        </is>
      </c>
      <c r="P50" s="64" t="inlineStr">
        <is>
          <t>fourleaffcu.com</t>
        </is>
      </c>
      <c r="Q50" s="65" t="inlineStr">
        <is>
          <t>Yes</t>
        </is>
      </c>
      <c r="R50" s="64" t="inlineStr">
        <is>
          <t>fourleaffcu.com/business/credit-cards/</t>
        </is>
      </c>
      <c r="S50" s="70" t="inlineStr">
        <is>
          <t>In-person</t>
        </is>
      </c>
      <c r="T50" s="60" t="inlineStr">
        <is>
          <t>In-branch / phone 800-628-7070</t>
        </is>
      </c>
      <c r="U50" s="65" t="inlineStr">
        <is>
          <t>Yes</t>
        </is>
      </c>
      <c r="V50" s="62" t="inlineStr">
        <is>
          <t>Self-issued (FourLeaf, ex-Bethpage)</t>
        </is>
      </c>
      <c r="W50" s="57" t="inlineStr">
        <is>
          <t>Yes (revolving)</t>
        </is>
      </c>
      <c r="X50" s="67" t="inlineStr">
        <is>
          <t>Unknown</t>
        </is>
      </c>
      <c r="Y50" s="60" t="inlineStr">
        <is>
          <t>FourLeaf Business Mastercard: variable up to ~22.15%</t>
        </is>
      </c>
      <c r="Z50" s="60" t="inlineStr">
        <is>
          <t>Unknown</t>
        </is>
      </c>
      <c r="AA50" s="60" t="inlineStr">
        <is>
          <t>Unknown</t>
        </is>
      </c>
      <c r="AB50" s="60" t="inlineStr">
        <is>
          <t>Unknown</t>
        </is>
      </c>
      <c r="AC50" s="60" t="inlineStr">
        <is>
          <t>Consumer Low Rate MC $35k soft-pull datapoint</t>
        </is>
      </c>
      <c r="AD50" s="64" t="inlineStr">
        <is>
          <t>ficoforums.myfico.com 6816880</t>
        </is>
      </c>
      <c r="AE50" s="60" t="inlineStr">
        <is>
          <t>Membership req (OPEN: anyone residing in U.S.; $5 savings)</t>
        </is>
      </c>
      <c r="AF50" s="60" t="inlineStr">
        <is>
          <t>Business lending separate</t>
        </is>
      </c>
      <c r="AG50" s="60" t="inlineStr">
        <is>
          <t>SELF-ISSUED VERIFIED ('creditor and issuer is FourLeaf'). OPEN national membership. In-person/phone apply.</t>
        </is>
      </c>
      <c r="AH50" s="64" t="inlineStr">
        <is>
          <t>fourleaffcu.com/business/credit-cards/</t>
        </is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H$50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6" customWidth="1" min="4" max="4"/>
    <col width="13" customWidth="1" min="5" max="5"/>
    <col width="7" customWidth="1" min="6" max="6"/>
    <col width="22" customWidth="1" min="7" max="7"/>
    <col width="40" customWidth="1" min="8" max="8"/>
    <col width="30" customWidth="1" min="9" max="9"/>
    <col width="13" customWidth="1" min="10" max="10"/>
    <col width="38" customWidth="1" min="12" max="12"/>
    <col width="9" customWidth="1" min="13" max="13"/>
    <col width="16" customWidth="1" min="14" max="14"/>
    <col width="14" customWidth="1" min="15" max="15"/>
    <col width="20" customWidth="1" min="16" max="16"/>
    <col width="8" customWidth="1" min="17" max="17"/>
    <col width="26" customWidth="1" min="18" max="18"/>
    <col width="12" customWidth="1" min="19" max="19"/>
    <col width="34" customWidth="1" min="20" max="20"/>
    <col width="13" customWidth="1" min="21" max="21"/>
    <col width="28" customWidth="1" min="22" max="22"/>
    <col width="13" customWidth="1" min="23" max="23"/>
    <col width="22" customWidth="1" min="24" max="24"/>
    <col width="38" customWidth="1" min="25" max="25"/>
    <col width="22" customWidth="1" min="26" max="26"/>
    <col width="26" customWidth="1" min="27" max="27"/>
    <col width="16" customWidth="1" min="28" max="28"/>
    <col width="40" customWidth="1" min="29" max="29"/>
    <col width="26" customWidth="1" min="30" max="30"/>
    <col width="30" customWidth="1" min="32" max="32"/>
    <col width="40" customWidth="1" min="33" max="33"/>
    <col width="36" customWidth="1" min="34" max="34"/>
  </cols>
  <sheetData>
    <row r="1" ht="30" customHeight="1">
      <c r="A1" s="56" t="inlineStr">
        <is>
          <t>Rec #</t>
        </is>
      </c>
      <c r="B1" s="56" t="inlineStr">
        <is>
          <t>Tier</t>
        </is>
      </c>
      <c r="C1" s="56" t="inlineStr">
        <is>
          <t>Institution</t>
        </is>
      </c>
      <c r="D1" s="56" t="inlineStr">
        <is>
          <t>Match (criteria)</t>
        </is>
      </c>
      <c r="E1" s="56" t="inlineStr">
        <is>
          <t>Type</t>
        </is>
      </c>
      <c r="F1" s="56" t="inlineStr">
        <is>
          <t>SoCal?</t>
        </is>
      </c>
      <c r="G1" s="56" t="inlineStr">
        <is>
          <t>Region</t>
        </is>
      </c>
      <c r="H1" s="56" t="inlineStr">
        <is>
          <t>CA Access / Why listed</t>
        </is>
      </c>
      <c r="I1" s="56" t="inlineStr">
        <is>
          <t>Est. Business Credit Limit</t>
        </is>
      </c>
      <c r="J1" s="56" t="inlineStr">
        <is>
          <t>Total Assets</t>
        </is>
      </c>
      <c r="K1" s="56" t="inlineStr">
        <is>
          <t>Total Deposits</t>
        </is>
      </c>
      <c r="L1" s="56" t="inlineStr">
        <is>
          <t>Footprint</t>
        </is>
      </c>
      <c r="M1" s="56" t="inlineStr">
        <is>
          <t>Rec Score</t>
        </is>
      </c>
      <c r="N1" s="56" t="inlineStr">
        <is>
          <t>City</t>
        </is>
      </c>
      <c r="O1" s="56" t="inlineStr">
        <is>
          <t>County</t>
        </is>
      </c>
      <c r="P1" s="56" t="inlineStr">
        <is>
          <t>Website</t>
        </is>
      </c>
      <c r="Q1" s="56" t="inlineStr">
        <is>
          <t>Biz card?</t>
        </is>
      </c>
      <c r="R1" s="56" t="inlineStr">
        <is>
          <t>Card page</t>
        </is>
      </c>
      <c r="S1" s="56" t="inlineStr">
        <is>
          <t>Apply</t>
        </is>
      </c>
      <c r="T1" s="56" t="inlineStr">
        <is>
          <t>How to Apply (method / link)</t>
        </is>
      </c>
      <c r="U1" s="56" t="inlineStr">
        <is>
          <t>Self-underwritten?</t>
        </is>
      </c>
      <c r="V1" s="56" t="inlineStr">
        <is>
          <t>Underwriter / Issuer</t>
        </is>
      </c>
      <c r="W1" s="56" t="inlineStr">
        <is>
          <t>Interest-bearing?</t>
        </is>
      </c>
      <c r="X1" s="56" t="inlineStr">
        <is>
          <t>0% intro?</t>
        </is>
      </c>
      <c r="Y1" s="56" t="inlineStr">
        <is>
          <t>Rate &amp; terms</t>
        </is>
      </c>
      <c r="Z1" s="56" t="inlineStr">
        <is>
          <t>Hard-pull bureau</t>
        </is>
      </c>
      <c r="AA1" s="56" t="inlineStr">
        <is>
          <t>Business bureaus reported to</t>
        </is>
      </c>
      <c r="AB1" s="56" t="inlineStr">
        <is>
          <t>Reports to personal bureau?</t>
        </is>
      </c>
      <c r="AC1" s="56" t="inlineStr">
        <is>
          <t>Approval info (limits / profile)</t>
        </is>
      </c>
      <c r="AD1" s="56" t="inlineStr">
        <is>
          <t>Approval source links</t>
        </is>
      </c>
      <c r="AE1" s="56" t="inlineStr">
        <is>
          <t>Deposit/account required?</t>
        </is>
      </c>
      <c r="AF1" s="56" t="inlineStr">
        <is>
          <t>Other no-doc business products</t>
        </is>
      </c>
      <c r="AG1" s="56" t="inlineStr">
        <is>
          <t>Confidence &amp; notes</t>
        </is>
      </c>
      <c r="AH1" s="56" t="inlineStr">
        <is>
          <t>Sources</t>
        </is>
      </c>
    </row>
    <row r="2">
      <c r="A2" s="57" t="n">
        <v>1</v>
      </c>
      <c r="B2" s="58" t="inlineStr">
        <is>
          <t>A - Self-issued, apply online</t>
        </is>
      </c>
      <c r="C2" s="59" t="inlineStr">
        <is>
          <t>Kinecta Federal Credit Union</t>
        </is>
      </c>
      <c r="D2" s="60" t="inlineStr">
        <is>
          <t>3/4 (missing: apply online)</t>
        </is>
      </c>
      <c r="E2" s="61" t="inlineStr">
        <is>
          <t>Credit Union</t>
        </is>
      </c>
      <c r="F2" s="61" t="inlineStr">
        <is>
          <t>Yes</t>
        </is>
      </c>
      <c r="G2" s="60" t="inlineStr">
        <is>
          <t>SoCal - LA County</t>
        </is>
      </c>
      <c r="H2" s="62" t="inlineStr">
        <is>
          <t>CA-HQ (Southern California)</t>
        </is>
      </c>
      <c r="I2" s="63" t="inlineStr">
        <is>
          <t>Not published (est ~$5k-$15k)</t>
        </is>
      </c>
      <c r="J2" s="60" t="inlineStr">
        <is>
          <t>~$6.5B</t>
        </is>
      </c>
      <c r="K2" s="60" t="inlineStr">
        <is>
          <t>~$5.5B (shares)</t>
        </is>
      </c>
      <c r="L2" s="60" t="inlineStr">
        <is>
          <t>LA South Bay + statewide; ~30 branches</t>
        </is>
      </c>
      <c r="M2" s="60" t="n">
        <v>170</v>
      </c>
      <c r="N2" s="60" t="inlineStr">
        <is>
          <t>Manhattan Beach</t>
        </is>
      </c>
      <c r="O2" s="60" t="inlineStr">
        <is>
          <t>Los Angeles</t>
        </is>
      </c>
      <c r="P2" s="64" t="inlineStr">
        <is>
          <t>kinecta.org</t>
        </is>
      </c>
      <c r="Q2" s="65" t="inlineStr">
        <is>
          <t>Yes</t>
        </is>
      </c>
      <c r="R2" s="64" t="inlineStr">
        <is>
          <t>kinecta.org/credit-card/mypro</t>
        </is>
      </c>
      <c r="S2" s="66" t="inlineStr">
        <is>
          <t>Partial online</t>
        </is>
      </c>
      <c r="T2" s="60" t="inlineStr">
        <is>
          <t>Book appointment kinecta.org/book-an-appointment or 800-854-9846 (no instant online app)</t>
        </is>
      </c>
      <c r="U2" s="65" t="inlineStr">
        <is>
          <t>Yes</t>
        </is>
      </c>
      <c r="V2" s="62" t="inlineStr">
        <is>
          <t>Self-issued (Kinecta FCU)</t>
        </is>
      </c>
      <c r="W2" s="57" t="inlineStr">
        <is>
          <t>Yes (revolving)</t>
        </is>
      </c>
      <c r="X2" s="67" t="inlineStr">
        <is>
          <t>No</t>
        </is>
      </c>
      <c r="Y2" s="60" t="inlineStr">
        <is>
          <t>MyPro Business MC: 13.49-18% var, $0 AF, 3% fuel/office/EV, 2% travel/dining, 1% else, +up to 20% relationship bonus, no FX</t>
        </is>
      </c>
      <c r="Z2" s="60" t="inlineStr">
        <is>
          <t>Hard pull at application; bureau not disclosed (UNKNOWN)</t>
        </is>
      </c>
      <c r="AA2" s="60" t="inlineStr">
        <is>
          <t>Unknown</t>
        </is>
      </c>
      <c r="AB2" s="60" t="inlineStr">
        <is>
          <t>Unknown</t>
        </is>
      </c>
      <c r="AC2" s="60" t="inlineStr">
        <is>
          <t>myFICO: EX pull, $10 savings to join; some no-HP for members (MyPro-specific limits not isolated)</t>
        </is>
      </c>
      <c r="AD2" s="64" t="inlineStr">
        <is>
          <t>myFICO 6571871, 6513991</t>
        </is>
      </c>
      <c r="AE2" s="60" t="inlineStr">
        <is>
          <t>Membership req (OPEN: Consumer Coop Society of Santa Monica ~$10)</t>
        </is>
      </c>
      <c r="AF2" s="60" t="inlineStr">
        <is>
          <t>Business lending separate; card is the main biz credit product</t>
        </is>
      </c>
      <c r="AG2" s="60" t="inlineStr">
        <is>
          <t>SELF-ISSUED VERIFIED (CFPB files MyPro agreement). SoCal + easy membership. Partial online.</t>
        </is>
      </c>
      <c r="AH2" s="64" t="inlineStr">
        <is>
          <t>kinecta.org/credit-card/mypro; consumerfinance.gov (Kinecta agreements)</t>
        </is>
      </c>
    </row>
    <row r="3">
      <c r="A3" s="57" t="n">
        <v>2</v>
      </c>
      <c r="B3" s="58" t="inlineStr">
        <is>
          <t>A - Self-issued, apply online</t>
        </is>
      </c>
      <c r="C3" s="59" t="inlineStr">
        <is>
          <t>Logix Federal Credit Union</t>
        </is>
      </c>
      <c r="D3" s="60" t="inlineStr">
        <is>
          <t>3/4 (missing: apply online)</t>
        </is>
      </c>
      <c r="E3" s="61" t="inlineStr">
        <is>
          <t>Credit Union</t>
        </is>
      </c>
      <c r="F3" s="61" t="inlineStr">
        <is>
          <t>Yes</t>
        </is>
      </c>
      <c r="G3" s="60" t="inlineStr">
        <is>
          <t>SoCal - LA County</t>
        </is>
      </c>
      <c r="H3" s="62" t="inlineStr">
        <is>
          <t>CA-HQ (Southern California)</t>
        </is>
      </c>
      <c r="I3" s="63" t="inlineStr">
        <is>
          <t>$5k-$25k (est; self-issued community pattern)</t>
        </is>
      </c>
      <c r="J3" s="60" t="inlineStr">
        <is>
          <t>~$9B</t>
        </is>
      </c>
      <c r="K3" s="60" t="inlineStr">
        <is>
          <t>~$7B (shares)</t>
        </is>
      </c>
      <c r="L3" s="60" t="inlineStr">
        <is>
          <t>LA (Burbank/SF Valley) + CA; biz must be within 30 mi of branch</t>
        </is>
      </c>
      <c r="M3" s="60" t="n">
        <v>164</v>
      </c>
      <c r="N3" s="60" t="inlineStr">
        <is>
          <t>Burbank</t>
        </is>
      </c>
      <c r="O3" s="60" t="inlineStr">
        <is>
          <t>Los Angeles</t>
        </is>
      </c>
      <c r="P3" s="64" t="inlineStr">
        <is>
          <t>logixbanking.com</t>
        </is>
      </c>
      <c r="Q3" s="65" t="inlineStr">
        <is>
          <t>Yes</t>
        </is>
      </c>
      <c r="R3" s="64" t="inlineStr">
        <is>
          <t>logixbanking.com/business/credit-card</t>
        </is>
      </c>
      <c r="S3" s="66" t="inlineStr">
        <is>
          <t>Partial online</t>
        </is>
      </c>
      <c r="T3" s="60" t="inlineStr">
        <is>
          <t>Schedule appointment: businessappointments.logixbanking.com or 800-328-5328 (no instant online app)</t>
        </is>
      </c>
      <c r="U3" s="65" t="inlineStr">
        <is>
          <t>Yes</t>
        </is>
      </c>
      <c r="V3" s="62" t="inlineStr">
        <is>
          <t>Self-issued (Logix FCU)</t>
        </is>
      </c>
      <c r="W3" s="57" t="inlineStr">
        <is>
          <t>Yes (revolving)</t>
        </is>
      </c>
      <c r="X3" s="66" t="inlineStr">
        <is>
          <t>Low intro: 5.99% for 6 mo (then 17.99%)</t>
        </is>
      </c>
      <c r="Y3" s="60" t="inlineStr">
        <is>
          <t>Smart Business Cashback MC: 5.99% intro 6mo then 17.99% var, $0 AF, 1.5% cashback (CA only)</t>
        </is>
      </c>
      <c r="Z3" s="60" t="inlineStr">
        <is>
          <t>Hard pull at application; bureau not disclosed (UNKNOWN)</t>
        </is>
      </c>
      <c r="AA3" s="60" t="inlineStr">
        <is>
          <t>Not disclosed (likely SBFE; INFERRED)</t>
        </is>
      </c>
      <c r="AB3" s="60" t="inlineStr">
        <is>
          <t>Unknown</t>
        </is>
      </c>
      <c r="AC3" s="60" t="inlineStr">
        <is>
          <t>None found</t>
        </is>
      </c>
      <c r="AD3" s="60" t="inlineStr">
        <is>
          <t>-</t>
        </is>
      </c>
      <c r="AE3" s="60" t="inlineStr">
        <is>
          <t>Membership req (EASY: American Consumer Council free; biz 1yr+ if not member)</t>
        </is>
      </c>
      <c r="AF3" s="60" t="inlineStr">
        <is>
          <t>Business lending separate (CA-only)</t>
        </is>
      </c>
      <c r="AG3" s="60" t="inlineStr">
        <is>
          <t>SELF-ISSUED VERIFIED ('Logix...the creditor'). SoCal + online apply. Strong template match.</t>
        </is>
      </c>
      <c r="AH3" s="64" t="inlineStr">
        <is>
          <t>logixbanking.com/business/credit-card; consumerfinance.gov (Logix agreements)</t>
        </is>
      </c>
    </row>
    <row r="4">
      <c r="A4" s="57" t="n">
        <v>3</v>
      </c>
      <c r="B4" s="58" t="inlineStr">
        <is>
          <t>A - Self-issued, apply online</t>
        </is>
      </c>
      <c r="C4" s="68" t="inlineStr">
        <is>
          <t>San Diego County Credit Union (SDCCU)</t>
        </is>
      </c>
      <c r="D4" s="60" t="inlineStr">
        <is>
          <t>GOLD 4/4 (self + online + SoCal + card)</t>
        </is>
      </c>
      <c r="E4" s="61" t="inlineStr">
        <is>
          <t>Credit Union</t>
        </is>
      </c>
      <c r="F4" s="61" t="inlineStr">
        <is>
          <t>Yes</t>
        </is>
      </c>
      <c r="G4" s="60" t="inlineStr">
        <is>
          <t>SoCal - San Diego</t>
        </is>
      </c>
      <c r="H4" s="62" t="inlineStr">
        <is>
          <t>CA-HQ (Southern California)</t>
        </is>
      </c>
      <c r="I4" s="63" t="inlineStr">
        <is>
          <t>$5k-$20k (VERIFIED published range)</t>
        </is>
      </c>
      <c r="J4" s="60" t="inlineStr">
        <is>
          <t>~$9.26B</t>
        </is>
      </c>
      <c r="K4" s="60" t="inlineStr">
        <is>
          <t>~$7.5B (shares)</t>
        </is>
      </c>
      <c r="L4" s="60" t="inlineStr">
        <is>
          <t>San Diego County + statewide; ~40 branches</t>
        </is>
      </c>
      <c r="M4" s="60" t="n">
        <v>161</v>
      </c>
      <c r="N4" s="60" t="inlineStr">
        <is>
          <t>San Diego</t>
        </is>
      </c>
      <c r="O4" s="60" t="inlineStr">
        <is>
          <t>San Diego</t>
        </is>
      </c>
      <c r="P4" s="64" t="inlineStr">
        <is>
          <t>sdccu.com</t>
        </is>
      </c>
      <c r="Q4" s="65" t="inlineStr">
        <is>
          <t>Yes</t>
        </is>
      </c>
      <c r="R4" s="64" t="inlineStr">
        <is>
          <t>sdccu.com/business/business-credit-card/</t>
        </is>
      </c>
      <c r="S4" s="65" t="inlineStr">
        <is>
          <t>Online</t>
        </is>
      </c>
      <c r="T4" s="60" t="inlineStr">
        <is>
          <t>Apply ONLINE via Internet Branch (join first), or branch, or 877-732-2848 x6200</t>
        </is>
      </c>
      <c r="U4" s="65" t="inlineStr">
        <is>
          <t>Yes</t>
        </is>
      </c>
      <c r="V4" s="62" t="inlineStr">
        <is>
          <t>Self-issued (SDCCU)</t>
        </is>
      </c>
      <c r="W4" s="57" t="inlineStr">
        <is>
          <t>Yes (revolving)</t>
        </is>
      </c>
      <c r="X4" s="67" t="inlineStr">
        <is>
          <t>No</t>
        </is>
      </c>
      <c r="Y4" s="60" t="inlineStr">
        <is>
          <t>SDCCU Visa Business: 11.74% var purchases (Prime+4.99%, floor 9.99%), $25 AF (waived &gt;$10k/yr net purchases), low-rate (no rewards)</t>
        </is>
      </c>
      <c r="Z4" s="60" t="inlineStr">
        <is>
          <t>Experian (myFICO datapoints, INFERRED-strong)</t>
        </is>
      </c>
      <c r="AA4" s="60" t="inlineStr">
        <is>
          <t>Not disclosed (likely SBFE; INFERRED)</t>
        </is>
      </c>
      <c r="AB4" s="60" t="inlineStr">
        <is>
          <t>Unknown</t>
        </is>
      </c>
      <c r="AC4" s="60" t="inlineStr">
        <is>
          <t>None found (no forum datapoints)</t>
        </is>
      </c>
      <c r="AD4" s="60" t="inlineStr">
        <is>
          <t>-</t>
        </is>
      </c>
      <c r="AE4" s="60" t="inlineStr">
        <is>
          <t>Membership req (OPEN: live/work 9 SoCal counties incl LA/OC/Riverside/SB/SD/Ventura, OR Financial Fitness Assn $8)</t>
        </is>
      </c>
      <c r="AF4" s="60" t="inlineStr">
        <is>
          <t>Business lending separate; card is main biz credit product</t>
        </is>
      </c>
      <c r="AG4" s="60" t="inlineStr">
        <is>
          <t>SELF-ISSUED VERIFIED (own rate sheet + CFPB filing). SoCal + ONLINE apply + open membership. Strong target.</t>
        </is>
      </c>
      <c r="AH4" s="64" t="inlineStr">
        <is>
          <t>sdccu.com/business/business-credit-card/; rates page; consumerfinance.gov CFPB DB</t>
        </is>
      </c>
    </row>
    <row r="5">
      <c r="A5" s="57" t="n">
        <v>4</v>
      </c>
      <c r="B5" s="58" t="inlineStr">
        <is>
          <t>A - Self-issued, apply online</t>
        </is>
      </c>
      <c r="C5" s="68" t="inlineStr">
        <is>
          <t>Montecito Bank &amp; Trust</t>
        </is>
      </c>
      <c r="D5" s="60" t="inlineStr">
        <is>
          <t>GOLD 4/4 (self + online + SoCal + card)</t>
        </is>
      </c>
      <c r="E5" s="69" t="inlineStr">
        <is>
          <t>Bank</t>
        </is>
      </c>
      <c r="F5" s="61" t="inlineStr">
        <is>
          <t>Yes</t>
        </is>
      </c>
      <c r="G5" s="60" t="inlineStr">
        <is>
          <t>SoCal - Santa Barbara/Ventura</t>
        </is>
      </c>
      <c r="H5" s="62" t="inlineStr">
        <is>
          <t>CA-HQ (Southern California)</t>
        </is>
      </c>
      <c r="I5" s="63" t="inlineStr">
        <is>
          <t>Up to $100k (VERIFIED published max)</t>
        </is>
      </c>
      <c r="J5" s="60" t="inlineStr">
        <is>
          <t>$2.09B</t>
        </is>
      </c>
      <c r="K5" s="60" t="inlineStr">
        <is>
          <t>$1.87B</t>
        </is>
      </c>
      <c r="L5" s="60" t="inlineStr">
        <is>
          <t>Santa Barbara/Ventura Central Coast; ~12 branches</t>
        </is>
      </c>
      <c r="M5" s="60" t="n">
        <v>159</v>
      </c>
      <c r="N5" s="60" t="inlineStr">
        <is>
          <t>Santa Barbara</t>
        </is>
      </c>
      <c r="O5" s="60" t="inlineStr">
        <is>
          <t>Santa Barbara</t>
        </is>
      </c>
      <c r="P5" s="64" t="inlineStr">
        <is>
          <t>montecito.bank</t>
        </is>
      </c>
      <c r="Q5" s="65" t="inlineStr">
        <is>
          <t>Yes</t>
        </is>
      </c>
      <c r="R5" s="64" t="inlineStr">
        <is>
          <t>montecito.bank/business/credit-card</t>
        </is>
      </c>
      <c r="S5" s="65" t="inlineStr">
        <is>
          <t>Online</t>
        </is>
      </c>
      <c r="T5" s="60" t="inlineStr">
        <is>
          <t>Apply ONLINE: montecito.bank/business/apply; or branch; or 805-963-7511</t>
        </is>
      </c>
      <c r="U5" s="65" t="inlineStr">
        <is>
          <t>Yes</t>
        </is>
      </c>
      <c r="V5" s="62" t="inlineStr">
        <is>
          <t>Self-issued (Montecito Bank &amp; Trust)</t>
        </is>
      </c>
      <c r="W5" s="57" t="inlineStr">
        <is>
          <t>Yes (revolving)</t>
        </is>
      </c>
      <c r="X5" s="67" t="inlineStr">
        <is>
          <t>No (no intro, no penalty APR)</t>
        </is>
      </c>
      <c r="Y5" s="60" t="inlineStr">
        <is>
          <t>Visa Business Rewards: 16.49/20.49/24.49% fixed-tier, $0 AF, 1% cash back, $250 bonus ($5k/90d)</t>
        </is>
      </c>
      <c r="Z5" s="60" t="inlineStr">
        <is>
          <t>Owner credit pulled (agreement sec.28); bureau not named (UNKNOWN)</t>
        </is>
      </c>
      <c r="AA5" s="60" t="inlineStr">
        <is>
          <t>Unknown (Fiserv-serviced; SBFE/Experian Biz common but unverified)</t>
        </is>
      </c>
      <c r="AB5" s="60" t="inlineStr">
        <is>
          <t>Yes - defaults reported to owner's personal credit (agreement sec.28)</t>
        </is>
      </c>
      <c r="AC5" s="60" t="inlineStr">
        <is>
          <t>None found (small program, low forum coverage)</t>
        </is>
      </c>
      <c r="AD5" s="60" t="inlineStr">
        <is>
          <t>-</t>
        </is>
      </c>
      <c r="AE5" s="60" t="inlineStr">
        <is>
          <t>Yes - MUST be a Montecito Bank &amp; Trust deposit customer first (agreement sec.1)</t>
        </is>
      </c>
      <c r="AF5" s="60" t="inlineStr">
        <is>
          <t>No - commercial underwritten</t>
        </is>
      </c>
      <c r="AG5" s="60" t="inlineStr">
        <is>
          <t>SELF-ISSUED VERIFIED ('we are the creditor'). Online (DocuSign). Deposit customer required.</t>
        </is>
      </c>
      <c r="AH5" s="64" t="inlineStr">
        <is>
          <t>montecito.bank/business/credit-card; business-credit-card-contract-and-pre-disclosure</t>
        </is>
      </c>
    </row>
    <row r="6">
      <c r="A6" s="57" t="n">
        <v>5</v>
      </c>
      <c r="B6" s="59" t="inlineStr">
        <is>
          <t>B - Self-issued, in-person</t>
        </is>
      </c>
      <c r="C6" s="59" t="inlineStr">
        <is>
          <t>City National Bank</t>
        </is>
      </c>
      <c r="D6" s="60" t="inlineStr">
        <is>
          <t>3/4 (missing: apply online)</t>
        </is>
      </c>
      <c r="E6" s="69" t="inlineStr">
        <is>
          <t>Bank</t>
        </is>
      </c>
      <c r="F6" s="61" t="inlineStr">
        <is>
          <t>Yes</t>
        </is>
      </c>
      <c r="G6" s="60" t="inlineStr">
        <is>
          <t>SoCal - LA County</t>
        </is>
      </c>
      <c r="H6" s="62" t="inlineStr">
        <is>
          <t>CA-HQ (Southern California)</t>
        </is>
      </c>
      <c r="I6" s="63" t="inlineStr">
        <is>
          <t>~$10k+ (personal datapoint; commercial relationship-based may run higher)</t>
        </is>
      </c>
      <c r="J6" s="60" t="inlineStr">
        <is>
          <t>$96.47B</t>
        </is>
      </c>
      <c r="K6" s="60" t="inlineStr">
        <is>
          <t>$80.22B</t>
        </is>
      </c>
      <c r="L6" s="60" t="inlineStr">
        <is>
          <t>~60-75 offices, 8 states; CA LA+SF Bay; NY, NV, TN, GA, MN, DC</t>
        </is>
      </c>
      <c r="M6" s="60" t="n">
        <v>154</v>
      </c>
      <c r="N6" s="60" t="inlineStr">
        <is>
          <t>Los Angeles</t>
        </is>
      </c>
      <c r="O6" s="60" t="inlineStr">
        <is>
          <t>Los Angeles</t>
        </is>
      </c>
      <c r="P6" s="64" t="inlineStr">
        <is>
          <t>cnb.com</t>
        </is>
      </c>
      <c r="Q6" s="65" t="inlineStr">
        <is>
          <t>Yes</t>
        </is>
      </c>
      <c r="R6" s="64" t="inlineStr">
        <is>
          <t>cnb.com/business-banking/lending/credit-cards.html</t>
        </is>
      </c>
      <c r="S6" s="70" t="inlineStr">
        <is>
          <t>In-person</t>
        </is>
      </c>
      <c r="T6" s="60" t="inlineStr">
        <is>
          <t>Relationship-based: 'Connect with us' lead form or Relationship Manager (no online app)</t>
        </is>
      </c>
      <c r="U6" s="65" t="inlineStr">
        <is>
          <t>Yes</t>
        </is>
      </c>
      <c r="V6" s="62" t="inlineStr">
        <is>
          <t>Self-issued (City National Bank)</t>
        </is>
      </c>
      <c r="W6" s="57" t="inlineStr">
        <is>
          <t>Charge card</t>
        </is>
      </c>
      <c r="X6" s="67" t="inlineStr">
        <is>
          <t>No</t>
        </is>
      </c>
      <c r="Y6" s="60" t="inlineStr">
        <is>
          <t>~15.96% fixed APR; Commercial $0 acct fee (+$50/card if Rewards); Crystal $400+$75/card</t>
        </is>
      </c>
      <c r="Z6" s="60" t="inlineStr">
        <is>
          <t>Not disclosed; commercial underwriting (UNKNOWN)</t>
        </is>
      </c>
      <c r="AA6" s="60" t="inlineStr">
        <is>
          <t>Unknown (not disclosed)</t>
        </is>
      </c>
      <c r="AB6" s="60" t="inlineStr">
        <is>
          <t>Likely No (commercial, business-purpose only; INFERRED)</t>
        </is>
      </c>
      <c r="AC6" s="60" t="inlineStr">
        <is>
          <t>Sparse for biz. Personal Crystal Visa: ~$10k start, in-branch manual UW, ~$100k+ income</t>
        </is>
      </c>
      <c r="AD6" s="64" t="inlineStr">
        <is>
          <t>ficoforums.myfico.com (Crystal Visa Infinite threads)</t>
        </is>
      </c>
      <c r="AE6" s="60" t="inlineStr">
        <is>
          <t>Yes (relationship; security interest in deposits)</t>
        </is>
      </c>
      <c r="AF6" s="60" t="inlineStr">
        <is>
          <t>No - SBA/LOC/ABL/equipment all fully underwritten (PFS req)</t>
        </is>
      </c>
      <c r="AG6" s="60" t="inlineStr">
        <is>
          <t>Issuer/terms VERIFIED (official docs). Biz-card bureau pull/report UNKNOWN.</t>
        </is>
      </c>
      <c r="AH6" s="64" t="inlineStr">
        <is>
          <t>cnb.com; Commercial Card Agreement PDF; Fee Schedule PDF</t>
        </is>
      </c>
    </row>
    <row r="7">
      <c r="A7" s="57" t="n">
        <v>6</v>
      </c>
      <c r="B7" s="59" t="inlineStr">
        <is>
          <t>B - Self-issued, in-person</t>
        </is>
      </c>
      <c r="C7" s="59" t="inlineStr">
        <is>
          <t>California Credit Union</t>
        </is>
      </c>
      <c r="D7" s="60" t="inlineStr">
        <is>
          <t>3/4 (missing: apply online)</t>
        </is>
      </c>
      <c r="E7" s="61" t="inlineStr">
        <is>
          <t>Credit Union</t>
        </is>
      </c>
      <c r="F7" s="61" t="inlineStr">
        <is>
          <t>Yes</t>
        </is>
      </c>
      <c r="G7" s="60" t="inlineStr">
        <is>
          <t>SoCal - LA County</t>
        </is>
      </c>
      <c r="H7" s="62" t="inlineStr">
        <is>
          <t>CA-HQ (Southern California)</t>
        </is>
      </c>
      <c r="I7" s="63" t="inlineStr">
        <is>
          <t>Not published (member-set; est ~$5k-$25k)</t>
        </is>
      </c>
      <c r="J7" s="60" t="inlineStr">
        <is>
          <t>~$4.9B</t>
        </is>
      </c>
      <c r="K7" s="60" t="inlineStr">
        <is>
          <t>~$4B (shares)</t>
        </is>
      </c>
      <c r="L7" s="60" t="inlineStr">
        <is>
          <t>LA (Glendale/SF Valley) + San Diego; ~20+ branches</t>
        </is>
      </c>
      <c r="M7" s="60" t="n">
        <v>153</v>
      </c>
      <c r="N7" s="60" t="inlineStr">
        <is>
          <t>Glendale</t>
        </is>
      </c>
      <c r="O7" s="60" t="inlineStr">
        <is>
          <t>Los Angeles</t>
        </is>
      </c>
      <c r="P7" s="64" t="inlineStr">
        <is>
          <t>ccu.com</t>
        </is>
      </c>
      <c r="Q7" s="65" t="inlineStr">
        <is>
          <t>Yes</t>
        </is>
      </c>
      <c r="R7" s="64" t="inlineStr">
        <is>
          <t>ccu.com/bank/business/credit-cards/</t>
        </is>
      </c>
      <c r="S7" s="70" t="inlineStr">
        <is>
          <t>In-person</t>
        </is>
      </c>
      <c r="T7" s="60" t="inlineStr">
        <is>
          <t>Business Banking 800-293-6494 or SoCal branch (no online card app)</t>
        </is>
      </c>
      <c r="U7" s="65" t="inlineStr">
        <is>
          <t>Yes</t>
        </is>
      </c>
      <c r="V7" s="62" t="inlineStr">
        <is>
          <t>Self-issued (California CU / California Federal CU)</t>
        </is>
      </c>
      <c r="W7" s="57" t="inlineStr">
        <is>
          <t>Yes (revolving)</t>
        </is>
      </c>
      <c r="X7" s="67" t="inlineStr">
        <is>
          <t>No</t>
        </is>
      </c>
      <c r="Y7" s="60" t="inlineStr">
        <is>
          <t>Business Rewards Visa: 10.50-18% var (Prime+5-13%), $0 AF, 1% rewards; Platinum = lower-rate, no rewards</t>
        </is>
      </c>
      <c r="Z7" s="60" t="inlineStr">
        <is>
          <t>Owner credit investigated; bureau not named (UNKNOWN)</t>
        </is>
      </c>
      <c r="AA7" s="60" t="inlineStr">
        <is>
          <t>Unknown</t>
        </is>
      </c>
      <c r="AB7" s="60" t="inlineStr">
        <is>
          <t>Yes - negative reporting to credit bureaus (agreement)</t>
        </is>
      </c>
      <c r="AC7" s="60" t="inlineStr">
        <is>
          <t>None found</t>
        </is>
      </c>
      <c r="AD7" s="60" t="inlineStr">
        <is>
          <t>-</t>
        </is>
      </c>
      <c r="AE7" s="60" t="inlineStr">
        <is>
          <t>Membership req (CCU; ~680 score, 2yr+ biz typical)</t>
        </is>
      </c>
      <c r="AF7" s="60" t="inlineStr">
        <is>
          <t>Business lending separate</t>
        </is>
      </c>
      <c r="AG7" s="60" t="inlineStr">
        <is>
          <t>SELF-ISSUED (VERIFIED biz card; INFERRED self - own terms, no Elan). Open membership. No online card app.</t>
        </is>
      </c>
      <c r="AH7" s="64" t="inlineStr">
        <is>
          <t>ccu.com/bank/business/credit-cards/; ccu.com/join/</t>
        </is>
      </c>
    </row>
    <row r="8">
      <c r="A8" s="57" t="n">
        <v>7</v>
      </c>
      <c r="B8" s="59" t="inlineStr">
        <is>
          <t>B - Self-issued, in-person</t>
        </is>
      </c>
      <c r="C8" s="59" t="inlineStr">
        <is>
          <t>Nuvision Credit Union</t>
        </is>
      </c>
      <c r="D8" s="60" t="inlineStr">
        <is>
          <t>3/4 (missing: apply online)</t>
        </is>
      </c>
      <c r="E8" s="61" t="inlineStr">
        <is>
          <t>Credit Union</t>
        </is>
      </c>
      <c r="F8" s="61" t="inlineStr">
        <is>
          <t>Yes</t>
        </is>
      </c>
      <c r="G8" s="60" t="inlineStr">
        <is>
          <t>SoCal - Orange County</t>
        </is>
      </c>
      <c r="H8" s="62" t="inlineStr">
        <is>
          <t>CA-HQ (Southern California)</t>
        </is>
      </c>
      <c r="I8" s="63" t="inlineStr">
        <is>
          <t>$5k-$25k (est; self-issued community pattern)</t>
        </is>
      </c>
      <c r="J8" s="60" t="inlineStr">
        <is>
          <t>~$2.8B</t>
        </is>
      </c>
      <c r="K8" s="60" t="inlineStr">
        <is>
          <t>~$2.4B (shares)</t>
        </is>
      </c>
      <c r="L8" s="60" t="inlineStr">
        <is>
          <t>OC + LA/SD/Ventura/SB; ACC membership path</t>
        </is>
      </c>
      <c r="M8" s="60" t="n">
        <v>151</v>
      </c>
      <c r="N8" s="60" t="inlineStr">
        <is>
          <t>Huntington Beach</t>
        </is>
      </c>
      <c r="O8" s="60" t="inlineStr">
        <is>
          <t>Orange</t>
        </is>
      </c>
      <c r="P8" s="64" t="inlineStr">
        <is>
          <t>nuvisionfederal.com</t>
        </is>
      </c>
      <c r="Q8" s="65" t="inlineStr">
        <is>
          <t>Yes</t>
        </is>
      </c>
      <c r="R8" s="64" t="inlineStr">
        <is>
          <t>nuvisionfederal.com/business-banking/credit-cards</t>
        </is>
      </c>
      <c r="S8" s="70" t="inlineStr">
        <is>
          <t>In-person</t>
        </is>
      </c>
      <c r="T8" s="60" t="inlineStr">
        <is>
          <t>Download paper app -&gt; fax/branch; also LoansPQ online link; 800-444-6327</t>
        </is>
      </c>
      <c r="U8" s="65" t="inlineStr">
        <is>
          <t>Yes</t>
        </is>
      </c>
      <c r="V8" s="62" t="inlineStr">
        <is>
          <t>Self-issued (inferred; Nuvision-processed)</t>
        </is>
      </c>
      <c r="W8" s="57" t="inlineStr">
        <is>
          <t>Yes (revolving)</t>
        </is>
      </c>
      <c r="X8" s="67" t="inlineStr">
        <is>
          <t>No</t>
        </is>
      </c>
      <c r="Y8" s="60" t="inlineStr">
        <is>
          <t>Business Visa Rewards: ~13-18% var (tracks consumer tier), $0 AF, 1 pt/$1</t>
        </is>
      </c>
      <c r="Z8" s="60" t="inlineStr">
        <is>
          <t>Unknown</t>
        </is>
      </c>
      <c r="AA8" s="60" t="inlineStr">
        <is>
          <t>Unknown</t>
        </is>
      </c>
      <c r="AB8" s="60" t="inlineStr">
        <is>
          <t>Unknown</t>
        </is>
      </c>
      <c r="AC8" s="60" t="inlineStr">
        <is>
          <t>None found</t>
        </is>
      </c>
      <c r="AD8" s="60" t="inlineStr">
        <is>
          <t>-</t>
        </is>
      </c>
      <c r="AE8" s="60" t="inlineStr">
        <is>
          <t>Membership req (EASY: ACC or 5 SoCal counties)</t>
        </is>
      </c>
      <c r="AF8" s="60" t="inlineStr">
        <is>
          <t>Business lending separate</t>
        </is>
      </c>
      <c r="AG8" s="60" t="inlineStr">
        <is>
          <t>SELF-issued INFERRED (consumer agreements self-filed; biz issuer not stated). PAPER app only.</t>
        </is>
      </c>
      <c r="AH8" s="64" t="inlineStr">
        <is>
          <t>nuvisionfederal.com/business-banking/credit-cards</t>
        </is>
      </c>
    </row>
    <row r="9">
      <c r="A9" s="57" t="n">
        <v>8</v>
      </c>
      <c r="B9" s="59" t="inlineStr">
        <is>
          <t>B - Self-issued, in-person</t>
        </is>
      </c>
      <c r="C9" s="59" t="inlineStr">
        <is>
          <t>Altura Credit Union</t>
        </is>
      </c>
      <c r="D9" s="60" t="inlineStr">
        <is>
          <t>3/4 (missing: apply online)</t>
        </is>
      </c>
      <c r="E9" s="61" t="inlineStr">
        <is>
          <t>Credit Union</t>
        </is>
      </c>
      <c r="F9" s="61" t="inlineStr">
        <is>
          <t>Yes</t>
        </is>
      </c>
      <c r="G9" s="60" t="inlineStr">
        <is>
          <t>SoCal - Inland Empire</t>
        </is>
      </c>
      <c r="H9" s="62" t="inlineStr">
        <is>
          <t>CA-HQ (Southern California)</t>
        </is>
      </c>
      <c r="I9" s="63" t="inlineStr">
        <is>
          <t>Up to $25k (VERIFIED published)</t>
        </is>
      </c>
      <c r="J9" s="60" t="inlineStr">
        <is>
          <t>~$2.45B</t>
        </is>
      </c>
      <c r="K9" s="60" t="inlineStr">
        <is>
          <t>~$2.1B (shares)</t>
        </is>
      </c>
      <c r="L9" s="60" t="inlineStr">
        <is>
          <t>Inland Empire (Riverside County); ~20 branches</t>
        </is>
      </c>
      <c r="M9" s="60" t="n">
        <v>151</v>
      </c>
      <c r="N9" s="60" t="inlineStr">
        <is>
          <t>Riverside</t>
        </is>
      </c>
      <c r="O9" s="60" t="inlineStr">
        <is>
          <t>Riverside</t>
        </is>
      </c>
      <c r="P9" s="64" t="inlineStr">
        <is>
          <t>alturacu.com</t>
        </is>
      </c>
      <c r="Q9" s="65" t="inlineStr">
        <is>
          <t>Yes</t>
        </is>
      </c>
      <c r="R9" s="64" t="inlineStr">
        <is>
          <t>alturacu.com/business-credit-card/</t>
        </is>
      </c>
      <c r="S9" s="70" t="inlineStr">
        <is>
          <t>In-person</t>
        </is>
      </c>
      <c r="T9" s="60" t="inlineStr">
        <is>
          <t>Branch or 888-883-7228 (no online card app)</t>
        </is>
      </c>
      <c r="U9" s="65" t="inlineStr">
        <is>
          <t>Yes</t>
        </is>
      </c>
      <c r="V9" s="62" t="inlineStr">
        <is>
          <t>Self-issued (Altura CU)</t>
        </is>
      </c>
      <c r="W9" s="57" t="inlineStr">
        <is>
          <t>Yes (revolving)</t>
        </is>
      </c>
      <c r="X9" s="67" t="inlineStr">
        <is>
          <t>No</t>
        </is>
      </c>
      <c r="Y9" s="60" t="inlineStr">
        <is>
          <t>Business Platinum: variable WSJ Prime+margin (exact not published), $0 AF, NO BT/cash-advance fee, up to $25k</t>
        </is>
      </c>
      <c r="Z9" s="60" t="inlineStr">
        <is>
          <t>Not disclosed (UNKNOWN)</t>
        </is>
      </c>
      <c r="AA9" s="60" t="inlineStr">
        <is>
          <t>Unknown (Altura notes biz-card activity MAY hit owner personal credit)</t>
        </is>
      </c>
      <c r="AB9" s="60" t="inlineStr">
        <is>
          <t>May report to owner's personal credit, esp. missed payments (Altura FAQ)</t>
        </is>
      </c>
      <c r="AC9" s="60" t="inlineStr">
        <is>
          <t>None found</t>
        </is>
      </c>
      <c r="AD9" s="60" t="inlineStr">
        <is>
          <t>-</t>
        </is>
      </c>
      <c r="AE9" s="60" t="inlineStr">
        <is>
          <t>Membership req (OPEN: live/work/worship/school Riverside County; online app)</t>
        </is>
      </c>
      <c r="AF9" s="60" t="inlineStr">
        <is>
          <t>Business lending separate</t>
        </is>
      </c>
      <c r="AG9" s="60" t="inlineStr">
        <is>
          <t>SELF-ISSUED (VERIFIED biz card; INFERRED self - own agreement, no Elan). Inland Empire. No online card app.</t>
        </is>
      </c>
      <c r="AH9" s="64" t="inlineStr">
        <is>
          <t>alturacu.com/business-credit-card/</t>
        </is>
      </c>
    </row>
    <row r="10">
      <c r="A10" s="57" t="n">
        <v>9</v>
      </c>
      <c r="B10" s="59" t="inlineStr">
        <is>
          <t>B - Self-issued, in-person</t>
        </is>
      </c>
      <c r="C10" s="59" t="inlineStr">
        <is>
          <t>Sun Community Federal Credit Union</t>
        </is>
      </c>
      <c r="D10" s="60" t="inlineStr">
        <is>
          <t>3/4 (missing: apply online)</t>
        </is>
      </c>
      <c r="E10" s="61" t="inlineStr">
        <is>
          <t>Credit Union</t>
        </is>
      </c>
      <c r="F10" s="61" t="inlineStr">
        <is>
          <t>Yes</t>
        </is>
      </c>
      <c r="G10" s="60" t="inlineStr">
        <is>
          <t>SoCal - Coachella Valley</t>
        </is>
      </c>
      <c r="H10" s="62" t="inlineStr">
        <is>
          <t>CA-HQ (Southern California)</t>
        </is>
      </c>
      <c r="I10" s="63" t="inlineStr">
        <is>
          <t>$5k-$25k (est; self-issued community pattern)</t>
        </is>
      </c>
      <c r="J10" s="60" t="inlineStr">
        <is>
          <t>~$826M</t>
        </is>
      </c>
      <c r="K10" s="60" t="inlineStr">
        <is>
          <t>~$700M (shares)</t>
        </is>
      </c>
      <c r="L10" s="60" t="inlineStr">
        <is>
          <t>Imperial County HQ; Coachella Valley branches (Coachella, Indio, Palm Springs)</t>
        </is>
      </c>
      <c r="M10" s="60" t="n">
        <v>132</v>
      </c>
      <c r="N10" s="60" t="inlineStr">
        <is>
          <t>El Centro (branches Coachella/Indio/Palm Springs)</t>
        </is>
      </c>
      <c r="O10" s="60" t="inlineStr">
        <is>
          <t>Imperial / Riverside</t>
        </is>
      </c>
      <c r="P10" s="64" t="inlineStr">
        <is>
          <t>suncommunity.com</t>
        </is>
      </c>
      <c r="Q10" s="65" t="inlineStr">
        <is>
          <t>Yes</t>
        </is>
      </c>
      <c r="R10" s="64" t="inlineStr">
        <is>
          <t>suncommunity.com/products/business-credit-card</t>
        </is>
      </c>
      <c r="S10" s="70" t="inlineStr">
        <is>
          <t>In-person</t>
        </is>
      </c>
      <c r="T10" s="60" t="inlineStr">
        <is>
          <t>Commercial Lending 760-336-8663 or commerciallending@suncommunityfcu.org (no online app)</t>
        </is>
      </c>
      <c r="U10" s="65" t="inlineStr">
        <is>
          <t>Yes</t>
        </is>
      </c>
      <c r="V10" s="62" t="inlineStr">
        <is>
          <t>Self-issued (Sun Community FCU)</t>
        </is>
      </c>
      <c r="W10" s="57" t="inlineStr">
        <is>
          <t>Yes (revolving)</t>
        </is>
      </c>
      <c r="X10" s="67" t="inlineStr">
        <is>
          <t>No</t>
        </is>
      </c>
      <c r="Y10" s="60" t="inlineStr">
        <is>
          <t>Business Rewards Mastercard (DreamPoints 1 pt/$1), $0 AF; APR not published</t>
        </is>
      </c>
      <c r="Z10" s="60" t="inlineStr">
        <is>
          <t>Unknown</t>
        </is>
      </c>
      <c r="AA10" s="60" t="inlineStr">
        <is>
          <t>Unknown</t>
        </is>
      </c>
      <c r="AB10" s="60" t="inlineStr">
        <is>
          <t>Unknown</t>
        </is>
      </c>
      <c r="AC10" s="60" t="inlineStr">
        <is>
          <t>None found</t>
        </is>
      </c>
      <c r="AD10" s="60" t="inlineStr">
        <is>
          <t>-</t>
        </is>
      </c>
      <c r="AE10" s="60" t="inlineStr">
        <is>
          <t>Membership req (live/work/worship/volunteer Imperial County; Coachella Valley branches)</t>
        </is>
      </c>
      <c r="AF10" s="60" t="inlineStr">
        <is>
          <t>Business lending separate</t>
        </is>
      </c>
      <c r="AG10" s="60" t="inlineStr">
        <is>
          <t>SELF-ISSUED (VERIFIED biz card; INFERRED self - DreamPoints, no Elan). Coachella Valley presence (lowest geo priority).</t>
        </is>
      </c>
      <c r="AH10" s="64" t="inlineStr">
        <is>
          <t>suncommunity.com/products/business-credit-card</t>
        </is>
      </c>
    </row>
    <row r="11">
      <c r="A11" s="57" t="n">
        <v>10</v>
      </c>
      <c r="B11" s="72" t="inlineStr">
        <is>
          <t>C - Agent-issued card</t>
        </is>
      </c>
      <c r="C11" s="59" t="inlineStr">
        <is>
          <t>Cathay Bank</t>
        </is>
      </c>
      <c r="D11" s="60" t="inlineStr">
        <is>
          <t>3/4 (missing: self-UW)</t>
        </is>
      </c>
      <c r="E11" s="69" t="inlineStr">
        <is>
          <t>Bank</t>
        </is>
      </c>
      <c r="F11" s="61" t="inlineStr">
        <is>
          <t>Yes</t>
        </is>
      </c>
      <c r="G11" s="60" t="inlineStr">
        <is>
          <t>SoCal - LA County</t>
        </is>
      </c>
      <c r="H11" s="62" t="inlineStr">
        <is>
          <t>CA-HQ (Southern California)</t>
        </is>
      </c>
      <c r="I11" s="63" t="inlineStr">
        <is>
          <t>$3k-$15k (est; Elan agent pattern, myFICO)</t>
        </is>
      </c>
      <c r="J11" s="60" t="inlineStr">
        <is>
          <t>$24.06B</t>
        </is>
      </c>
      <c r="K11" s="60" t="inlineStr">
        <is>
          <t>$20.54B</t>
        </is>
      </c>
      <c r="L11" s="60" t="inlineStr">
        <is>
          <t>~60-64 branches, 9 states; CA largest; NY WA TX IL MA MD NV NJ; Hong Kong</t>
        </is>
      </c>
      <c r="M11" s="60" t="n">
        <v>92</v>
      </c>
      <c r="N11" s="60" t="inlineStr">
        <is>
          <t>Los Angeles</t>
        </is>
      </c>
      <c r="O11" s="60" t="inlineStr">
        <is>
          <t>Los Angeles</t>
        </is>
      </c>
      <c r="P11" s="64" t="inlineStr">
        <is>
          <t>cathaybank.com</t>
        </is>
      </c>
      <c r="Q11" s="65" t="inlineStr">
        <is>
          <t>Yes</t>
        </is>
      </c>
      <c r="R11" s="64" t="inlineStr">
        <is>
          <t>cathaybank.com/business/credit-cards</t>
        </is>
      </c>
      <c r="S11" s="65" t="inlineStr">
        <is>
          <t>Online</t>
        </is>
      </c>
      <c r="T11" s="60" t="inlineStr">
        <is>
          <t>mycardapply.com/synindex (Elan)</t>
        </is>
      </c>
      <c r="U11" s="67" t="inlineStr">
        <is>
          <t>No</t>
        </is>
      </c>
      <c r="V11" s="74" t="inlineStr">
        <is>
          <t>Elan Financial Services (U.S. Bank)</t>
        </is>
      </c>
      <c r="W11" s="57" t="inlineStr">
        <is>
          <t>Yes (revolving)</t>
        </is>
      </c>
      <c r="X11" s="66" t="inlineStr">
        <is>
          <t>Yes - 6 months (Business Platinum)</t>
        </is>
      </c>
      <c r="Y11" s="60" t="inlineStr">
        <is>
          <t>Business Platinum: 0% intro 6mo purchases+BT. Rewards: 1% cash back. Go-to APR/AF not published</t>
        </is>
      </c>
      <c r="Z11" s="60" t="inlineStr">
        <is>
          <t>TransUnion (Elan)</t>
        </is>
      </c>
      <c r="AA11" s="60" t="inlineStr">
        <is>
          <t>D&amp;B (delinquency-only); SBFE unconfirmed</t>
        </is>
      </c>
      <c r="AB11" s="60" t="inlineStr">
        <is>
          <t>No (delinquency-only)</t>
        </is>
      </c>
      <c r="AC11" s="60" t="inlineStr">
        <is>
          <t>Elan general (TU pull; PG; ~$3k-$10k start; separate HP for CLI)</t>
        </is>
      </c>
      <c r="AD11" s="64" t="inlineStr">
        <is>
          <t>stacking.capital; myFICO Business-Credit</t>
        </is>
      </c>
      <c r="AE11" s="60" t="inlineStr">
        <is>
          <t>No (checking only if cash-back-to-checking)</t>
        </is>
      </c>
      <c r="AF11" s="60" t="inlineStr">
        <is>
          <t>No - Smart/Professional/Micro loans, C&amp;I, CRE, SBA underwritten</t>
        </is>
      </c>
      <c r="AG11" s="60" t="inlineStr">
        <is>
          <t>Issuer VERIFIED (Elan). Online apply YES. 6mo 0%.</t>
        </is>
      </c>
      <c r="AH11" s="64" t="inlineStr">
        <is>
          <t>cathaybank.com/business/credit-cards; mycardapply.com</t>
        </is>
      </c>
    </row>
    <row r="12">
      <c r="A12" s="57" t="n">
        <v>11</v>
      </c>
      <c r="B12" s="72" t="inlineStr">
        <is>
          <t>C - Agent-issued card</t>
        </is>
      </c>
      <c r="C12" s="59" t="inlineStr">
        <is>
          <t>Bank of Hope</t>
        </is>
      </c>
      <c r="D12" s="60" t="inlineStr">
        <is>
          <t>3/4 (missing: self-UW)</t>
        </is>
      </c>
      <c r="E12" s="69" t="inlineStr">
        <is>
          <t>Bank</t>
        </is>
      </c>
      <c r="F12" s="61" t="inlineStr">
        <is>
          <t>Yes</t>
        </is>
      </c>
      <c r="G12" s="60" t="inlineStr">
        <is>
          <t>SoCal - LA County</t>
        </is>
      </c>
      <c r="H12" s="62" t="inlineStr">
        <is>
          <t>CA-HQ (Southern California)</t>
        </is>
      </c>
      <c r="I12" s="63" t="inlineStr">
        <is>
          <t>$3k-$15k (est; Elan agent pattern, myFICO)</t>
        </is>
      </c>
      <c r="J12" s="60" t="inlineStr">
        <is>
          <t>$18.50B</t>
        </is>
      </c>
      <c r="K12" s="60" t="inlineStr">
        <is>
          <t>$15.85B</t>
        </is>
      </c>
      <c r="L12" s="60" t="inlineStr">
        <is>
          <t>~45 branches CA/NY/NJ/WA/TX/IL/AL/GA + ~29 HI (Territorial). Korean-American focus</t>
        </is>
      </c>
      <c r="M12" s="60" t="n">
        <v>92</v>
      </c>
      <c r="N12" s="60" t="inlineStr">
        <is>
          <t>Los Angeles</t>
        </is>
      </c>
      <c r="O12" s="60" t="inlineStr">
        <is>
          <t>Los Angeles</t>
        </is>
      </c>
      <c r="P12" s="64" t="inlineStr">
        <is>
          <t>bankofhope.com</t>
        </is>
      </c>
      <c r="Q12" s="65" t="inlineStr">
        <is>
          <t>Yes</t>
        </is>
      </c>
      <c r="R12" s="64" t="inlineStr">
        <is>
          <t>bankofhope.com/business-banking/credit-cards</t>
        </is>
      </c>
      <c r="S12" s="65" t="inlineStr">
        <is>
          <t>Online</t>
        </is>
      </c>
      <c r="T12" s="60" t="inlineStr">
        <is>
          <t>bankofhope.com card pages route to Elan apply portal</t>
        </is>
      </c>
      <c r="U12" s="67" t="inlineStr">
        <is>
          <t>No</t>
        </is>
      </c>
      <c r="V12" s="74" t="inlineStr">
        <is>
          <t>Elan (current; migrated ~Nov 2025 from FNBO)</t>
        </is>
      </c>
      <c r="W12" s="57" t="inlineStr">
        <is>
          <t>Yes (revolving)</t>
        </is>
      </c>
      <c r="X12" s="66" t="inlineStr">
        <is>
          <t>Legacy FNBO: 9 cycles. Current Elan: ~6 (not public yet)</t>
        </is>
      </c>
      <c r="Y12" s="60" t="inlineStr">
        <is>
          <t>Legacy FNBO (still posted, eff 9/1/23): Business Cashback 0% 9 cycles, then 17.74/21.74/25.74%, $0 AF, 1.25% cash back. Current Elan box not public</t>
        </is>
      </c>
      <c r="Z12" s="60" t="inlineStr">
        <is>
          <t>Current Elan=TransUnion; legacy FNBO=Experian</t>
        </is>
      </c>
      <c r="AA12" s="60" t="inlineStr">
        <is>
          <t>Current Elan=D&amp;B (delinquency-only)</t>
        </is>
      </c>
      <c r="AB12" s="60" t="inlineStr">
        <is>
          <t>No (delinquency-only)</t>
        </is>
      </c>
      <c r="AC12" s="60" t="inlineStr">
        <is>
          <t>None Bank of Hope-specific (recent Elan migration). Use Elan-general</t>
        </is>
      </c>
      <c r="AD12" s="64" t="inlineStr">
        <is>
          <t>bankofhope.com legacy disclosure PDFs</t>
        </is>
      </c>
      <c r="AE12" s="60" t="inlineStr">
        <is>
          <t>No explicit (age 18+, KYC, credit)</t>
        </is>
      </c>
      <c r="AF12" s="60" t="inlineStr">
        <is>
          <t>No - SBA/commercial/equipment leasing/trade underwritten</t>
        </is>
      </c>
      <c r="AG12" s="60" t="inlineStr">
        <is>
          <t>Issuer in transition: current Elan VERIFIED (footer); migrated from FNBO ~Nov 2025. Current box not public.</t>
        </is>
      </c>
      <c r="AH12" s="64" t="inlineStr">
        <is>
          <t>bankofhope.com/business-banking/credit-cards; legacy disclosure PDF</t>
        </is>
      </c>
    </row>
    <row r="13">
      <c r="A13" s="57" t="n">
        <v>12</v>
      </c>
      <c r="B13" s="72" t="inlineStr">
        <is>
          <t>C - Agent-issued card</t>
        </is>
      </c>
      <c r="C13" s="59" t="inlineStr">
        <is>
          <t>Citizens Business Bank</t>
        </is>
      </c>
      <c r="D13" s="60" t="inlineStr">
        <is>
          <t>3/4 (missing: self-UW)</t>
        </is>
      </c>
      <c r="E13" s="69" t="inlineStr">
        <is>
          <t>Bank</t>
        </is>
      </c>
      <c r="F13" s="61" t="inlineStr">
        <is>
          <t>Yes</t>
        </is>
      </c>
      <c r="G13" s="60" t="inlineStr">
        <is>
          <t>SoCal - Inland Empire</t>
        </is>
      </c>
      <c r="H13" s="62" t="inlineStr">
        <is>
          <t>CA-HQ (Southern California)</t>
        </is>
      </c>
      <c r="I13" s="63" t="inlineStr">
        <is>
          <t>$3k-$15k (est; Elan agent pattern, myFICO)</t>
        </is>
      </c>
      <c r="J13" s="60" t="inlineStr">
        <is>
          <t>$15.67B</t>
        </is>
      </c>
      <c r="K13" s="60" t="inlineStr">
        <is>
          <t>$12.18B</t>
        </is>
      </c>
      <c r="L13" s="60" t="inlineStr">
        <is>
          <t>~60 CA business banking centers; Central Valley, SoCal, Bay Area</t>
        </is>
      </c>
      <c r="M13" s="60" t="n">
        <v>87</v>
      </c>
      <c r="N13" s="60" t="inlineStr">
        <is>
          <t>Ontario</t>
        </is>
      </c>
      <c r="O13" s="60" t="inlineStr">
        <is>
          <t>San Bernardino</t>
        </is>
      </c>
      <c r="P13" s="64" t="inlineStr">
        <is>
          <t>cbbank.com</t>
        </is>
      </c>
      <c r="Q13" s="65" t="inlineStr">
        <is>
          <t>Yes</t>
        </is>
      </c>
      <c r="R13" s="64" t="inlineStr">
        <is>
          <t>cbbank.com/business-cards/</t>
        </is>
      </c>
      <c r="S13" s="65" t="inlineStr">
        <is>
          <t>Online</t>
        </is>
      </c>
      <c r="T13" s="60" t="inlineStr">
        <is>
          <t>cbbank.com/business-cards (Elan portal)</t>
        </is>
      </c>
      <c r="U13" s="67" t="inlineStr">
        <is>
          <t>No</t>
        </is>
      </c>
      <c r="V13" s="74" t="inlineStr">
        <is>
          <t>Elan Financial Services (U.S. Bank)</t>
        </is>
      </c>
      <c r="W13" s="57" t="inlineStr">
        <is>
          <t>Yes (revolving)</t>
        </is>
      </c>
      <c r="X13" s="67" t="inlineStr">
        <is>
          <t>Verify (Elan menu)</t>
        </is>
      </c>
      <c r="Y13" s="60" t="inlineStr">
        <is>
          <t>Elan business suite; APR/AF per Elan T&amp;C (not on page)</t>
        </is>
      </c>
      <c r="Z13" s="60" t="inlineStr">
        <is>
          <t>TransUnion (Elan)</t>
        </is>
      </c>
      <c r="AA13" s="60" t="inlineStr">
        <is>
          <t>D&amp;B (delinquency-only); SBFE unconfirmed</t>
        </is>
      </c>
      <c r="AB13" s="60" t="inlineStr">
        <is>
          <t>No (delinquency-only)</t>
        </is>
      </c>
      <c r="AC13" s="60" t="inlineStr">
        <is>
          <t>Elan general</t>
        </is>
      </c>
      <c r="AD13" s="64" t="inlineStr">
        <is>
          <t>stacking.capital; myFICO</t>
        </is>
      </c>
      <c r="AE13" s="60" t="inlineStr">
        <is>
          <t>No (Elan card)</t>
        </is>
      </c>
      <c r="AF13" s="60" t="inlineStr">
        <is>
          <t>No - commercial/SBA/ABL underwritten</t>
        </is>
      </c>
      <c r="AG13" s="60" t="inlineStr">
        <is>
          <t>Issuer VERIFIED (Elan, 'creditor and issuer' line on page).</t>
        </is>
      </c>
      <c r="AH13" s="64" t="inlineStr">
        <is>
          <t>cbbank.com/business-cards/</t>
        </is>
      </c>
    </row>
    <row r="14">
      <c r="A14" s="57" t="n">
        <v>13</v>
      </c>
      <c r="B14" s="72" t="inlineStr">
        <is>
          <t>C - Agent-issued card</t>
        </is>
      </c>
      <c r="C14" s="59" t="inlineStr">
        <is>
          <t>First Foundation Bank</t>
        </is>
      </c>
      <c r="D14" s="60" t="inlineStr">
        <is>
          <t>3/4 (missing: self-UW)</t>
        </is>
      </c>
      <c r="E14" s="69" t="inlineStr">
        <is>
          <t>Bank</t>
        </is>
      </c>
      <c r="F14" s="61" t="inlineStr">
        <is>
          <t>Yes</t>
        </is>
      </c>
      <c r="G14" s="60" t="inlineStr">
        <is>
          <t>SoCal - Orange County</t>
        </is>
      </c>
      <c r="H14" s="62" t="inlineStr">
        <is>
          <t>CA-HQ (Southern California)</t>
        </is>
      </c>
      <c r="I14" s="63" t="inlineStr">
        <is>
          <t>$3k-$15k (est; Elan agent pattern, myFICO)</t>
        </is>
      </c>
      <c r="J14" s="60" t="inlineStr">
        <is>
          <t>$11.89B</t>
        </is>
      </c>
      <c r="K14" s="60" t="inlineStr">
        <is>
          <t>$9.32B</t>
        </is>
      </c>
      <c r="L14" s="60" t="inlineStr">
        <is>
          <t>CA + multi-state (TX, NV, HI, FL); wealth + business banking</t>
        </is>
      </c>
      <c r="M14" s="60" t="n">
        <v>87</v>
      </c>
      <c r="N14" s="60" t="inlineStr">
        <is>
          <t>Irvine</t>
        </is>
      </c>
      <c r="O14" s="60" t="inlineStr">
        <is>
          <t>Orange</t>
        </is>
      </c>
      <c r="P14" s="64" t="inlineStr">
        <is>
          <t>firstfoundationinc.com</t>
        </is>
      </c>
      <c r="Q14" s="65" t="inlineStr">
        <is>
          <t>Yes</t>
        </is>
      </c>
      <c r="R14" s="64" t="inlineStr">
        <is>
          <t>firstfoundationinc.com/business-banking/business-lending/business-credit-cards</t>
        </is>
      </c>
      <c r="S14" s="65" t="inlineStr">
        <is>
          <t>Online</t>
        </is>
      </c>
      <c r="T14" s="60" t="inlineStr">
        <is>
          <t>Elan portal (credit-card login)</t>
        </is>
      </c>
      <c r="U14" s="67" t="inlineStr">
        <is>
          <t>No</t>
        </is>
      </c>
      <c r="V14" s="74" t="inlineStr">
        <is>
          <t>Elan Financial Services (U.S. Bank)</t>
        </is>
      </c>
      <c r="W14" s="57" t="inlineStr">
        <is>
          <t>Yes (revolving)</t>
        </is>
      </c>
      <c r="X14" s="67" t="inlineStr">
        <is>
          <t>Verify (Elan menu)</t>
        </is>
      </c>
      <c r="Y14" s="60" t="inlineStr">
        <is>
          <t>Elan business suite (Visa + Amex variants); APR/AF per Elan T&amp;C</t>
        </is>
      </c>
      <c r="Z14" s="60" t="inlineStr">
        <is>
          <t>TransUnion (Elan)</t>
        </is>
      </c>
      <c r="AA14" s="60" t="inlineStr">
        <is>
          <t>D&amp;B (delinquency-only); SBFE unconfirmed</t>
        </is>
      </c>
      <c r="AB14" s="60" t="inlineStr">
        <is>
          <t>No (delinquency-only)</t>
        </is>
      </c>
      <c r="AC14" s="60" t="inlineStr">
        <is>
          <t>Elan general</t>
        </is>
      </c>
      <c r="AD14" s="64" t="inlineStr">
        <is>
          <t>stacking.capital; myFICO</t>
        </is>
      </c>
      <c r="AE14" s="60" t="inlineStr">
        <is>
          <t>No (Elan card)</t>
        </is>
      </c>
      <c r="AF14" s="60" t="inlineStr">
        <is>
          <t>No - commercial/SBA underwritten</t>
        </is>
      </c>
      <c r="AG14" s="60" t="inlineStr">
        <is>
          <t>Issuer VERIFIED (Elan, via credit-card login page).</t>
        </is>
      </c>
      <c r="AH14" s="64" t="inlineStr">
        <is>
          <t>firstfoundationinc.com</t>
        </is>
      </c>
    </row>
    <row r="15">
      <c r="A15" s="57" t="n">
        <v>14</v>
      </c>
      <c r="B15" s="72" t="inlineStr">
        <is>
          <t>C - Agent-issued card</t>
        </is>
      </c>
      <c r="C15" s="59" t="inlineStr">
        <is>
          <t>Hanmi Bank</t>
        </is>
      </c>
      <c r="D15" s="60" t="inlineStr">
        <is>
          <t>3/4 (missing: self-UW)</t>
        </is>
      </c>
      <c r="E15" s="69" t="inlineStr">
        <is>
          <t>Bank</t>
        </is>
      </c>
      <c r="F15" s="61" t="inlineStr">
        <is>
          <t>Yes</t>
        </is>
      </c>
      <c r="G15" s="60" t="inlineStr">
        <is>
          <t>SoCal - LA County</t>
        </is>
      </c>
      <c r="H15" s="62" t="inlineStr">
        <is>
          <t>CA-HQ (Southern California)</t>
        </is>
      </c>
      <c r="I15" s="63" t="inlineStr">
        <is>
          <t>$3k-$15k (est; Elan agent pattern, myFICO)</t>
        </is>
      </c>
      <c r="J15" s="60" t="inlineStr">
        <is>
          <t>$7.81B</t>
        </is>
      </c>
      <c r="K15" s="60" t="inlineStr">
        <is>
          <t>$6.77B</t>
        </is>
      </c>
      <c r="L15" s="60" t="inlineStr">
        <is>
          <t>~30+ branches CA/TX/IL/NY/NJ/VA/GA/CO/WA; Korean-American focus</t>
        </is>
      </c>
      <c r="M15" s="60" t="n">
        <v>85</v>
      </c>
      <c r="N15" s="60" t="inlineStr">
        <is>
          <t>Los Angeles</t>
        </is>
      </c>
      <c r="O15" s="60" t="inlineStr">
        <is>
          <t>Los Angeles</t>
        </is>
      </c>
      <c r="P15" s="64" t="inlineStr">
        <is>
          <t>hanmi.com</t>
        </is>
      </c>
      <c r="Q15" s="65" t="inlineStr">
        <is>
          <t>Yes</t>
        </is>
      </c>
      <c r="R15" s="64" t="inlineStr">
        <is>
          <t>hanmi.com/business/credit-cards/</t>
        </is>
      </c>
      <c r="S15" s="65" t="inlineStr">
        <is>
          <t>Online</t>
        </is>
      </c>
      <c r="T15" s="60" t="inlineStr">
        <is>
          <t>Elan portal</t>
        </is>
      </c>
      <c r="U15" s="67" t="inlineStr">
        <is>
          <t>No</t>
        </is>
      </c>
      <c r="V15" s="74" t="inlineStr">
        <is>
          <t>Elan Financial Services (U.S. Bank)</t>
        </is>
      </c>
      <c r="W15" s="57" t="inlineStr">
        <is>
          <t>Yes (revolving)</t>
        </is>
      </c>
      <c r="X15" s="67" t="inlineStr">
        <is>
          <t>Verify (Elan menu)</t>
        </is>
      </c>
      <c r="Y15" s="60" t="inlineStr">
        <is>
          <t>Elan business suite; APR/AF per Elan T&amp;C</t>
        </is>
      </c>
      <c r="Z15" s="60" t="inlineStr">
        <is>
          <t>TransUnion (Elan)</t>
        </is>
      </c>
      <c r="AA15" s="60" t="inlineStr">
        <is>
          <t>D&amp;B (delinquency-only)</t>
        </is>
      </c>
      <c r="AB15" s="60" t="inlineStr">
        <is>
          <t>No (delinquency-only)</t>
        </is>
      </c>
      <c r="AC15" s="60" t="inlineStr">
        <is>
          <t>Elan general</t>
        </is>
      </c>
      <c r="AD15" s="64" t="inlineStr">
        <is>
          <t>stacking.capital</t>
        </is>
      </c>
      <c r="AE15" s="60" t="inlineStr">
        <is>
          <t>No (Elan card)</t>
        </is>
      </c>
      <c r="AF15" s="60" t="inlineStr">
        <is>
          <t>No - SBA/CRE/C&amp;I underwritten</t>
        </is>
      </c>
      <c r="AG15" s="60" t="inlineStr">
        <is>
          <t>Issuer VERIFIED (Elan). Earlier 'Fifth Third' web result was wrong.</t>
        </is>
      </c>
      <c r="AH15" s="64" t="inlineStr">
        <is>
          <t>hanmi.com/business/credit-cards/</t>
        </is>
      </c>
    </row>
    <row r="16">
      <c r="A16" s="57" t="n">
        <v>15</v>
      </c>
      <c r="B16" s="72" t="inlineStr">
        <is>
          <t>C - Agent-issued card</t>
        </is>
      </c>
      <c r="C16" s="59" t="inlineStr">
        <is>
          <t>Preferred Bank</t>
        </is>
      </c>
      <c r="D16" s="60" t="inlineStr">
        <is>
          <t>3/4 (missing: self-UW)</t>
        </is>
      </c>
      <c r="E16" s="69" t="inlineStr">
        <is>
          <t>Bank</t>
        </is>
      </c>
      <c r="F16" s="61" t="inlineStr">
        <is>
          <t>Yes</t>
        </is>
      </c>
      <c r="G16" s="60" t="inlineStr">
        <is>
          <t>SoCal - LA County</t>
        </is>
      </c>
      <c r="H16" s="62" t="inlineStr">
        <is>
          <t>CA-HQ (Southern California)</t>
        </is>
      </c>
      <c r="I16" s="63" t="inlineStr">
        <is>
          <t>$3k-$15k (est; Elan agent pattern, myFICO)</t>
        </is>
      </c>
      <c r="J16" s="60" t="inlineStr">
        <is>
          <t>$7.47B</t>
        </is>
      </c>
      <c r="K16" s="60" t="inlineStr">
        <is>
          <t>$6.24B</t>
        </is>
      </c>
      <c r="L16" s="60" t="inlineStr">
        <is>
          <t>~12 branches CA + Flushing NY; commercial focus</t>
        </is>
      </c>
      <c r="M16" s="60" t="n">
        <v>85</v>
      </c>
      <c r="N16" s="60" t="inlineStr">
        <is>
          <t>Los Angeles</t>
        </is>
      </c>
      <c r="O16" s="60" t="inlineStr">
        <is>
          <t>Los Angeles</t>
        </is>
      </c>
      <c r="P16" s="64" t="inlineStr">
        <is>
          <t>preferredbank.com</t>
        </is>
      </c>
      <c r="Q16" s="65" t="inlineStr">
        <is>
          <t>Yes</t>
        </is>
      </c>
      <c r="R16" s="64" t="inlineStr">
        <is>
          <t>preferredbank.com/business/loans-and-credit/credit-cards</t>
        </is>
      </c>
      <c r="S16" s="65" t="inlineStr">
        <is>
          <t>Online</t>
        </is>
      </c>
      <c r="T16" s="60" t="inlineStr">
        <is>
          <t>Elan portal</t>
        </is>
      </c>
      <c r="U16" s="67" t="inlineStr">
        <is>
          <t>No</t>
        </is>
      </c>
      <c r="V16" s="74" t="inlineStr">
        <is>
          <t>Elan Financial Services (U.S. Bank)</t>
        </is>
      </c>
      <c r="W16" s="57" t="inlineStr">
        <is>
          <t>Yes (revolving)</t>
        </is>
      </c>
      <c r="X16" s="67" t="inlineStr">
        <is>
          <t>Verify (Elan menu)</t>
        </is>
      </c>
      <c r="Y16" s="60" t="inlineStr">
        <is>
          <t>Elan business suite; APR/AF per Elan T&amp;C</t>
        </is>
      </c>
      <c r="Z16" s="60" t="inlineStr">
        <is>
          <t>TransUnion (Elan)</t>
        </is>
      </c>
      <c r="AA16" s="60" t="inlineStr">
        <is>
          <t>D&amp;B (delinquency-only)</t>
        </is>
      </c>
      <c r="AB16" s="60" t="inlineStr">
        <is>
          <t>No (delinquency-only)</t>
        </is>
      </c>
      <c r="AC16" s="60" t="inlineStr">
        <is>
          <t>Elan general</t>
        </is>
      </c>
      <c r="AD16" s="64" t="inlineStr">
        <is>
          <t>stacking.capital</t>
        </is>
      </c>
      <c r="AE16" s="60" t="inlineStr">
        <is>
          <t>No (Elan card)</t>
        </is>
      </c>
      <c r="AF16" s="60" t="inlineStr">
        <is>
          <t>No - commercial/CRE underwritten</t>
        </is>
      </c>
      <c r="AG16" s="60" t="inlineStr">
        <is>
          <t>Issuer VERIFIED (Elan).</t>
        </is>
      </c>
      <c r="AH16" s="64" t="inlineStr">
        <is>
          <t>preferredbank.com</t>
        </is>
      </c>
    </row>
    <row r="17">
      <c r="A17" s="57" t="n">
        <v>16</v>
      </c>
      <c r="B17" s="72" t="inlineStr">
        <is>
          <t>C - Agent-issued card</t>
        </is>
      </c>
      <c r="C17" s="59" t="inlineStr">
        <is>
          <t>Royal Business Bank</t>
        </is>
      </c>
      <c r="D17" s="60" t="inlineStr">
        <is>
          <t>3/4 (missing: self-UW)</t>
        </is>
      </c>
      <c r="E17" s="69" t="inlineStr">
        <is>
          <t>Bank</t>
        </is>
      </c>
      <c r="F17" s="61" t="inlineStr">
        <is>
          <t>Yes</t>
        </is>
      </c>
      <c r="G17" s="60" t="inlineStr">
        <is>
          <t>SoCal - LA County</t>
        </is>
      </c>
      <c r="H17" s="62" t="inlineStr">
        <is>
          <t>CA-HQ (Southern California)</t>
        </is>
      </c>
      <c r="I17" s="63" t="inlineStr">
        <is>
          <t>$3k-$15k (est; Elan agent pattern, myFICO)</t>
        </is>
      </c>
      <c r="J17" s="60" t="inlineStr">
        <is>
          <t>$4.20B</t>
        </is>
      </c>
      <c r="K17" s="60" t="inlineStr">
        <is>
          <t>$3.42B</t>
        </is>
      </c>
      <c r="L17" s="60" t="inlineStr">
        <is>
          <t>CA + NV/NY/IL/NJ/HI; Chinese-American focus</t>
        </is>
      </c>
      <c r="M17" s="60" t="n">
        <v>85</v>
      </c>
      <c r="N17" s="60" t="inlineStr">
        <is>
          <t>Los Angeles</t>
        </is>
      </c>
      <c r="O17" s="60" t="inlineStr">
        <is>
          <t>Los Angeles</t>
        </is>
      </c>
      <c r="P17" s="64" t="inlineStr">
        <is>
          <t>royalbusinessbankusa.com</t>
        </is>
      </c>
      <c r="Q17" s="65" t="inlineStr">
        <is>
          <t>Yes</t>
        </is>
      </c>
      <c r="R17" s="64" t="inlineStr">
        <is>
          <t>royalbusinessbankusa.com/service/business-banking-services/</t>
        </is>
      </c>
      <c r="S17" s="65" t="inlineStr">
        <is>
          <t>Online</t>
        </is>
      </c>
      <c r="T17" s="60" t="inlineStr">
        <is>
          <t>Elan portal</t>
        </is>
      </c>
      <c r="U17" s="67" t="inlineStr">
        <is>
          <t>No</t>
        </is>
      </c>
      <c r="V17" s="74" t="inlineStr">
        <is>
          <t>Elan Financial Services (U.S. Bank)</t>
        </is>
      </c>
      <c r="W17" s="57" t="inlineStr">
        <is>
          <t>Yes (revolving)</t>
        </is>
      </c>
      <c r="X17" s="67" t="inlineStr">
        <is>
          <t>Verify (Elan menu)</t>
        </is>
      </c>
      <c r="Y17" s="60" t="inlineStr">
        <is>
          <t>Elan business suite (Visa + Mastercard); APR/AF per Elan T&amp;C</t>
        </is>
      </c>
      <c r="Z17" s="60" t="inlineStr">
        <is>
          <t>TransUnion (Elan)</t>
        </is>
      </c>
      <c r="AA17" s="60" t="inlineStr">
        <is>
          <t>D&amp;B (delinquency-only)</t>
        </is>
      </c>
      <c r="AB17" s="60" t="inlineStr">
        <is>
          <t>No (delinquency-only)</t>
        </is>
      </c>
      <c r="AC17" s="60" t="inlineStr">
        <is>
          <t>Elan general</t>
        </is>
      </c>
      <c r="AD17" s="64" t="inlineStr">
        <is>
          <t>stacking.capital</t>
        </is>
      </c>
      <c r="AE17" s="60" t="inlineStr">
        <is>
          <t>No (Elan card)</t>
        </is>
      </c>
      <c r="AF17" s="60" t="inlineStr">
        <is>
          <t>No - commercial/SBA underwritten</t>
        </is>
      </c>
      <c r="AG17" s="60" t="inlineStr">
        <is>
          <t>Issuer VERIFIED (Elan).</t>
        </is>
      </c>
      <c r="AH17" s="64" t="inlineStr">
        <is>
          <t>royalbusinessbankusa.com</t>
        </is>
      </c>
    </row>
    <row r="18">
      <c r="A18" s="57" t="n">
        <v>17</v>
      </c>
      <c r="B18" s="72" t="inlineStr">
        <is>
          <t>C - Agent-issued card</t>
        </is>
      </c>
      <c r="C18" s="59" t="inlineStr">
        <is>
          <t>Premier America Credit Union</t>
        </is>
      </c>
      <c r="D18" s="60" t="inlineStr">
        <is>
          <t>3/4 (missing: self-UW)</t>
        </is>
      </c>
      <c r="E18" s="61" t="inlineStr">
        <is>
          <t>Credit Union</t>
        </is>
      </c>
      <c r="F18" s="61" t="inlineStr">
        <is>
          <t>Yes</t>
        </is>
      </c>
      <c r="G18" s="60" t="inlineStr">
        <is>
          <t>SoCal - LA County</t>
        </is>
      </c>
      <c r="H18" s="62" t="inlineStr">
        <is>
          <t>CA-HQ (Southern California)</t>
        </is>
      </c>
      <c r="I18" s="63" t="inlineStr">
        <is>
          <t>$3k-$15k (est; Elan agent pattern, myFICO)</t>
        </is>
      </c>
      <c r="J18" s="60" t="inlineStr">
        <is>
          <t>~$3.5B</t>
        </is>
      </c>
      <c r="K18" s="60" t="inlineStr">
        <is>
          <t>~$3B (shares)</t>
        </is>
      </c>
      <c r="L18" s="60" t="inlineStr">
        <is>
          <t>LA (West SF Valley) + TX; association membership path</t>
        </is>
      </c>
      <c r="M18" s="60" t="n">
        <v>85</v>
      </c>
      <c r="N18" s="60" t="inlineStr">
        <is>
          <t>Chatsworth</t>
        </is>
      </c>
      <c r="O18" s="60" t="inlineStr">
        <is>
          <t>Los Angeles</t>
        </is>
      </c>
      <c r="P18" s="64" t="inlineStr">
        <is>
          <t>premieramerica.com</t>
        </is>
      </c>
      <c r="Q18" s="65" t="inlineStr">
        <is>
          <t>Yes</t>
        </is>
      </c>
      <c r="R18" s="64" t="inlineStr">
        <is>
          <t>premieramerica.com/business/loans/business-mastercard</t>
        </is>
      </c>
      <c r="S18" s="65" t="inlineStr">
        <is>
          <t>Online</t>
        </is>
      </c>
      <c r="T18" s="60" t="inlineStr">
        <is>
          <t>Elan portal (inferred)</t>
        </is>
      </c>
      <c r="U18" s="67" t="inlineStr">
        <is>
          <t>No</t>
        </is>
      </c>
      <c r="V18" s="74" t="inlineStr">
        <is>
          <t>Elan Financial Services (U.S. Bank)</t>
        </is>
      </c>
      <c r="W18" s="57" t="inlineStr">
        <is>
          <t>Yes (revolving)</t>
        </is>
      </c>
      <c r="X18" s="67" t="inlineStr">
        <is>
          <t>Verify (Elan menu)</t>
        </is>
      </c>
      <c r="Y18" s="60" t="inlineStr">
        <is>
          <t>Elan business Mastercard; APR/AF per Elan T&amp;C</t>
        </is>
      </c>
      <c r="Z18" s="60" t="inlineStr">
        <is>
          <t>TransUnion (Elan)</t>
        </is>
      </c>
      <c r="AA18" s="60" t="inlineStr">
        <is>
          <t>D&amp;B (delinquency-only)</t>
        </is>
      </c>
      <c r="AB18" s="60" t="inlineStr">
        <is>
          <t>No (delinquency-only)</t>
        </is>
      </c>
      <c r="AC18" s="60" t="inlineStr">
        <is>
          <t>Elan general</t>
        </is>
      </c>
      <c r="AD18" s="64" t="inlineStr">
        <is>
          <t>stacking.capital</t>
        </is>
      </c>
      <c r="AE18" s="60" t="inlineStr">
        <is>
          <t>Membership req (assoc. path); Elan card</t>
        </is>
      </c>
      <c r="AF18" s="60" t="inlineStr">
        <is>
          <t>No - business lending underwritten</t>
        </is>
      </c>
      <c r="AG18" s="60" t="inlineStr">
        <is>
          <t>Business card is ELAN-issued (agent), VERIFIED. Self-files only consumer agreements.</t>
        </is>
      </c>
      <c r="AH18" s="64" t="inlineStr">
        <is>
          <t>premieramerica.com/business/loans/business-mastercard</t>
        </is>
      </c>
    </row>
    <row r="19">
      <c r="A19" s="57" t="n">
        <v>18</v>
      </c>
      <c r="B19" s="72" t="inlineStr">
        <is>
          <t>C - Agent-issued card</t>
        </is>
      </c>
      <c r="C19" s="59" t="inlineStr">
        <is>
          <t>PCB Bank</t>
        </is>
      </c>
      <c r="D19" s="60" t="inlineStr">
        <is>
          <t>3/4 (missing: self-UW)</t>
        </is>
      </c>
      <c r="E19" s="69" t="inlineStr">
        <is>
          <t>Bank</t>
        </is>
      </c>
      <c r="F19" s="61" t="inlineStr">
        <is>
          <t>Yes</t>
        </is>
      </c>
      <c r="G19" s="60" t="inlineStr">
        <is>
          <t>SoCal - LA County</t>
        </is>
      </c>
      <c r="H19" s="62" t="inlineStr">
        <is>
          <t>CA-HQ (Southern California)</t>
        </is>
      </c>
      <c r="I19" s="63" t="inlineStr">
        <is>
          <t>$3k-$15k (est; Elan agent pattern, myFICO)</t>
        </is>
      </c>
      <c r="J19" s="60" t="inlineStr">
        <is>
          <t>$3.36B</t>
        </is>
      </c>
      <c r="K19" s="60" t="inlineStr">
        <is>
          <t>$2.92B</t>
        </is>
      </c>
      <c r="L19" s="60" t="inlineStr">
        <is>
          <t>CA + multi-state; Korean-American focus</t>
        </is>
      </c>
      <c r="M19" s="60" t="n">
        <v>85</v>
      </c>
      <c r="N19" s="60" t="inlineStr">
        <is>
          <t>Los Angeles</t>
        </is>
      </c>
      <c r="O19" s="60" t="inlineStr">
        <is>
          <t>Los Angeles</t>
        </is>
      </c>
      <c r="P19" s="64" t="inlineStr">
        <is>
          <t>mypcbbank.com</t>
        </is>
      </c>
      <c r="Q19" s="65" t="inlineStr">
        <is>
          <t>Yes</t>
        </is>
      </c>
      <c r="R19" s="64" t="inlineStr">
        <is>
          <t>mypcbbank.com/business/business-credit-cards</t>
        </is>
      </c>
      <c r="S19" s="65" t="inlineStr">
        <is>
          <t>Online</t>
        </is>
      </c>
      <c r="T19" s="60" t="inlineStr">
        <is>
          <t>Elan portal</t>
        </is>
      </c>
      <c r="U19" s="67" t="inlineStr">
        <is>
          <t>No</t>
        </is>
      </c>
      <c r="V19" s="74" t="inlineStr">
        <is>
          <t>Elan Financial Services (U.S. Bank)</t>
        </is>
      </c>
      <c r="W19" s="57" t="inlineStr">
        <is>
          <t>Yes (revolving)</t>
        </is>
      </c>
      <c r="X19" s="67" t="inlineStr">
        <is>
          <t>Verify (Elan menu)</t>
        </is>
      </c>
      <c r="Y19" s="60" t="inlineStr">
        <is>
          <t>Elan business suite; APR/AF per Elan T&amp;C</t>
        </is>
      </c>
      <c r="Z19" s="60" t="inlineStr">
        <is>
          <t>TransUnion (Elan)</t>
        </is>
      </c>
      <c r="AA19" s="60" t="inlineStr">
        <is>
          <t>D&amp;B (delinquency-only)</t>
        </is>
      </c>
      <c r="AB19" s="60" t="inlineStr">
        <is>
          <t>No (delinquency-only)</t>
        </is>
      </c>
      <c r="AC19" s="60" t="inlineStr">
        <is>
          <t>Elan general</t>
        </is>
      </c>
      <c r="AD19" s="64" t="inlineStr">
        <is>
          <t>stacking.capital</t>
        </is>
      </c>
      <c r="AE19" s="60" t="inlineStr">
        <is>
          <t>No (Elan card)</t>
        </is>
      </c>
      <c r="AF19" s="60" t="inlineStr">
        <is>
          <t>No - commercial/SBA underwritten</t>
        </is>
      </c>
      <c r="AG19" s="60" t="inlineStr">
        <is>
          <t>Issuer VERIFIED (Elan).</t>
        </is>
      </c>
      <c r="AH19" s="64" t="inlineStr">
        <is>
          <t>mypcbbank.com/business/business-credit-cards</t>
        </is>
      </c>
    </row>
    <row r="20">
      <c r="A20" s="57" t="n">
        <v>19</v>
      </c>
      <c r="B20" s="72" t="inlineStr">
        <is>
          <t>C - Agent-issued card</t>
        </is>
      </c>
      <c r="C20" s="59" t="inlineStr">
        <is>
          <t>Open Bank</t>
        </is>
      </c>
      <c r="D20" s="60" t="inlineStr">
        <is>
          <t>3/4 (missing: self-UW)</t>
        </is>
      </c>
      <c r="E20" s="69" t="inlineStr">
        <is>
          <t>Bank</t>
        </is>
      </c>
      <c r="F20" s="61" t="inlineStr">
        <is>
          <t>Yes</t>
        </is>
      </c>
      <c r="G20" s="60" t="inlineStr">
        <is>
          <t>SoCal - LA County</t>
        </is>
      </c>
      <c r="H20" s="62" t="inlineStr">
        <is>
          <t>CA-HQ (Southern California)</t>
        </is>
      </c>
      <c r="I20" s="63" t="inlineStr">
        <is>
          <t>$3k-$15k (est; Elan agent pattern, myFICO)</t>
        </is>
      </c>
      <c r="J20" s="60" t="inlineStr">
        <is>
          <t>$2.61B</t>
        </is>
      </c>
      <c r="K20" s="60" t="inlineStr">
        <is>
          <t>$2.28B</t>
        </is>
      </c>
      <c r="L20" s="60" t="inlineStr">
        <is>
          <t>LA + multi-state; Korean-American focus</t>
        </is>
      </c>
      <c r="M20" s="60" t="n">
        <v>83</v>
      </c>
      <c r="N20" s="60" t="inlineStr">
        <is>
          <t>Los Angeles</t>
        </is>
      </c>
      <c r="O20" s="60" t="inlineStr">
        <is>
          <t>Los Angeles</t>
        </is>
      </c>
      <c r="P20" s="64" t="inlineStr">
        <is>
          <t>myopenbank.com</t>
        </is>
      </c>
      <c r="Q20" s="65" t="inlineStr">
        <is>
          <t>Yes</t>
        </is>
      </c>
      <c r="R20" s="64" t="inlineStr">
        <is>
          <t>myopenbank.com/additional-services/</t>
        </is>
      </c>
      <c r="S20" s="65" t="inlineStr">
        <is>
          <t>Online</t>
        </is>
      </c>
      <c r="T20" s="60" t="inlineStr">
        <is>
          <t>Elan portal (creditcardlearnmore.com)</t>
        </is>
      </c>
      <c r="U20" s="67" t="inlineStr">
        <is>
          <t>No</t>
        </is>
      </c>
      <c r="V20" s="74" t="inlineStr">
        <is>
          <t>Elan Financial Services (U.S. Bank)</t>
        </is>
      </c>
      <c r="W20" s="57" t="inlineStr">
        <is>
          <t>Yes (revolving)</t>
        </is>
      </c>
      <c r="X20" s="67" t="inlineStr">
        <is>
          <t>Verify (Elan menu)</t>
        </is>
      </c>
      <c r="Y20" s="60" t="inlineStr">
        <is>
          <t>Elan business suite; APR/AF per Elan T&amp;C</t>
        </is>
      </c>
      <c r="Z20" s="60" t="inlineStr">
        <is>
          <t>TransUnion (Elan)</t>
        </is>
      </c>
      <c r="AA20" s="60" t="inlineStr">
        <is>
          <t>D&amp;B (delinquency-only)</t>
        </is>
      </c>
      <c r="AB20" s="60" t="inlineStr">
        <is>
          <t>No (delinquency-only)</t>
        </is>
      </c>
      <c r="AC20" s="60" t="inlineStr">
        <is>
          <t>Elan general</t>
        </is>
      </c>
      <c r="AD20" s="64" t="inlineStr">
        <is>
          <t>stacking.capital</t>
        </is>
      </c>
      <c r="AE20" s="60" t="inlineStr">
        <is>
          <t>No (Elan card)</t>
        </is>
      </c>
      <c r="AF20" s="60" t="inlineStr">
        <is>
          <t>No - commercial/SBA underwritten</t>
        </is>
      </c>
      <c r="AG20" s="60" t="inlineStr">
        <is>
          <t>Issuer VERIFIED (Elan).</t>
        </is>
      </c>
      <c r="AH20" s="64" t="inlineStr">
        <is>
          <t>myopenbank.com/additional-services/</t>
        </is>
      </c>
    </row>
    <row r="21" ht="15.75" customHeight="1">
      <c r="A21" s="57" t="n">
        <v>20</v>
      </c>
      <c r="B21" s="72" t="inlineStr">
        <is>
          <t>C - Agent-issued card</t>
        </is>
      </c>
      <c r="C21" s="59" t="inlineStr">
        <is>
          <t>Provident Bank (Provident Savings)</t>
        </is>
      </c>
      <c r="D21" s="60" t="inlineStr">
        <is>
          <t>3/4 (missing: self-UW)</t>
        </is>
      </c>
      <c r="E21" s="69" t="inlineStr">
        <is>
          <t>Bank</t>
        </is>
      </c>
      <c r="F21" s="61" t="inlineStr">
        <is>
          <t>Yes</t>
        </is>
      </c>
      <c r="G21" s="60" t="inlineStr">
        <is>
          <t>SoCal - Inland Empire</t>
        </is>
      </c>
      <c r="H21" s="62" t="inlineStr">
        <is>
          <t>CA-HQ (Southern California)</t>
        </is>
      </c>
      <c r="I21" s="63" t="inlineStr">
        <is>
          <t>$3k-$15k (est; Elan agent pattern, myFICO)</t>
        </is>
      </c>
      <c r="J21" s="60" t="inlineStr">
        <is>
          <t>$1.23B</t>
        </is>
      </c>
      <c r="K21" s="60" t="inlineStr">
        <is>
          <t>$0.89B</t>
        </is>
      </c>
      <c r="L21" s="60" t="inlineStr">
        <is>
          <t>Inland Empire (Riverside/San Bernardino); thrift</t>
        </is>
      </c>
      <c r="M21" s="60" t="n">
        <v>83</v>
      </c>
      <c r="N21" s="60" t="inlineStr">
        <is>
          <t>Riverside</t>
        </is>
      </c>
      <c r="O21" s="60" t="inlineStr">
        <is>
          <t>Riverside</t>
        </is>
      </c>
      <c r="P21" s="64" t="inlineStr">
        <is>
          <t>myprovident.com</t>
        </is>
      </c>
      <c r="Q21" s="65" t="inlineStr">
        <is>
          <t>Yes</t>
        </is>
      </c>
      <c r="R21" s="64" t="inlineStr">
        <is>
          <t>myprovident.com/creditcard/</t>
        </is>
      </c>
      <c r="S21" s="65" t="inlineStr">
        <is>
          <t>Online</t>
        </is>
      </c>
      <c r="T21" s="60" t="inlineStr">
        <is>
          <t>Elan portal</t>
        </is>
      </c>
      <c r="U21" s="67" t="inlineStr">
        <is>
          <t>No</t>
        </is>
      </c>
      <c r="V21" s="74" t="inlineStr">
        <is>
          <t>Elan Financial Services (U.S. Bank)</t>
        </is>
      </c>
      <c r="W21" s="57" t="inlineStr">
        <is>
          <t>Yes (revolving)</t>
        </is>
      </c>
      <c r="X21" s="67" t="inlineStr">
        <is>
          <t>Verify (Elan menu)</t>
        </is>
      </c>
      <c r="Y21" s="60" t="inlineStr">
        <is>
          <t>Elan business suite; APR/AF per Elan T&amp;C</t>
        </is>
      </c>
      <c r="Z21" s="60" t="inlineStr">
        <is>
          <t>TransUnion (Elan)</t>
        </is>
      </c>
      <c r="AA21" s="60" t="inlineStr">
        <is>
          <t>D&amp;B (delinquency-only)</t>
        </is>
      </c>
      <c r="AB21" s="60" t="inlineStr">
        <is>
          <t>No (delinquency-only)</t>
        </is>
      </c>
      <c r="AC21" s="60" t="inlineStr">
        <is>
          <t>Elan general</t>
        </is>
      </c>
      <c r="AD21" s="64" t="inlineStr">
        <is>
          <t>stacking.capital</t>
        </is>
      </c>
      <c r="AE21" s="60" t="inlineStr">
        <is>
          <t>No (Elan card)</t>
        </is>
      </c>
      <c r="AF21" s="60" t="inlineStr">
        <is>
          <t>No - mortgage/commercial underwritten</t>
        </is>
      </c>
      <c r="AG21" s="60" t="inlineStr">
        <is>
          <t>Issuer VERIFIED (Elan, 'creditor and issuer' line).</t>
        </is>
      </c>
      <c r="AH21" s="64" t="inlineStr">
        <is>
          <t>myprovident.com/creditcard/</t>
        </is>
      </c>
    </row>
    <row r="22" ht="15.75" customHeight="1">
      <c r="A22" s="57" t="n">
        <v>21</v>
      </c>
      <c r="B22" s="72" t="inlineStr">
        <is>
          <t>C - Agent-issued card</t>
        </is>
      </c>
      <c r="C22" s="59" t="inlineStr">
        <is>
          <t>EverTrust Bank</t>
        </is>
      </c>
      <c r="D22" s="60" t="inlineStr">
        <is>
          <t>3/4 (missing: self-UW)</t>
        </is>
      </c>
      <c r="E22" s="69" t="inlineStr">
        <is>
          <t>Bank</t>
        </is>
      </c>
      <c r="F22" s="61" t="inlineStr">
        <is>
          <t>Yes</t>
        </is>
      </c>
      <c r="G22" s="60" t="inlineStr">
        <is>
          <t>SoCal - LA County</t>
        </is>
      </c>
      <c r="H22" s="62" t="inlineStr">
        <is>
          <t>CA-HQ (Southern California)</t>
        </is>
      </c>
      <c r="I22" s="63" t="inlineStr">
        <is>
          <t>$3k-$15k (est; Elan agent pattern, myFICO)</t>
        </is>
      </c>
      <c r="J22" s="60" t="inlineStr">
        <is>
          <t>$1.09B</t>
        </is>
      </c>
      <c r="K22" s="60" t="inlineStr">
        <is>
          <t>$0.82B</t>
        </is>
      </c>
      <c r="L22" s="60" t="inlineStr">
        <is>
          <t>San Gabriel Valley + multi-state; Chinese-American focus</t>
        </is>
      </c>
      <c r="M22" s="60" t="n">
        <v>83</v>
      </c>
      <c r="N22" s="60" t="inlineStr">
        <is>
          <t>City of Industry</t>
        </is>
      </c>
      <c r="O22" s="60" t="inlineStr">
        <is>
          <t>Los Angeles</t>
        </is>
      </c>
      <c r="P22" s="64" t="inlineStr">
        <is>
          <t>evertrustbank.com</t>
        </is>
      </c>
      <c r="Q22" s="65" t="inlineStr">
        <is>
          <t>Yes</t>
        </is>
      </c>
      <c r="R22" s="64" t="inlineStr">
        <is>
          <t>evertrustbank.com/Business/Visa-Credit-Cards</t>
        </is>
      </c>
      <c r="S22" s="65" t="inlineStr">
        <is>
          <t>Online</t>
        </is>
      </c>
      <c r="T22" s="60" t="inlineStr">
        <is>
          <t>Elan portal (creditcardlearnmore.com)</t>
        </is>
      </c>
      <c r="U22" s="67" t="inlineStr">
        <is>
          <t>No</t>
        </is>
      </c>
      <c r="V22" s="74" t="inlineStr">
        <is>
          <t>Elan Financial Services (U.S. Bank)</t>
        </is>
      </c>
      <c r="W22" s="57" t="inlineStr">
        <is>
          <t>Yes (revolving)</t>
        </is>
      </c>
      <c r="X22" s="67" t="inlineStr">
        <is>
          <t>Verify (Elan menu)</t>
        </is>
      </c>
      <c r="Y22" s="60" t="inlineStr">
        <is>
          <t>Elan business suite; APR/AF per Elan T&amp;C</t>
        </is>
      </c>
      <c r="Z22" s="60" t="inlineStr">
        <is>
          <t>TransUnion (Elan)</t>
        </is>
      </c>
      <c r="AA22" s="60" t="inlineStr">
        <is>
          <t>D&amp;B (delinquency-only)</t>
        </is>
      </c>
      <c r="AB22" s="60" t="inlineStr">
        <is>
          <t>No (delinquency-only)</t>
        </is>
      </c>
      <c r="AC22" s="60" t="inlineStr">
        <is>
          <t>Elan general</t>
        </is>
      </c>
      <c r="AD22" s="64" t="inlineStr">
        <is>
          <t>stacking.capital</t>
        </is>
      </c>
      <c r="AE22" s="60" t="inlineStr">
        <is>
          <t>No (Elan card)</t>
        </is>
      </c>
      <c r="AF22" s="60" t="inlineStr">
        <is>
          <t>No - commercial underwritten</t>
        </is>
      </c>
      <c r="AG22" s="60" t="inlineStr">
        <is>
          <t>Issuer VERIFIED (Elan).</t>
        </is>
      </c>
      <c r="AH22" s="64" t="inlineStr">
        <is>
          <t>evertrustbank.com/Business/Visa-Credit-Cards</t>
        </is>
      </c>
    </row>
    <row r="23" ht="15.75" customHeight="1">
      <c r="A23" s="57" t="n">
        <v>22</v>
      </c>
      <c r="B23" s="72" t="inlineStr">
        <is>
          <t>C - Agent-issued card</t>
        </is>
      </c>
      <c r="C23" s="60" t="inlineStr">
        <is>
          <t>Banc of California</t>
        </is>
      </c>
      <c r="D23" s="60" t="inlineStr">
        <is>
          <t>2/4 (missing: self-UW, apply online)</t>
        </is>
      </c>
      <c r="E23" s="69" t="inlineStr">
        <is>
          <t>Bank</t>
        </is>
      </c>
      <c r="F23" s="61" t="inlineStr">
        <is>
          <t>Yes</t>
        </is>
      </c>
      <c r="G23" s="60" t="inlineStr">
        <is>
          <t>SoCal - LA County</t>
        </is>
      </c>
      <c r="H23" s="62" t="inlineStr">
        <is>
          <t>CA-HQ (Southern California)</t>
        </is>
      </c>
      <c r="I23" s="63" t="inlineStr">
        <is>
          <t>$3k-$15k (est; Elan agent pattern, myFICO)</t>
        </is>
      </c>
      <c r="J23" s="60" t="inlineStr">
        <is>
          <t>$33.92B</t>
        </is>
      </c>
      <c r="K23" s="60" t="inlineStr">
        <is>
          <t>$27.34B</t>
        </is>
      </c>
      <c r="L23" s="60" t="inlineStr">
        <is>
          <t>~80 branches, ~74 CA cities; offices Denver CO, Durham NC</t>
        </is>
      </c>
      <c r="M23" s="60" t="n">
        <v>82</v>
      </c>
      <c r="N23" s="60" t="inlineStr">
        <is>
          <t>Los Angeles</t>
        </is>
      </c>
      <c r="O23" s="60" t="inlineStr">
        <is>
          <t>Los Angeles</t>
        </is>
      </c>
      <c r="P23" s="64" t="inlineStr">
        <is>
          <t>bancofcal.com</t>
        </is>
      </c>
      <c r="Q23" s="65" t="inlineStr">
        <is>
          <t>Yes</t>
        </is>
      </c>
      <c r="R23" s="64" t="inlineStr">
        <is>
          <t>bancofcal.com/payment-solutions/business-credit-card/</t>
        </is>
      </c>
      <c r="S23" s="66" t="inlineStr">
        <is>
          <t>Partial online</t>
        </is>
      </c>
      <c r="T23" s="60" t="inlineStr">
        <is>
          <t>online1.elancard.com (Elan); public flow often RM-assisted</t>
        </is>
      </c>
      <c r="U23" s="67" t="inlineStr">
        <is>
          <t>No</t>
        </is>
      </c>
      <c r="V23" s="74" t="inlineStr">
        <is>
          <t>Elan Financial Services (U.S. Bank)</t>
        </is>
      </c>
      <c r="W23" s="57" t="inlineStr">
        <is>
          <t>Yes (revolving)</t>
        </is>
      </c>
      <c r="X23" s="66" t="inlineStr">
        <is>
          <t>Yes - 20 billing cycles (Business Card)</t>
        </is>
      </c>
      <c r="Y23" s="60" t="inlineStr">
        <is>
          <t>Business Card: 0% intro 20 cycles, $0 AF. Business Cash: 3/2/1%, $0 AF. Go-to APR not published</t>
        </is>
      </c>
      <c r="Z23" s="60" t="inlineStr">
        <is>
          <t>TransUnion (Elan)</t>
        </is>
      </c>
      <c r="AA23" s="60" t="inlineStr">
        <is>
          <t>D&amp;B (delinquency-only to personal); SBFE plausible/unconfirmed</t>
        </is>
      </c>
      <c r="AB23" s="60" t="inlineStr">
        <is>
          <t>No (delinquency-only)</t>
        </is>
      </c>
      <c r="AC23" s="60" t="inlineStr">
        <is>
          <t>Elan general: start ~$3k-$10k+; CLI&gt;$25k needs 2yr financials; each app = separate TU pull</t>
        </is>
      </c>
      <c r="AD23" s="64" t="inlineStr">
        <is>
          <t>stacking.capital agent-issuer guide; myFICO Business-Credit</t>
        </is>
      </c>
      <c r="AE23" s="60" t="inlineStr">
        <is>
          <t>No (Elan card)</t>
        </is>
      </c>
      <c r="AF23" s="60" t="inlineStr">
        <is>
          <t>No - LOC/term ($250k-$8M)/SBA underwritten</t>
        </is>
      </c>
      <c r="AG23" s="60" t="inlineStr">
        <is>
          <t>Issuer VERIFIED (Elan). Strong 0% (20-cycle). Go-to APR/SBFE UNKNOWN.</t>
        </is>
      </c>
      <c r="AH23" s="64" t="inlineStr">
        <is>
          <t>bancofcal.com; card.myaccountaccess.com; hustlermoneyblog.com</t>
        </is>
      </c>
    </row>
    <row r="24" ht="15.75" customHeight="1">
      <c r="A24" s="57" t="n">
        <v>23</v>
      </c>
      <c r="B24" s="72" t="inlineStr">
        <is>
          <t>C - Agent-issued card</t>
        </is>
      </c>
      <c r="C24" s="59" t="inlineStr">
        <is>
          <t>First Pacific Bank</t>
        </is>
      </c>
      <c r="D24" s="60" t="inlineStr">
        <is>
          <t>3/4 (missing: self-UW)</t>
        </is>
      </c>
      <c r="E24" s="69" t="inlineStr">
        <is>
          <t>Bank</t>
        </is>
      </c>
      <c r="F24" s="61" t="inlineStr">
        <is>
          <t>Yes</t>
        </is>
      </c>
      <c r="G24" s="60" t="inlineStr">
        <is>
          <t>SoCal - LA County</t>
        </is>
      </c>
      <c r="H24" s="62" t="inlineStr">
        <is>
          <t>CA-HQ (Southern California)</t>
        </is>
      </c>
      <c r="I24" s="63" t="inlineStr">
        <is>
          <t>$3k-$15k (est; Elan agent pattern, myFICO)</t>
        </is>
      </c>
      <c r="J24" s="60" t="inlineStr">
        <is>
          <t>$0.49B</t>
        </is>
      </c>
      <c r="K24" s="60" t="inlineStr">
        <is>
          <t>$0.39B</t>
        </is>
      </c>
      <c r="L24" s="60" t="inlineStr">
        <is>
          <t>LA/OC/SD community bank</t>
        </is>
      </c>
      <c r="M24" s="60" t="n">
        <v>81</v>
      </c>
      <c r="N24" s="60" t="inlineStr">
        <is>
          <t>Whittier</t>
        </is>
      </c>
      <c r="O24" s="60" t="inlineStr">
        <is>
          <t>Los Angeles</t>
        </is>
      </c>
      <c r="P24" s="64" t="inlineStr">
        <is>
          <t>firstpacbank.com</t>
        </is>
      </c>
      <c r="Q24" s="65" t="inlineStr">
        <is>
          <t>Yes</t>
        </is>
      </c>
      <c r="R24" s="64" t="inlineStr">
        <is>
          <t>firstpacbank.com/business-banking/business-loans-and-lines-of-credit/</t>
        </is>
      </c>
      <c r="S24" s="65" t="inlineStr">
        <is>
          <t>Online</t>
        </is>
      </c>
      <c r="T24" s="60" t="inlineStr">
        <is>
          <t>Elan portal (creditcardlearnmore.com)</t>
        </is>
      </c>
      <c r="U24" s="67" t="inlineStr">
        <is>
          <t>No</t>
        </is>
      </c>
      <c r="V24" s="74" t="inlineStr">
        <is>
          <t>Elan Financial Services (U.S. Bank)</t>
        </is>
      </c>
      <c r="W24" s="57" t="inlineStr">
        <is>
          <t>Yes (revolving)</t>
        </is>
      </c>
      <c r="X24" s="67" t="inlineStr">
        <is>
          <t>Verify (Elan menu)</t>
        </is>
      </c>
      <c r="Y24" s="60" t="inlineStr">
        <is>
          <t>Elan business suite; APR/AF per Elan T&amp;C</t>
        </is>
      </c>
      <c r="Z24" s="60" t="inlineStr">
        <is>
          <t>TransUnion (Elan)</t>
        </is>
      </c>
      <c r="AA24" s="60" t="inlineStr">
        <is>
          <t>D&amp;B (delinquency-only)</t>
        </is>
      </c>
      <c r="AB24" s="60" t="inlineStr">
        <is>
          <t>No (delinquency-only)</t>
        </is>
      </c>
      <c r="AC24" s="60" t="inlineStr">
        <is>
          <t>Elan general</t>
        </is>
      </c>
      <c r="AD24" s="64" t="inlineStr">
        <is>
          <t>stacking.capital</t>
        </is>
      </c>
      <c r="AE24" s="60" t="inlineStr">
        <is>
          <t>No (Elan card)</t>
        </is>
      </c>
      <c r="AF24" s="60" t="inlineStr">
        <is>
          <t>No - commercial/SBA underwritten</t>
        </is>
      </c>
      <c r="AG24" s="60" t="inlineStr">
        <is>
          <t>Issuer VERIFIED (Elan, on-page 'creditor and issuer').</t>
        </is>
      </c>
      <c r="AH24" s="64" t="inlineStr">
        <is>
          <t>firstpacbank.com</t>
        </is>
      </c>
    </row>
    <row r="25" ht="15.75" customHeight="1">
      <c r="A25" s="57" t="n">
        <v>24</v>
      </c>
      <c r="B25" s="72" t="inlineStr">
        <is>
          <t>C - Agent-issued card</t>
        </is>
      </c>
      <c r="C25" s="59" t="inlineStr">
        <is>
          <t>Farmers &amp; Merchants Bank of Long Beach</t>
        </is>
      </c>
      <c r="D25" s="60" t="inlineStr">
        <is>
          <t>3/4 (missing: self-UW)</t>
        </is>
      </c>
      <c r="E25" s="69" t="inlineStr">
        <is>
          <t>Bank</t>
        </is>
      </c>
      <c r="F25" s="61" t="inlineStr">
        <is>
          <t>Yes</t>
        </is>
      </c>
      <c r="G25" s="60" t="inlineStr">
        <is>
          <t>SoCal - LA County</t>
        </is>
      </c>
      <c r="H25" s="62" t="inlineStr">
        <is>
          <t>CA-HQ (Southern California)</t>
        </is>
      </c>
      <c r="I25" s="63" t="inlineStr">
        <is>
          <t>$3k-$15k (est; agent program)</t>
        </is>
      </c>
      <c r="J25" s="60" t="inlineStr">
        <is>
          <t>$11.62B</t>
        </is>
      </c>
      <c r="K25" s="60" t="inlineStr">
        <is>
          <t>$8.87B</t>
        </is>
      </c>
      <c r="L25" s="60" t="inlineStr">
        <is>
          <t>~25 branches, LA/Orange County; founded 1907</t>
        </is>
      </c>
      <c r="M25" s="60" t="n">
        <v>79</v>
      </c>
      <c r="N25" s="60" t="inlineStr">
        <is>
          <t>Long Beach</t>
        </is>
      </c>
      <c r="O25" s="60" t="inlineStr">
        <is>
          <t>Los Angeles</t>
        </is>
      </c>
      <c r="P25" s="64" t="inlineStr">
        <is>
          <t>fandm.bank</t>
        </is>
      </c>
      <c r="Q25" s="65" t="inlineStr">
        <is>
          <t>Yes</t>
        </is>
      </c>
      <c r="R25" s="64" t="inlineStr">
        <is>
          <t>fandm.bank/business/credit-cards</t>
        </is>
      </c>
      <c r="S25" s="65" t="inlineStr">
        <is>
          <t>Online</t>
        </is>
      </c>
      <c r="T25" s="60" t="inlineStr">
        <is>
          <t>fandm.bank (ServisFirst platform)</t>
        </is>
      </c>
      <c r="U25" s="67" t="inlineStr">
        <is>
          <t>No</t>
        </is>
      </c>
      <c r="V25" s="58" t="inlineStr">
        <is>
          <t>ServisFirst Bank (agent)</t>
        </is>
      </c>
      <c r="W25" s="57" t="inlineStr">
        <is>
          <t>Yes (revolving)</t>
        </is>
      </c>
      <c r="X25" s="67" t="inlineStr">
        <is>
          <t>Verify</t>
        </is>
      </c>
      <c r="Y25" s="60" t="inlineStr">
        <is>
          <t>ServisFirst-issued business cards; APR/AF per ServisFirst T&amp;C</t>
        </is>
      </c>
      <c r="Z25" s="60" t="inlineStr">
        <is>
          <t>Unknown (ServisFirst)</t>
        </is>
      </c>
      <c r="AA25" s="60" t="inlineStr">
        <is>
          <t>Unknown</t>
        </is>
      </c>
      <c r="AB25" s="60" t="inlineStr">
        <is>
          <t>Unknown</t>
        </is>
      </c>
      <c r="AC25" s="60" t="inlineStr">
        <is>
          <t>None found</t>
        </is>
      </c>
      <c r="AD25" s="60" t="inlineStr">
        <is>
          <t>-</t>
        </is>
      </c>
      <c r="AE25" s="60" t="inlineStr">
        <is>
          <t>Verify</t>
        </is>
      </c>
      <c r="AF25" s="60" t="inlineStr">
        <is>
          <t>No - commercial/CRE underwritten</t>
        </is>
      </c>
      <c r="AG25" s="60" t="inlineStr">
        <is>
          <t>Issuer = ServisFirst Bank (agent), VERIFIED. Not self-issued.</t>
        </is>
      </c>
      <c r="AH25" s="64" t="inlineStr">
        <is>
          <t>fandm.bank/business/credit-cards</t>
        </is>
      </c>
    </row>
    <row r="26" ht="15.75" customHeight="1">
      <c r="A26" s="57" t="n">
        <v>25</v>
      </c>
      <c r="B26" s="72" t="inlineStr">
        <is>
          <t>C - Agent-issued card</t>
        </is>
      </c>
      <c r="C26" s="59" t="inlineStr">
        <is>
          <t>Beach Cities Commercial Bank</t>
        </is>
      </c>
      <c r="D26" s="60" t="inlineStr">
        <is>
          <t>3/4 (missing: self-UW)</t>
        </is>
      </c>
      <c r="E26" s="69" t="inlineStr">
        <is>
          <t>Bank</t>
        </is>
      </c>
      <c r="F26" s="61" t="inlineStr">
        <is>
          <t>Yes</t>
        </is>
      </c>
      <c r="G26" s="60" t="inlineStr">
        <is>
          <t>SoCal - Orange County</t>
        </is>
      </c>
      <c r="H26" s="62" t="inlineStr">
        <is>
          <t>CA-HQ (Southern California)</t>
        </is>
      </c>
      <c r="I26" s="63" t="inlineStr">
        <is>
          <t>$3k-$15k (est; Elan agent pattern, myFICO)</t>
        </is>
      </c>
      <c r="J26" s="60" t="inlineStr">
        <is>
          <t>$0.16B</t>
        </is>
      </c>
      <c r="K26" s="60" t="inlineStr">
        <is>
          <t>$0.13B</t>
        </is>
      </c>
      <c r="L26" s="60" t="inlineStr">
        <is>
          <t>Orange County commercial bank</t>
        </is>
      </c>
      <c r="M26" s="60" t="n">
        <v>78</v>
      </c>
      <c r="N26" s="60" t="inlineStr">
        <is>
          <t>Irvine</t>
        </is>
      </c>
      <c r="O26" s="60" t="inlineStr">
        <is>
          <t>Orange</t>
        </is>
      </c>
      <c r="P26" s="64" t="inlineStr">
        <is>
          <t>beachcitiescb.com</t>
        </is>
      </c>
      <c r="Q26" s="65" t="inlineStr">
        <is>
          <t>Yes</t>
        </is>
      </c>
      <c r="R26" s="64" t="inlineStr">
        <is>
          <t>beachcitiescb.com/Card-Solutions/</t>
        </is>
      </c>
      <c r="S26" s="65" t="inlineStr">
        <is>
          <t>Online</t>
        </is>
      </c>
      <c r="T26" s="60" t="inlineStr">
        <is>
          <t>Elan portal (redirect)</t>
        </is>
      </c>
      <c r="U26" s="67" t="inlineStr">
        <is>
          <t>No</t>
        </is>
      </c>
      <c r="V26" s="74" t="inlineStr">
        <is>
          <t>Elan Financial Services (U.S. Bank)</t>
        </is>
      </c>
      <c r="W26" s="57" t="inlineStr">
        <is>
          <t>Yes (revolving)</t>
        </is>
      </c>
      <c r="X26" s="66" t="inlineStr">
        <is>
          <t>Yes - ZERO+ card (length not public)</t>
        </is>
      </c>
      <c r="Y26" s="60" t="inlineStr">
        <is>
          <t>Agent-issued; APR/AF per issuer T&amp;C (not on page)</t>
        </is>
      </c>
      <c r="Z26" s="60" t="inlineStr">
        <is>
          <t>TransUnion (Elan)</t>
        </is>
      </c>
      <c r="AA26" s="60" t="inlineStr">
        <is>
          <t>D&amp;B (delinquency-only)</t>
        </is>
      </c>
      <c r="AB26" s="60" t="inlineStr">
        <is>
          <t>No (delinquency-only)</t>
        </is>
      </c>
      <c r="AC26" s="60" t="inlineStr">
        <is>
          <t>None found (small agent program)</t>
        </is>
      </c>
      <c r="AD26" s="60" t="inlineStr">
        <is>
          <t>-</t>
        </is>
      </c>
      <c r="AE26" s="60" t="inlineStr">
        <is>
          <t>No (agent card)</t>
        </is>
      </c>
      <c r="AF26" s="60" t="inlineStr">
        <is>
          <t>No - commercial/SBA underwritten</t>
        </is>
      </c>
      <c r="AG26" s="60" t="inlineStr">
        <is>
          <t>Issuer = Elan VERIFIED. Offers Business ZERO+ (0% intro; length behind Elan wall).</t>
        </is>
      </c>
      <c r="AH26" s="64" t="inlineStr">
        <is>
          <t>beachcitiescb.com/Card-Solutions/</t>
        </is>
      </c>
    </row>
    <row r="27" ht="15.75" customHeight="1">
      <c r="A27" s="57" t="n">
        <v>26</v>
      </c>
      <c r="B27" s="72" t="inlineStr">
        <is>
          <t>C - Agent-issued card</t>
        </is>
      </c>
      <c r="C27" s="59" t="inlineStr">
        <is>
          <t>American Plus Bank</t>
        </is>
      </c>
      <c r="D27" s="60" t="inlineStr">
        <is>
          <t>3/4 (missing: self-UW)</t>
        </is>
      </c>
      <c r="E27" s="69" t="inlineStr">
        <is>
          <t>Bank</t>
        </is>
      </c>
      <c r="F27" s="61" t="inlineStr">
        <is>
          <t>Yes</t>
        </is>
      </c>
      <c r="G27" s="60" t="inlineStr">
        <is>
          <t>SoCal - LA County</t>
        </is>
      </c>
      <c r="H27" s="62" t="inlineStr">
        <is>
          <t>CA-HQ (Southern California)</t>
        </is>
      </c>
      <c r="I27" s="63" t="inlineStr">
        <is>
          <t>$2k-$10k (est; TCM community-bank pattern)</t>
        </is>
      </c>
      <c r="J27" s="60" t="inlineStr">
        <is>
          <t>$0.86B</t>
        </is>
      </c>
      <c r="K27" s="60" t="inlineStr">
        <is>
          <t>$0.71B</t>
        </is>
      </c>
      <c r="L27" s="60" t="inlineStr">
        <is>
          <t>San Gabriel Valley; Chinese-American focus</t>
        </is>
      </c>
      <c r="M27" s="60" t="n">
        <v>75</v>
      </c>
      <c r="N27" s="60" t="inlineStr">
        <is>
          <t>Arcadia</t>
        </is>
      </c>
      <c r="O27" s="60" t="inlineStr">
        <is>
          <t>Los Angeles</t>
        </is>
      </c>
      <c r="P27" s="64" t="inlineStr">
        <is>
          <t>bankaplus.com</t>
        </is>
      </c>
      <c r="Q27" s="65" t="inlineStr">
        <is>
          <t>Yes</t>
        </is>
      </c>
      <c r="R27" s="64" t="inlineStr">
        <is>
          <t>bankaplus.com/Credit-Cards</t>
        </is>
      </c>
      <c r="S27" s="65" t="inlineStr">
        <is>
          <t>Online</t>
        </is>
      </c>
      <c r="T27" s="60" t="inlineStr">
        <is>
          <t>mycommunitycc.com (TCM portal)</t>
        </is>
      </c>
      <c r="U27" s="67" t="inlineStr">
        <is>
          <t>No</t>
        </is>
      </c>
      <c r="V27" s="77" t="inlineStr">
        <is>
          <t>TCM Bank, N.A. (ICBA)</t>
        </is>
      </c>
      <c r="W27" s="57" t="inlineStr">
        <is>
          <t>Yes (revolving)</t>
        </is>
      </c>
      <c r="X27" s="66" t="inlineStr">
        <is>
          <t>Low intro on balance transfers (length n/a)</t>
        </is>
      </c>
      <c r="Y27" s="60" t="inlineStr">
        <is>
          <t>Agent-issued; APR/AF per issuer T&amp;C (not on page)</t>
        </is>
      </c>
      <c r="Z27" s="60" t="inlineStr">
        <is>
          <t>Per issuer</t>
        </is>
      </c>
      <c r="AA27" s="60" t="inlineStr">
        <is>
          <t>Per issuer</t>
        </is>
      </c>
      <c r="AB27" s="60" t="inlineStr">
        <is>
          <t>No (typical)</t>
        </is>
      </c>
      <c r="AC27" s="60" t="inlineStr">
        <is>
          <t>None found (small agent program)</t>
        </is>
      </c>
      <c r="AD27" s="60" t="inlineStr">
        <is>
          <t>-</t>
        </is>
      </c>
      <c r="AE27" s="60" t="inlineStr">
        <is>
          <t>No (agent card)</t>
        </is>
      </c>
      <c r="AF27" s="60" t="inlineStr">
        <is>
          <t>No - commercial/SBA underwritten</t>
        </is>
      </c>
      <c r="AG27" s="60" t="inlineStr">
        <is>
          <t>Issuer = TCM (INFERRED, app routes to mycommunitycc.com). Visa Platinum + business card.</t>
        </is>
      </c>
      <c r="AH27" s="64" t="inlineStr">
        <is>
          <t>bankaplus.com/Credit-Cards</t>
        </is>
      </c>
    </row>
    <row r="28" ht="15.75" customHeight="1">
      <c r="A28" s="57" t="n">
        <v>27</v>
      </c>
      <c r="B28" s="72" t="inlineStr">
        <is>
          <t>C - Agent-issued card</t>
        </is>
      </c>
      <c r="C28" s="59" t="inlineStr">
        <is>
          <t>GBC International Bank</t>
        </is>
      </c>
      <c r="D28" s="60" t="inlineStr">
        <is>
          <t>3/4 (missing: self-UW)</t>
        </is>
      </c>
      <c r="E28" s="69" t="inlineStr">
        <is>
          <t>Bank</t>
        </is>
      </c>
      <c r="F28" s="61" t="inlineStr">
        <is>
          <t>Yes</t>
        </is>
      </c>
      <c r="G28" s="60" t="inlineStr">
        <is>
          <t>SoCal - LA County</t>
        </is>
      </c>
      <c r="H28" s="62" t="inlineStr">
        <is>
          <t>CA-HQ (Southern California)</t>
        </is>
      </c>
      <c r="I28" s="63" t="inlineStr">
        <is>
          <t>$2k-$10k (est; TCM community-bank pattern)</t>
        </is>
      </c>
      <c r="J28" s="60" t="inlineStr">
        <is>
          <t>$0.67B</t>
        </is>
      </c>
      <c r="K28" s="60" t="inlineStr">
        <is>
          <t>$0.52B</t>
        </is>
      </c>
      <c r="L28" s="60" t="inlineStr">
        <is>
          <t>LA; Chinese-American focus</t>
        </is>
      </c>
      <c r="M28" s="60" t="n">
        <v>73</v>
      </c>
      <c r="N28" s="60" t="inlineStr">
        <is>
          <t>Los Angeles</t>
        </is>
      </c>
      <c r="O28" s="60" t="inlineStr">
        <is>
          <t>Los Angeles</t>
        </is>
      </c>
      <c r="P28" s="64" t="inlineStr">
        <is>
          <t>gbcib.com</t>
        </is>
      </c>
      <c r="Q28" s="65" t="inlineStr">
        <is>
          <t>Yes</t>
        </is>
      </c>
      <c r="R28" s="64" t="inlineStr">
        <is>
          <t>gbcib.com/business</t>
        </is>
      </c>
      <c r="S28" s="65" t="inlineStr">
        <is>
          <t>Online</t>
        </is>
      </c>
      <c r="T28" s="60" t="inlineStr">
        <is>
          <t>mycommunitycc.com (TCM portal)</t>
        </is>
      </c>
      <c r="U28" s="67" t="inlineStr">
        <is>
          <t>No</t>
        </is>
      </c>
      <c r="V28" s="77" t="inlineStr">
        <is>
          <t>TCM Bank, N.A. (ICBA)</t>
        </is>
      </c>
      <c r="W28" s="57" t="inlineStr">
        <is>
          <t>Yes (revolving)</t>
        </is>
      </c>
      <c r="X28" s="67" t="inlineStr">
        <is>
          <t>Verify (issuer menu)</t>
        </is>
      </c>
      <c r="Y28" s="60" t="inlineStr">
        <is>
          <t>Agent-issued; APR/AF per issuer T&amp;C (not on page)</t>
        </is>
      </c>
      <c r="Z28" s="60" t="inlineStr">
        <is>
          <t>Per issuer</t>
        </is>
      </c>
      <c r="AA28" s="60" t="inlineStr">
        <is>
          <t>Per issuer</t>
        </is>
      </c>
      <c r="AB28" s="60" t="inlineStr">
        <is>
          <t>No (typical)</t>
        </is>
      </c>
      <c r="AC28" s="60" t="inlineStr">
        <is>
          <t>None found (small agent program)</t>
        </is>
      </c>
      <c r="AD28" s="60" t="inlineStr">
        <is>
          <t>-</t>
        </is>
      </c>
      <c r="AE28" s="60" t="inlineStr">
        <is>
          <t>No (agent card)</t>
        </is>
      </c>
      <c r="AF28" s="60" t="inlineStr">
        <is>
          <t>No - commercial/SBA underwritten</t>
        </is>
      </c>
      <c r="AG28" s="60" t="inlineStr">
        <is>
          <t>Issuer = TCM VERIFIED (card link to mycommunitycc/TCM platform).</t>
        </is>
      </c>
      <c r="AH28" s="64" t="inlineStr">
        <is>
          <t>gbcib.com/business</t>
        </is>
      </c>
    </row>
    <row r="29" ht="15.75" customHeight="1">
      <c r="A29" s="57" t="n">
        <v>28</v>
      </c>
      <c r="B29" s="72" t="inlineStr">
        <is>
          <t>C - Agent-issued card</t>
        </is>
      </c>
      <c r="C29" s="59" t="inlineStr">
        <is>
          <t>Mega Bank</t>
        </is>
      </c>
      <c r="D29" s="60" t="inlineStr">
        <is>
          <t>3/4 (missing: self-UW)</t>
        </is>
      </c>
      <c r="E29" s="69" t="inlineStr">
        <is>
          <t>Bank</t>
        </is>
      </c>
      <c r="F29" s="61" t="inlineStr">
        <is>
          <t>Yes</t>
        </is>
      </c>
      <c r="G29" s="60" t="inlineStr">
        <is>
          <t>SoCal - LA County</t>
        </is>
      </c>
      <c r="H29" s="62" t="inlineStr">
        <is>
          <t>CA-HQ (Southern California)</t>
        </is>
      </c>
      <c r="I29" s="63" t="inlineStr">
        <is>
          <t>$2k-$10k (est; TCM community-bank pattern)</t>
        </is>
      </c>
      <c r="J29" s="60" t="inlineStr">
        <is>
          <t>$0.51B</t>
        </is>
      </c>
      <c r="K29" s="60" t="inlineStr">
        <is>
          <t>$0.42B</t>
        </is>
      </c>
      <c r="L29" s="60" t="inlineStr">
        <is>
          <t>San Gabriel Valley; Chinese-American focus</t>
        </is>
      </c>
      <c r="M29" s="60" t="n">
        <v>73</v>
      </c>
      <c r="N29" s="60" t="inlineStr">
        <is>
          <t>San Gabriel</t>
        </is>
      </c>
      <c r="O29" s="60" t="inlineStr">
        <is>
          <t>Los Angeles</t>
        </is>
      </c>
      <c r="P29" s="64" t="inlineStr">
        <is>
          <t>megabankusa.com</t>
        </is>
      </c>
      <c r="Q29" s="65" t="inlineStr">
        <is>
          <t>Yes</t>
        </is>
      </c>
      <c r="R29" s="64" t="inlineStr">
        <is>
          <t>megabankusa.com/Other-Services#Credit-Cards</t>
        </is>
      </c>
      <c r="S29" s="65" t="inlineStr">
        <is>
          <t>Online</t>
        </is>
      </c>
      <c r="T29" s="60" t="inlineStr">
        <is>
          <t>mycommunitycc.com (TCM portal)</t>
        </is>
      </c>
      <c r="U29" s="67" t="inlineStr">
        <is>
          <t>No</t>
        </is>
      </c>
      <c r="V29" s="77" t="inlineStr">
        <is>
          <t>TCM Bank, N.A. (ICBA)</t>
        </is>
      </c>
      <c r="W29" s="57" t="inlineStr">
        <is>
          <t>Yes (revolving)</t>
        </is>
      </c>
      <c r="X29" s="67" t="inlineStr">
        <is>
          <t>Verify (issuer menu)</t>
        </is>
      </c>
      <c r="Y29" s="60" t="inlineStr">
        <is>
          <t>Agent-issued; APR/AF per issuer T&amp;C (not on page)</t>
        </is>
      </c>
      <c r="Z29" s="60" t="inlineStr">
        <is>
          <t>Per issuer</t>
        </is>
      </c>
      <c r="AA29" s="60" t="inlineStr">
        <is>
          <t>Per issuer</t>
        </is>
      </c>
      <c r="AB29" s="60" t="inlineStr">
        <is>
          <t>No (typical)</t>
        </is>
      </c>
      <c r="AC29" s="60" t="inlineStr">
        <is>
          <t>None found (small agent program)</t>
        </is>
      </c>
      <c r="AD29" s="60" t="inlineStr">
        <is>
          <t>-</t>
        </is>
      </c>
      <c r="AE29" s="60" t="inlineStr">
        <is>
          <t>No (agent card)</t>
        </is>
      </c>
      <c r="AF29" s="60" t="inlineStr">
        <is>
          <t>No - commercial/SBA underwritten</t>
        </is>
      </c>
      <c r="AG29" s="60" t="inlineStr">
        <is>
          <t>Issuer = TCM VERIFIED ('Administered by TCM Bank, N.A.').</t>
        </is>
      </c>
      <c r="AH29" s="64" t="inlineStr">
        <is>
          <t>megabankusa.com/Other-Services</t>
        </is>
      </c>
    </row>
    <row r="30" ht="15.75" customHeight="1">
      <c r="A30" s="57" t="n">
        <v>29</v>
      </c>
      <c r="B30" s="72" t="inlineStr">
        <is>
          <t>C - Agent-issued card</t>
        </is>
      </c>
      <c r="C30" s="59" t="inlineStr">
        <is>
          <t>Infinity Bank</t>
        </is>
      </c>
      <c r="D30" s="60" t="inlineStr">
        <is>
          <t>3/4 (missing: self-UW)</t>
        </is>
      </c>
      <c r="E30" s="69" t="inlineStr">
        <is>
          <t>Bank</t>
        </is>
      </c>
      <c r="F30" s="61" t="inlineStr">
        <is>
          <t>Yes</t>
        </is>
      </c>
      <c r="G30" s="60" t="inlineStr">
        <is>
          <t>SoCal - Orange County</t>
        </is>
      </c>
      <c r="H30" s="62" t="inlineStr">
        <is>
          <t>CA-HQ (Southern California)</t>
        </is>
      </c>
      <c r="I30" s="63" t="inlineStr">
        <is>
          <t>$3k-$15k (est; agent program)</t>
        </is>
      </c>
      <c r="J30" s="60" t="inlineStr">
        <is>
          <t>$0.37B</t>
        </is>
      </c>
      <c r="K30" s="60" t="inlineStr">
        <is>
          <t>$0.33B</t>
        </is>
      </c>
      <c r="L30" s="60" t="inlineStr">
        <is>
          <t>Orange County community bank</t>
        </is>
      </c>
      <c r="M30" s="60" t="n">
        <v>73</v>
      </c>
      <c r="N30" s="60" t="inlineStr">
        <is>
          <t>Santa Ana</t>
        </is>
      </c>
      <c r="O30" s="60" t="inlineStr">
        <is>
          <t>Orange</t>
        </is>
      </c>
      <c r="P30" s="64" t="inlineStr">
        <is>
          <t>infinity.bank</t>
        </is>
      </c>
      <c r="Q30" s="65" t="inlineStr">
        <is>
          <t>Yes</t>
        </is>
      </c>
      <c r="R30" s="64" t="inlineStr">
        <is>
          <t>infinity.bank/business/credit-financing/business-credit-cards.html</t>
        </is>
      </c>
      <c r="S30" s="65" t="inlineStr">
        <is>
          <t>Online</t>
        </is>
      </c>
      <c r="T30" s="60" t="inlineStr">
        <is>
          <t>app.ccdepartment.com (ServisFirst portal)</t>
        </is>
      </c>
      <c r="U30" s="67" t="inlineStr">
        <is>
          <t>No</t>
        </is>
      </c>
      <c r="V30" s="58" t="inlineStr">
        <is>
          <t>ServisFirst Bank (agent, inferred)</t>
        </is>
      </c>
      <c r="W30" s="57" t="inlineStr">
        <is>
          <t>Yes (revolving)</t>
        </is>
      </c>
      <c r="X30" s="67" t="inlineStr">
        <is>
          <t>Verify (issuer menu)</t>
        </is>
      </c>
      <c r="Y30" s="60" t="inlineStr">
        <is>
          <t>Agent-issued; APR/AF per issuer T&amp;C (not on page)</t>
        </is>
      </c>
      <c r="Z30" s="60" t="inlineStr">
        <is>
          <t>Per issuer</t>
        </is>
      </c>
      <c r="AA30" s="60" t="inlineStr">
        <is>
          <t>Per issuer</t>
        </is>
      </c>
      <c r="AB30" s="60" t="inlineStr">
        <is>
          <t>No (typical)</t>
        </is>
      </c>
      <c r="AC30" s="60" t="inlineStr">
        <is>
          <t>None found (small agent program)</t>
        </is>
      </c>
      <c r="AD30" s="60" t="inlineStr">
        <is>
          <t>-</t>
        </is>
      </c>
      <c r="AE30" s="60" t="inlineStr">
        <is>
          <t>No (agent card)</t>
        </is>
      </c>
      <c r="AF30" s="60" t="inlineStr">
        <is>
          <t>No - commercial/SBA underwritten</t>
        </is>
      </c>
      <c r="AG30" s="60" t="inlineStr">
        <is>
          <t>Issuer = ServisFirst (INFERRED-strong: disclosure named 'Servis-First...', apply via app.ccdepartment.com).</t>
        </is>
      </c>
      <c r="AH30" s="64" t="inlineStr">
        <is>
          <t>infinity.bank/.../business-credit-cards.html</t>
        </is>
      </c>
    </row>
    <row r="31" ht="15.75" customHeight="1">
      <c r="A31" s="57" t="n">
        <v>30</v>
      </c>
      <c r="B31" s="72" t="inlineStr">
        <is>
          <t>C - Agent-issued card</t>
        </is>
      </c>
      <c r="C31" s="59" t="inlineStr">
        <is>
          <t>ICON Business Bank</t>
        </is>
      </c>
      <c r="D31" s="60" t="inlineStr">
        <is>
          <t>3/4 (missing: self-UW)</t>
        </is>
      </c>
      <c r="E31" s="69" t="inlineStr">
        <is>
          <t>Bank</t>
        </is>
      </c>
      <c r="F31" s="61" t="inlineStr">
        <is>
          <t>Yes</t>
        </is>
      </c>
      <c r="G31" s="60" t="inlineStr">
        <is>
          <t>SoCal - Inland Empire</t>
        </is>
      </c>
      <c r="H31" s="62" t="inlineStr">
        <is>
          <t>CA-HQ (Southern California)</t>
        </is>
      </c>
      <c r="I31" s="63" t="inlineStr">
        <is>
          <t>$2k-$10k (est; TCM community-bank pattern)</t>
        </is>
      </c>
      <c r="J31" s="60" t="inlineStr">
        <is>
          <t>$0.16B</t>
        </is>
      </c>
      <c r="K31" s="60" t="inlineStr">
        <is>
          <t>$0.15B</t>
        </is>
      </c>
      <c r="L31" s="60" t="inlineStr">
        <is>
          <t>Inland Empire (Riverside) business bank</t>
        </is>
      </c>
      <c r="M31" s="60" t="n">
        <v>73</v>
      </c>
      <c r="N31" s="60" t="inlineStr">
        <is>
          <t>Riverside</t>
        </is>
      </c>
      <c r="O31" s="60" t="inlineStr">
        <is>
          <t>Riverside</t>
        </is>
      </c>
      <c r="P31" s="64" t="inlineStr">
        <is>
          <t>iconbusinessbank.com</t>
        </is>
      </c>
      <c r="Q31" s="65" t="inlineStr">
        <is>
          <t>Yes</t>
        </is>
      </c>
      <c r="R31" s="64" t="inlineStr">
        <is>
          <t>iconbusinessbank.com</t>
        </is>
      </c>
      <c r="S31" s="65" t="inlineStr">
        <is>
          <t>Online</t>
        </is>
      </c>
      <c r="T31" s="60" t="inlineStr">
        <is>
          <t>mycommunitycc.com (TCM portal)</t>
        </is>
      </c>
      <c r="U31" s="67" t="inlineStr">
        <is>
          <t>No</t>
        </is>
      </c>
      <c r="V31" s="77" t="inlineStr">
        <is>
          <t>TCM Bank, N.A. (ICBA)</t>
        </is>
      </c>
      <c r="W31" s="57" t="inlineStr">
        <is>
          <t>Yes (revolving)</t>
        </is>
      </c>
      <c r="X31" s="67" t="inlineStr">
        <is>
          <t>Verify (issuer menu)</t>
        </is>
      </c>
      <c r="Y31" s="60" t="inlineStr">
        <is>
          <t>Agent-issued; APR/AF per issuer T&amp;C (not on page)</t>
        </is>
      </c>
      <c r="Z31" s="60" t="inlineStr">
        <is>
          <t>Per issuer</t>
        </is>
      </c>
      <c r="AA31" s="60" t="inlineStr">
        <is>
          <t>Per issuer</t>
        </is>
      </c>
      <c r="AB31" s="60" t="inlineStr">
        <is>
          <t>No (typical)</t>
        </is>
      </c>
      <c r="AC31" s="60" t="inlineStr">
        <is>
          <t>None found (small agent program)</t>
        </is>
      </c>
      <c r="AD31" s="60" t="inlineStr">
        <is>
          <t>-</t>
        </is>
      </c>
      <c r="AE31" s="60" t="inlineStr">
        <is>
          <t>No (agent card)</t>
        </is>
      </c>
      <c r="AF31" s="60" t="inlineStr">
        <is>
          <t>No - commercial/SBA underwritten</t>
        </is>
      </c>
      <c r="AG31" s="60" t="inlineStr">
        <is>
          <t>Issuer = TCM VERIFIED (card link to mycommunitycc/TCM).</t>
        </is>
      </c>
      <c r="AH31" s="64" t="inlineStr">
        <is>
          <t>iconbusinessbank.com</t>
        </is>
      </c>
    </row>
    <row r="32" ht="15.75" customHeight="1">
      <c r="A32" s="57" t="n">
        <v>31</v>
      </c>
      <c r="B32" s="72" t="inlineStr">
        <is>
          <t>C - Agent-issued card</t>
        </is>
      </c>
      <c r="C32" s="59" t="inlineStr">
        <is>
          <t>American Riviera Bank</t>
        </is>
      </c>
      <c r="D32" s="60" t="inlineStr">
        <is>
          <t>3/4 (missing: self-UW)</t>
        </is>
      </c>
      <c r="E32" s="69" t="inlineStr">
        <is>
          <t>Bank</t>
        </is>
      </c>
      <c r="F32" s="61" t="inlineStr">
        <is>
          <t>Yes</t>
        </is>
      </c>
      <c r="G32" s="60" t="inlineStr">
        <is>
          <t>SoCal - Santa Barbara/Ventura</t>
        </is>
      </c>
      <c r="H32" s="62" t="inlineStr">
        <is>
          <t>CA-HQ (Southern California)</t>
        </is>
      </c>
      <c r="I32" s="63" t="inlineStr">
        <is>
          <t>$3k-$15k (est; Elan agent pattern, myFICO)</t>
        </is>
      </c>
      <c r="J32" s="60" t="inlineStr">
        <is>
          <t>$1.42B</t>
        </is>
      </c>
      <c r="K32" s="60" t="inlineStr">
        <is>
          <t>$1.27B</t>
        </is>
      </c>
      <c r="L32" s="60" t="inlineStr">
        <is>
          <t>Santa Barbara/Central Coast community bank</t>
        </is>
      </c>
      <c r="M32" s="60" t="n">
        <v>72</v>
      </c>
      <c r="N32" s="60" t="inlineStr">
        <is>
          <t>Santa Barbara</t>
        </is>
      </c>
      <c r="O32" s="60" t="inlineStr">
        <is>
          <t>Santa Barbara</t>
        </is>
      </c>
      <c r="P32" s="64" t="inlineStr">
        <is>
          <t>americanriviera.bank</t>
        </is>
      </c>
      <c r="Q32" s="65" t="inlineStr">
        <is>
          <t>Yes</t>
        </is>
      </c>
      <c r="R32" s="64" t="inlineStr">
        <is>
          <t>americanriviera.bank/product/business-credit-cards</t>
        </is>
      </c>
      <c r="S32" s="65" t="inlineStr">
        <is>
          <t>Online</t>
        </is>
      </c>
      <c r="T32" s="60" t="inlineStr">
        <is>
          <t>Elan portal</t>
        </is>
      </c>
      <c r="U32" s="67" t="inlineStr">
        <is>
          <t>No</t>
        </is>
      </c>
      <c r="V32" s="74" t="inlineStr">
        <is>
          <t>Elan Financial Services (U.S. Bank)</t>
        </is>
      </c>
      <c r="W32" s="57" t="inlineStr">
        <is>
          <t>Yes (revolving)</t>
        </is>
      </c>
      <c r="X32" s="67" t="inlineStr">
        <is>
          <t>Verify (Elan menu)</t>
        </is>
      </c>
      <c r="Y32" s="60" t="inlineStr">
        <is>
          <t>Elan business suite; APR/AF per Elan T&amp;C</t>
        </is>
      </c>
      <c r="Z32" s="60" t="inlineStr">
        <is>
          <t>TransUnion (Elan)</t>
        </is>
      </c>
      <c r="AA32" s="60" t="inlineStr">
        <is>
          <t>D&amp;B (delinquency-only)</t>
        </is>
      </c>
      <c r="AB32" s="60" t="inlineStr">
        <is>
          <t>No (delinquency-only)</t>
        </is>
      </c>
      <c r="AC32" s="60" t="inlineStr">
        <is>
          <t>Elan general</t>
        </is>
      </c>
      <c r="AD32" s="64" t="inlineStr">
        <is>
          <t>stacking.capital</t>
        </is>
      </c>
      <c r="AE32" s="60" t="inlineStr">
        <is>
          <t>No (Elan card)</t>
        </is>
      </c>
      <c r="AF32" s="60" t="inlineStr">
        <is>
          <t>No - SBA/commercial underwritten</t>
        </is>
      </c>
      <c r="AG32" s="60" t="inlineStr">
        <is>
          <t>Issuer VERIFIED (Elan).</t>
        </is>
      </c>
      <c r="AH32" s="64" t="inlineStr">
        <is>
          <t>americanriviera.bank/product/business-credit-cards</t>
        </is>
      </c>
    </row>
    <row r="33" ht="15.75" customHeight="1">
      <c r="A33" s="57" t="n">
        <v>32</v>
      </c>
      <c r="B33" s="72" t="inlineStr">
        <is>
          <t>C - Agent-issued card</t>
        </is>
      </c>
      <c r="C33" s="59" t="inlineStr">
        <is>
          <t>Endeavor Bank</t>
        </is>
      </c>
      <c r="D33" s="60" t="inlineStr">
        <is>
          <t>3/4 (missing: self-UW)</t>
        </is>
      </c>
      <c r="E33" s="69" t="inlineStr">
        <is>
          <t>Bank</t>
        </is>
      </c>
      <c r="F33" s="61" t="inlineStr">
        <is>
          <t>Yes</t>
        </is>
      </c>
      <c r="G33" s="60" t="inlineStr">
        <is>
          <t>SoCal - San Diego</t>
        </is>
      </c>
      <c r="H33" s="62" t="inlineStr">
        <is>
          <t>CA-HQ (Southern California)</t>
        </is>
      </c>
      <c r="I33" s="63" t="inlineStr">
        <is>
          <t>$3k-$15k (est; Elan agent pattern, myFICO)</t>
        </is>
      </c>
      <c r="J33" s="60" t="inlineStr">
        <is>
          <t>$0.76B</t>
        </is>
      </c>
      <c r="K33" s="60" t="inlineStr">
        <is>
          <t>$0.68B</t>
        </is>
      </c>
      <c r="L33" s="60" t="inlineStr">
        <is>
          <t>San Diego commercial bank</t>
        </is>
      </c>
      <c r="M33" s="60" t="n">
        <v>67</v>
      </c>
      <c r="N33" s="60" t="inlineStr">
        <is>
          <t>San Diego</t>
        </is>
      </c>
      <c r="O33" s="60" t="inlineStr">
        <is>
          <t>San Diego</t>
        </is>
      </c>
      <c r="P33" s="64" t="inlineStr">
        <is>
          <t>endeavor.bank</t>
        </is>
      </c>
      <c r="Q33" s="65" t="inlineStr">
        <is>
          <t>Yes</t>
        </is>
      </c>
      <c r="R33" s="64" t="inlineStr">
        <is>
          <t>endeavor.bank/consultative-banking/solutions/commercial-banking</t>
        </is>
      </c>
      <c r="S33" s="65" t="inlineStr">
        <is>
          <t>Online</t>
        </is>
      </c>
      <c r="T33" s="60" t="inlineStr">
        <is>
          <t>Elan portal (redirect)</t>
        </is>
      </c>
      <c r="U33" s="67" t="inlineStr">
        <is>
          <t>No</t>
        </is>
      </c>
      <c r="V33" s="74" t="inlineStr">
        <is>
          <t>Elan Financial Services (U.S. Bank)</t>
        </is>
      </c>
      <c r="W33" s="57" t="inlineStr">
        <is>
          <t>Yes (revolving)</t>
        </is>
      </c>
      <c r="X33" s="66" t="inlineStr">
        <is>
          <t>Yes - low-rate option (length not public)</t>
        </is>
      </c>
      <c r="Y33" s="60" t="inlineStr">
        <is>
          <t>Agent-issued; APR/AF per issuer T&amp;C (not on page)</t>
        </is>
      </c>
      <c r="Z33" s="60" t="inlineStr">
        <is>
          <t>TransUnion (Elan)</t>
        </is>
      </c>
      <c r="AA33" s="60" t="inlineStr">
        <is>
          <t>D&amp;B (delinquency-only)</t>
        </is>
      </c>
      <c r="AB33" s="60" t="inlineStr">
        <is>
          <t>No (delinquency-only)</t>
        </is>
      </c>
      <c r="AC33" s="60" t="inlineStr">
        <is>
          <t>None found (small agent program)</t>
        </is>
      </c>
      <c r="AD33" s="60" t="inlineStr">
        <is>
          <t>-</t>
        </is>
      </c>
      <c r="AE33" s="60" t="inlineStr">
        <is>
          <t>No (agent card)</t>
        </is>
      </c>
      <c r="AF33" s="60" t="inlineStr">
        <is>
          <t>No - commercial/SBA underwritten</t>
        </is>
      </c>
      <c r="AG33" s="60" t="inlineStr">
        <is>
          <t>Issuer = Elan VERIFIED. Low-rate/0% option (length behind Elan wall).</t>
        </is>
      </c>
      <c r="AH33" s="64" t="inlineStr">
        <is>
          <t>endeavor.bank/.../commercial-banking</t>
        </is>
      </c>
    </row>
    <row r="34" ht="15.75" customHeight="1">
      <c r="A34" s="57" t="n">
        <v>33</v>
      </c>
      <c r="B34" s="72" t="inlineStr">
        <is>
          <t>C - Agent-issued card</t>
        </is>
      </c>
      <c r="C34" s="60" t="inlineStr">
        <is>
          <t>Commonwealth Business Bank (CBB Bank)</t>
        </is>
      </c>
      <c r="D34" s="60" t="inlineStr">
        <is>
          <t>2/4 (missing: self-UW, apply online)</t>
        </is>
      </c>
      <c r="E34" s="69" t="inlineStr">
        <is>
          <t>Bank</t>
        </is>
      </c>
      <c r="F34" s="61" t="inlineStr">
        <is>
          <t>Yes</t>
        </is>
      </c>
      <c r="G34" s="60" t="inlineStr">
        <is>
          <t>SoCal - LA County</t>
        </is>
      </c>
      <c r="H34" s="62" t="inlineStr">
        <is>
          <t>CA-HQ (Southern California)</t>
        </is>
      </c>
      <c r="I34" s="63" t="inlineStr">
        <is>
          <t>$3k-$15k (est; Elan agent pattern, myFICO)</t>
        </is>
      </c>
      <c r="J34" s="60" t="inlineStr">
        <is>
          <t>$1.96B</t>
        </is>
      </c>
      <c r="K34" s="60" t="inlineStr">
        <is>
          <t>~$1.67B</t>
        </is>
      </c>
      <c r="L34" s="60" t="inlineStr">
        <is>
          <t>LA HQ (Wilshire); Korean-American focus; founded 2005</t>
        </is>
      </c>
      <c r="M34" s="60" t="n">
        <v>65</v>
      </c>
      <c r="N34" s="60" t="inlineStr">
        <is>
          <t>Los Angeles</t>
        </is>
      </c>
      <c r="O34" s="60" t="inlineStr">
        <is>
          <t>Los Angeles</t>
        </is>
      </c>
      <c r="P34" s="64" t="inlineStr">
        <is>
          <t>cbb-bank.com</t>
        </is>
      </c>
      <c r="Q34" s="65" t="inlineStr">
        <is>
          <t>Yes</t>
        </is>
      </c>
      <c r="R34" s="64" t="inlineStr">
        <is>
          <t>cbb-bank.com/en/business/lending/creditcards</t>
        </is>
      </c>
      <c r="S34" s="66" t="inlineStr">
        <is>
          <t>Partial online</t>
        </is>
      </c>
      <c r="T34" s="60" t="inlineStr">
        <is>
          <t>Via bank 213-884-4200 / Elan portal</t>
        </is>
      </c>
      <c r="U34" s="67" t="inlineStr">
        <is>
          <t>No</t>
        </is>
      </c>
      <c r="V34" s="74" t="inlineStr">
        <is>
          <t>Elan Financial Services (U.S. Bank)</t>
        </is>
      </c>
      <c r="W34" s="57" t="inlineStr">
        <is>
          <t>Yes (revolving)</t>
        </is>
      </c>
      <c r="X34" s="67" t="inlineStr">
        <is>
          <t>Verify (issuer menu)</t>
        </is>
      </c>
      <c r="Y34" s="60" t="inlineStr">
        <is>
          <t>Agent-issued; APR/AF per issuer T&amp;C (not on page)</t>
        </is>
      </c>
      <c r="Z34" s="60" t="inlineStr">
        <is>
          <t>TransUnion (Elan)</t>
        </is>
      </c>
      <c r="AA34" s="60" t="inlineStr">
        <is>
          <t>D&amp;B (delinquency-only)</t>
        </is>
      </c>
      <c r="AB34" s="60" t="inlineStr">
        <is>
          <t>No (delinquency-only)</t>
        </is>
      </c>
      <c r="AC34" s="60" t="inlineStr">
        <is>
          <t>None found (small agent program)</t>
        </is>
      </c>
      <c r="AD34" s="60" t="inlineStr">
        <is>
          <t>-</t>
        </is>
      </c>
      <c r="AE34" s="60" t="inlineStr">
        <is>
          <t>No (agent card)</t>
        </is>
      </c>
      <c r="AF34" s="60" t="inlineStr">
        <is>
          <t>No - commercial/SBA underwritten</t>
        </is>
      </c>
      <c r="AG34" s="60" t="inlineStr">
        <is>
          <t>Issuer = Elan VERIFIED ('creditor and issuer is Elan'). &gt;$1B CA bank previously missing.</t>
        </is>
      </c>
      <c r="AH34" s="64" t="inlineStr">
        <is>
          <t>cbb-bank.com/en/business/lending/creditcards</t>
        </is>
      </c>
    </row>
    <row r="35" ht="15.75" customHeight="1">
      <c r="A35" s="57" t="n">
        <v>34</v>
      </c>
      <c r="B35" s="72" t="inlineStr">
        <is>
          <t>C - Agent-issued card</t>
        </is>
      </c>
      <c r="C35" s="60" t="inlineStr">
        <is>
          <t>Mission Valley Bank</t>
        </is>
      </c>
      <c r="D35" s="60" t="inlineStr">
        <is>
          <t>2/4 (missing: self-UW, apply online)</t>
        </is>
      </c>
      <c r="E35" s="69" t="inlineStr">
        <is>
          <t>Bank</t>
        </is>
      </c>
      <c r="F35" s="61" t="inlineStr">
        <is>
          <t>Yes</t>
        </is>
      </c>
      <c r="G35" s="60" t="inlineStr">
        <is>
          <t>SoCal - LA County</t>
        </is>
      </c>
      <c r="H35" s="62" t="inlineStr">
        <is>
          <t>CA-HQ (Southern California)</t>
        </is>
      </c>
      <c r="I35" s="63" t="inlineStr">
        <is>
          <t>$2k-$10k (est; TCM community-bank pattern)</t>
        </is>
      </c>
      <c r="J35" s="60" t="inlineStr">
        <is>
          <t>$0.71B</t>
        </is>
      </c>
      <c r="K35" s="60" t="inlineStr">
        <is>
          <t>$0.56B</t>
        </is>
      </c>
      <c r="L35" s="60" t="inlineStr">
        <is>
          <t>San Fernando Valley + Santa Clarita; SBA-active</t>
        </is>
      </c>
      <c r="M35" s="60" t="n">
        <v>63</v>
      </c>
      <c r="N35" s="60" t="inlineStr">
        <is>
          <t>Sun Valley</t>
        </is>
      </c>
      <c r="O35" s="60" t="inlineStr">
        <is>
          <t>Los Angeles</t>
        </is>
      </c>
      <c r="P35" s="64" t="inlineStr">
        <is>
          <t>missionvalleybank.com</t>
        </is>
      </c>
      <c r="Q35" s="65" t="inlineStr">
        <is>
          <t>Yes</t>
        </is>
      </c>
      <c r="R35" s="64" t="inlineStr">
        <is>
          <t>missionvalleybank.com/card-services/</t>
        </is>
      </c>
      <c r="S35" s="66" t="inlineStr">
        <is>
          <t>Partial online</t>
        </is>
      </c>
      <c r="T35" s="60" t="inlineStr">
        <is>
          <t>TCM online app (likely)</t>
        </is>
      </c>
      <c r="U35" s="67" t="inlineStr">
        <is>
          <t>No</t>
        </is>
      </c>
      <c r="V35" s="77" t="inlineStr">
        <is>
          <t>TCM Bank, N.A. (ICBA)</t>
        </is>
      </c>
      <c r="W35" s="57" t="inlineStr">
        <is>
          <t>Yes (revolving)</t>
        </is>
      </c>
      <c r="X35" s="67" t="inlineStr">
        <is>
          <t>Unknown</t>
        </is>
      </c>
      <c r="Y35" s="60" t="inlineStr">
        <is>
          <t>TCM-issued business cards; APR/AF per TCM T&amp;C</t>
        </is>
      </c>
      <c r="Z35" s="60" t="inlineStr">
        <is>
          <t>Experian (TCM typical)</t>
        </is>
      </c>
      <c r="AA35" s="60" t="inlineStr">
        <is>
          <t>Unknown</t>
        </is>
      </c>
      <c r="AB35" s="60" t="inlineStr">
        <is>
          <t>Unknown</t>
        </is>
      </c>
      <c r="AC35" s="60" t="inlineStr">
        <is>
          <t>None found</t>
        </is>
      </c>
      <c r="AD35" s="60" t="inlineStr">
        <is>
          <t>-</t>
        </is>
      </c>
      <c r="AE35" s="60" t="inlineStr">
        <is>
          <t>Verify</t>
        </is>
      </c>
      <c r="AF35" s="60" t="inlineStr">
        <is>
          <t>No - SBA/commercial underwritten</t>
        </is>
      </c>
      <c r="AG35" s="60" t="inlineStr">
        <is>
          <t>Issuer VERIFIED (TCM Bank, N.A., 'issued by TCM Bank').</t>
        </is>
      </c>
      <c r="AH35" s="64" t="inlineStr">
        <is>
          <t>missionvalleybank.com/card-services/</t>
        </is>
      </c>
    </row>
    <row r="36" ht="15.75" customHeight="1">
      <c r="A36" s="57" t="n">
        <v>35</v>
      </c>
      <c r="B36" s="72" t="inlineStr">
        <is>
          <t>C - Agent-issued card</t>
        </is>
      </c>
      <c r="C36" s="60" t="inlineStr">
        <is>
          <t>Universal Bank</t>
        </is>
      </c>
      <c r="D36" s="60" t="inlineStr">
        <is>
          <t>2/4 (missing: self-UW, apply online)</t>
        </is>
      </c>
      <c r="E36" s="69" t="inlineStr">
        <is>
          <t>Bank</t>
        </is>
      </c>
      <c r="F36" s="61" t="inlineStr">
        <is>
          <t>Yes</t>
        </is>
      </c>
      <c r="G36" s="60" t="inlineStr">
        <is>
          <t>SoCal - LA County</t>
        </is>
      </c>
      <c r="H36" s="62" t="inlineStr">
        <is>
          <t>CA-HQ (Southern California)</t>
        </is>
      </c>
      <c r="I36" s="63" t="inlineStr">
        <is>
          <t>$3k-$15k (est; Elan agent pattern, myFICO)</t>
        </is>
      </c>
      <c r="J36" s="60" t="inlineStr">
        <is>
          <t>$0.36B</t>
        </is>
      </c>
      <c r="K36" s="60" t="inlineStr">
        <is>
          <t>$0.27B</t>
        </is>
      </c>
      <c r="L36" s="60" t="inlineStr">
        <is>
          <t>San Gabriel Valley; small community bank</t>
        </is>
      </c>
      <c r="M36" s="60" t="n">
        <v>62</v>
      </c>
      <c r="N36" s="60" t="inlineStr">
        <is>
          <t>West Covina</t>
        </is>
      </c>
      <c r="O36" s="60" t="inlineStr">
        <is>
          <t>Los Angeles</t>
        </is>
      </c>
      <c r="P36" s="64" t="inlineStr">
        <is>
          <t>universalbank.com</t>
        </is>
      </c>
      <c r="Q36" s="65" t="inlineStr">
        <is>
          <t>Yes</t>
        </is>
      </c>
      <c r="R36" s="64" t="inlineStr">
        <is>
          <t>universalbank.com/Resources/All-Services</t>
        </is>
      </c>
      <c r="S36" s="70" t="inlineStr">
        <is>
          <t>In-person</t>
        </is>
      </c>
      <c r="T36" s="60" t="inlineStr">
        <is>
          <t>In-person only (visit branch)</t>
        </is>
      </c>
      <c r="U36" s="67" t="inlineStr">
        <is>
          <t>No</t>
        </is>
      </c>
      <c r="V36" s="74" t="inlineStr">
        <is>
          <t>Elan Financial Services (U.S. Bank)</t>
        </is>
      </c>
      <c r="W36" s="57" t="inlineStr">
        <is>
          <t>Yes (revolving)</t>
        </is>
      </c>
      <c r="X36" s="67" t="inlineStr">
        <is>
          <t>Unknown</t>
        </is>
      </c>
      <c r="Y36" s="60" t="inlineStr">
        <is>
          <t>Visa via Elan; APR/AF per Elan T&amp;C</t>
        </is>
      </c>
      <c r="Z36" s="60" t="inlineStr">
        <is>
          <t>TransUnion (Elan)</t>
        </is>
      </c>
      <c r="AA36" s="60" t="inlineStr">
        <is>
          <t>D&amp;B (delinquency-only)</t>
        </is>
      </c>
      <c r="AB36" s="60" t="inlineStr">
        <is>
          <t>No (delinquency-only)</t>
        </is>
      </c>
      <c r="AC36" s="60" t="inlineStr">
        <is>
          <t>Elan general</t>
        </is>
      </c>
      <c r="AD36" s="64" t="inlineStr">
        <is>
          <t>stacking.capital</t>
        </is>
      </c>
      <c r="AE36" s="60" t="inlineStr">
        <is>
          <t>No (Elan card)</t>
        </is>
      </c>
      <c r="AF36" s="60" t="inlineStr">
        <is>
          <t>No - underwritten</t>
        </is>
      </c>
      <c r="AG36" s="60" t="inlineStr">
        <is>
          <t>Issuer VERIFIED (Elan). In-person apply only.</t>
        </is>
      </c>
      <c r="AH36" s="64" t="inlineStr">
        <is>
          <t>universalbank.com/Resources/All-Services</t>
        </is>
      </c>
    </row>
    <row r="37" ht="15.75" customHeight="1">
      <c r="A37" s="57" t="n">
        <v>36</v>
      </c>
      <c r="B37" s="72" t="inlineStr">
        <is>
          <t>C - Agent-issued card</t>
        </is>
      </c>
      <c r="C37" s="60" t="inlineStr">
        <is>
          <t>California Bank of Commerce, N.A.</t>
        </is>
      </c>
      <c r="D37" s="60" t="inlineStr">
        <is>
          <t>2/4 (missing: self-UW, apply online)</t>
        </is>
      </c>
      <c r="E37" s="69" t="inlineStr">
        <is>
          <t>Bank</t>
        </is>
      </c>
      <c r="F37" s="61" t="inlineStr">
        <is>
          <t>Yes</t>
        </is>
      </c>
      <c r="G37" s="60" t="inlineStr">
        <is>
          <t>SoCal - San Diego</t>
        </is>
      </c>
      <c r="H37" s="62" t="inlineStr">
        <is>
          <t>CA-HQ (Southern California)</t>
        </is>
      </c>
      <c r="I37" s="63" t="inlineStr">
        <is>
          <t>$3k-$15k (est; Elan agent pattern, myFICO)</t>
        </is>
      </c>
      <c r="J37" s="60" t="inlineStr">
        <is>
          <t>$4.2B</t>
        </is>
      </c>
      <c r="K37" s="60" t="inlineStr">
        <is>
          <t>~$3.5B</t>
        </is>
      </c>
      <c r="L37" s="60" t="inlineStr">
        <is>
          <t>San Diego HQ; now California BanCorp (BCAL) after 2024 merger w/ Southern California Bancorp; SoCal + Bay Area office</t>
        </is>
      </c>
      <c r="M37" s="60" t="n">
        <v>56</v>
      </c>
      <c r="N37" s="60" t="inlineStr">
        <is>
          <t>San Diego</t>
        </is>
      </c>
      <c r="O37" s="60" t="inlineStr">
        <is>
          <t>San Diego</t>
        </is>
      </c>
      <c r="P37" s="64" t="inlineStr">
        <is>
          <t>californiabankofcommerce.com</t>
        </is>
      </c>
      <c r="Q37" s="65" t="inlineStr">
        <is>
          <t>Yes</t>
        </is>
      </c>
      <c r="R37" s="64" t="inlineStr">
        <is>
          <t>californiabankofcommerce.com business cards</t>
        </is>
      </c>
      <c r="S37" s="66" t="inlineStr">
        <is>
          <t>Partial online</t>
        </is>
      </c>
      <c r="T37" s="60" t="inlineStr">
        <is>
          <t>Via bank / Elan online portal</t>
        </is>
      </c>
      <c r="U37" s="67" t="inlineStr">
        <is>
          <t>No</t>
        </is>
      </c>
      <c r="V37" s="74" t="inlineStr">
        <is>
          <t>Elan Financial Services (U.S. Bank)</t>
        </is>
      </c>
      <c r="W37" s="57" t="inlineStr">
        <is>
          <t>Yes (revolving)</t>
        </is>
      </c>
      <c r="X37" s="67" t="inlineStr">
        <is>
          <t>Verify (issuer menu)</t>
        </is>
      </c>
      <c r="Y37" s="60" t="inlineStr">
        <is>
          <t>Agent-issued; APR/AF per issuer T&amp;C (not on page)</t>
        </is>
      </c>
      <c r="Z37" s="60" t="inlineStr">
        <is>
          <t>TransUnion (Elan)</t>
        </is>
      </c>
      <c r="AA37" s="60" t="inlineStr">
        <is>
          <t>D&amp;B (delinquency-only)</t>
        </is>
      </c>
      <c r="AB37" s="60" t="inlineStr">
        <is>
          <t>No (delinquency-only)</t>
        </is>
      </c>
      <c r="AC37" s="60" t="inlineStr">
        <is>
          <t>None found (small agent program)</t>
        </is>
      </c>
      <c r="AD37" s="60" t="inlineStr">
        <is>
          <t>-</t>
        </is>
      </c>
      <c r="AE37" s="60" t="inlineStr">
        <is>
          <t>No (agent card)</t>
        </is>
      </c>
      <c r="AF37" s="60" t="inlineStr">
        <is>
          <t>No - commercial/SBA underwritten</t>
        </is>
      </c>
      <c r="AG37" s="60" t="inlineStr">
        <is>
          <t>Issuer = Elan VERIFIED ('creditor and issuer is Elan'). &gt;$1B CA bank previously missing.</t>
        </is>
      </c>
      <c r="AH37" s="64" t="inlineStr">
        <is>
          <t>californiabankofcommerce.com</t>
        </is>
      </c>
    </row>
    <row r="38" ht="15.75" customHeight="1">
      <c r="A38" s="57" t="n">
        <v>37</v>
      </c>
      <c r="B38" s="72" t="inlineStr">
        <is>
          <t>C - Agent-issued card</t>
        </is>
      </c>
      <c r="C38" s="60" t="inlineStr">
        <is>
          <t>First General Bank</t>
        </is>
      </c>
      <c r="D38" s="60" t="inlineStr">
        <is>
          <t>2/4 (missing: self-UW, apply online)</t>
        </is>
      </c>
      <c r="E38" s="69" t="inlineStr">
        <is>
          <t>Bank</t>
        </is>
      </c>
      <c r="F38" s="61" t="inlineStr">
        <is>
          <t>Yes</t>
        </is>
      </c>
      <c r="G38" s="60" t="inlineStr">
        <is>
          <t>SoCal - LA County</t>
        </is>
      </c>
      <c r="H38" s="62" t="inlineStr">
        <is>
          <t>CA-HQ (Southern California)</t>
        </is>
      </c>
      <c r="I38" s="63" t="inlineStr">
        <is>
          <t>$2k-$10k (est; TCM community-bank pattern)</t>
        </is>
      </c>
      <c r="J38" s="60" t="inlineStr">
        <is>
          <t>$1.14B</t>
        </is>
      </c>
      <c r="K38" s="60" t="inlineStr">
        <is>
          <t>$0.82B</t>
        </is>
      </c>
      <c r="L38" s="60" t="inlineStr">
        <is>
          <t>San Gabriel Valley; Chinese-American focus</t>
        </is>
      </c>
      <c r="M38" s="60" t="n">
        <v>56</v>
      </c>
      <c r="N38" s="60" t="inlineStr">
        <is>
          <t>Rowland Heights</t>
        </is>
      </c>
      <c r="O38" s="60" t="inlineStr">
        <is>
          <t>Los Angeles</t>
        </is>
      </c>
      <c r="P38" s="64" t="inlineStr">
        <is>
          <t>fgbusa.com</t>
        </is>
      </c>
      <c r="Q38" s="65" t="inlineStr">
        <is>
          <t>Yes</t>
        </is>
      </c>
      <c r="R38" s="64" t="inlineStr">
        <is>
          <t>fgbusa.com/products-and-services/others</t>
        </is>
      </c>
      <c r="S38" s="70" t="inlineStr">
        <is>
          <t>In-person</t>
        </is>
      </c>
      <c r="T38" s="60" t="inlineStr">
        <is>
          <t>No online app (contact bank)</t>
        </is>
      </c>
      <c r="U38" s="67" t="inlineStr">
        <is>
          <t>No</t>
        </is>
      </c>
      <c r="V38" s="77" t="inlineStr">
        <is>
          <t>TCM Bank, N.A. (inferred)</t>
        </is>
      </c>
      <c r="W38" s="57" t="inlineStr">
        <is>
          <t>Yes (revolving)</t>
        </is>
      </c>
      <c r="X38" s="67" t="inlineStr">
        <is>
          <t>Verify (issuer menu)</t>
        </is>
      </c>
      <c r="Y38" s="60" t="inlineStr">
        <is>
          <t>Agent-issued; APR/AF per issuer T&amp;C (not on page)</t>
        </is>
      </c>
      <c r="Z38" s="60" t="inlineStr">
        <is>
          <t>Per issuer</t>
        </is>
      </c>
      <c r="AA38" s="60" t="inlineStr">
        <is>
          <t>Per issuer</t>
        </is>
      </c>
      <c r="AB38" s="60" t="inlineStr">
        <is>
          <t>No (typical)</t>
        </is>
      </c>
      <c r="AC38" s="60" t="inlineStr">
        <is>
          <t>None found (small agent program)</t>
        </is>
      </c>
      <c r="AD38" s="60" t="inlineStr">
        <is>
          <t>-</t>
        </is>
      </c>
      <c r="AE38" s="60" t="inlineStr">
        <is>
          <t>No (agent card)</t>
        </is>
      </c>
      <c r="AF38" s="60" t="inlineStr">
        <is>
          <t>No - commercial/SBA underwritten</t>
        </is>
      </c>
      <c r="AG38" s="60" t="inlineStr">
        <is>
          <t>Biz card exists; issuer INFERRED TCM (no issuer named, no online app).</t>
        </is>
      </c>
      <c r="AH38" s="64" t="inlineStr">
        <is>
          <t>fgbusa.com/products-and-services/others</t>
        </is>
      </c>
    </row>
    <row r="39" ht="15.75" customHeight="1">
      <c r="A39" s="57" t="n">
        <v>38</v>
      </c>
      <c r="B39" s="72" t="inlineStr">
        <is>
          <t>C - Agent-issued card</t>
        </is>
      </c>
      <c r="C39" s="60" t="inlineStr">
        <is>
          <t>East West Bank</t>
        </is>
      </c>
      <c r="D39" s="60" t="inlineStr">
        <is>
          <t>2/4 (missing: self-UW, apply online)</t>
        </is>
      </c>
      <c r="E39" s="69" t="inlineStr">
        <is>
          <t>Bank</t>
        </is>
      </c>
      <c r="F39" s="61" t="inlineStr">
        <is>
          <t>Yes</t>
        </is>
      </c>
      <c r="G39" s="60" t="inlineStr">
        <is>
          <t>SoCal - LA County</t>
        </is>
      </c>
      <c r="H39" s="62" t="inlineStr">
        <is>
          <t>CA-HQ (Southern California)</t>
        </is>
      </c>
      <c r="I39" s="63" t="inlineStr">
        <is>
          <t>$3k-$15k (est; Elan agent pattern, myFICO)</t>
        </is>
      </c>
      <c r="J39" s="60" t="inlineStr">
        <is>
          <t>$79.08B</t>
        </is>
      </c>
      <c r="K39" s="60" t="inlineStr">
        <is>
          <t>$66.73B</t>
        </is>
      </c>
      <c r="L39" s="60" t="inlineStr">
        <is>
          <t>~100 branches, 7 states; CA LA/Bay/SD; NV WA TX NY MA IL GA; Greater China</t>
        </is>
      </c>
      <c r="M39" s="60" t="n">
        <v>54</v>
      </c>
      <c r="N39" s="60" t="inlineStr">
        <is>
          <t>Pasadena</t>
        </is>
      </c>
      <c r="O39" s="60" t="inlineStr">
        <is>
          <t>Los Angeles</t>
        </is>
      </c>
      <c r="P39" s="64" t="inlineStr">
        <is>
          <t>eastwestbank.com</t>
        </is>
      </c>
      <c r="Q39" s="65" t="inlineStr">
        <is>
          <t>Yes</t>
        </is>
      </c>
      <c r="R39" s="64" t="inlineStr">
        <is>
          <t>eastwestbank.com/.../disbursements-and-payments</t>
        </is>
      </c>
      <c r="S39" s="70" t="inlineStr">
        <is>
          <t>In-person</t>
        </is>
      </c>
      <c r="T39" s="60" t="inlineStr">
        <is>
          <t>Via Treasury Mgmt / business banker (888-761-3967)</t>
        </is>
      </c>
      <c r="U39" s="67" t="inlineStr">
        <is>
          <t>No</t>
        </is>
      </c>
      <c r="V39" s="74" t="inlineStr">
        <is>
          <t>Elan Financial Services (U.S. Bank)</t>
        </is>
      </c>
      <c r="W39" s="57" t="inlineStr">
        <is>
          <t>Charge card</t>
        </is>
      </c>
      <c r="X39" s="67" t="inlineStr">
        <is>
          <t>No</t>
        </is>
      </c>
      <c r="Y39" s="60" t="inlineStr">
        <is>
          <t>Not published (corporate program, negotiated). One Card = T&amp;E/purchasing</t>
        </is>
      </c>
      <c r="Z39" s="60" t="inlineStr">
        <is>
          <t>Unknown</t>
        </is>
      </c>
      <c r="AA39" s="60" t="inlineStr">
        <is>
          <t>Unknown</t>
        </is>
      </c>
      <c r="AB39" s="60" t="inlineStr">
        <is>
          <t>Unknown</t>
        </is>
      </c>
      <c r="AC39" s="60" t="inlineStr">
        <is>
          <t>None for biz card (relationship/treasury product, no public app)</t>
        </is>
      </c>
      <c r="AD39" s="60" t="inlineStr">
        <is>
          <t>-</t>
        </is>
      </c>
      <c r="AE39" s="60" t="inlineStr">
        <is>
          <t>Yes (treasury-managed)</t>
        </is>
      </c>
      <c r="AF39" s="60" t="inlineStr">
        <is>
          <t>No - LOC/term/SBA/ABL/trade all underwritten</t>
        </is>
      </c>
      <c r="AG39" s="60" t="inlineStr">
        <is>
          <t>Issuer VERIFIED (Elan). Terms/bureaus UNKNOWN. No unsecured small-biz card.</t>
        </is>
      </c>
      <c r="AH39" s="64" t="inlineStr">
        <is>
          <t>eastwestbank.com disbursements-and-payments (Elan disclosure)</t>
        </is>
      </c>
    </row>
    <row r="40" ht="15.75" customHeight="1">
      <c r="A40" s="57" t="n">
        <v>39</v>
      </c>
      <c r="B40" s="72" t="inlineStr">
        <is>
          <t>C - Agent-issued card</t>
        </is>
      </c>
      <c r="C40" s="60" t="inlineStr">
        <is>
          <t>HCN Bank</t>
        </is>
      </c>
      <c r="D40" s="60" t="inlineStr">
        <is>
          <t>2/4 (missing: self-UW, apply online)</t>
        </is>
      </c>
      <c r="E40" s="69" t="inlineStr">
        <is>
          <t>Bank</t>
        </is>
      </c>
      <c r="F40" s="61" t="inlineStr">
        <is>
          <t>Yes</t>
        </is>
      </c>
      <c r="G40" s="60" t="inlineStr">
        <is>
          <t>SoCal - Inland Empire</t>
        </is>
      </c>
      <c r="H40" s="62" t="inlineStr">
        <is>
          <t>CA-HQ (Southern California)</t>
        </is>
      </c>
      <c r="I40" s="63" t="inlineStr">
        <is>
          <t>$3k-$15k (est; agent program)</t>
        </is>
      </c>
      <c r="J40" s="60" t="inlineStr">
        <is>
          <t>$0.996B</t>
        </is>
      </c>
      <c r="K40" s="60" t="inlineStr">
        <is>
          <t>$0.87B</t>
        </is>
      </c>
      <c r="L40" s="60" t="inlineStr">
        <is>
          <t>Inland Empire (Riverside) community bank</t>
        </is>
      </c>
      <c r="M40" s="60" t="n">
        <v>54</v>
      </c>
      <c r="N40" s="60" t="inlineStr">
        <is>
          <t>Riverside</t>
        </is>
      </c>
      <c r="O40" s="60" t="inlineStr">
        <is>
          <t>Riverside</t>
        </is>
      </c>
      <c r="P40" s="64" t="inlineStr">
        <is>
          <t>hcnbank.com</t>
        </is>
      </c>
      <c r="Q40" s="65" t="inlineStr">
        <is>
          <t>Yes</t>
        </is>
      </c>
      <c r="R40" s="64" t="inlineStr">
        <is>
          <t>hcnbank.com/Business-Credit-Cards/</t>
        </is>
      </c>
      <c r="S40" s="70" t="inlineStr">
        <is>
          <t>In-person</t>
        </is>
      </c>
      <c r="T40" s="60" t="inlineStr">
        <is>
          <t>Print/fax/mail (TIB Card Service Center)</t>
        </is>
      </c>
      <c r="U40" s="67" t="inlineStr">
        <is>
          <t>No</t>
        </is>
      </c>
      <c r="V40" s="78" t="inlineStr">
        <is>
          <t>TIB, N.A. (agent)</t>
        </is>
      </c>
      <c r="W40" s="57" t="inlineStr">
        <is>
          <t>Yes (revolving)</t>
        </is>
      </c>
      <c r="X40" s="67" t="inlineStr">
        <is>
          <t>No (no intro shown)</t>
        </is>
      </c>
      <c r="Y40" s="60" t="inlineStr">
        <is>
          <t>Agent-issued; APR/AF per issuer T&amp;C (not on page)</t>
        </is>
      </c>
      <c r="Z40" s="60" t="inlineStr">
        <is>
          <t>Per TIB</t>
        </is>
      </c>
      <c r="AA40" s="60" t="inlineStr">
        <is>
          <t>Per issuer</t>
        </is>
      </c>
      <c r="AB40" s="60" t="inlineStr">
        <is>
          <t>No (typical)</t>
        </is>
      </c>
      <c r="AC40" s="60" t="inlineStr">
        <is>
          <t>None found (small agent program)</t>
        </is>
      </c>
      <c r="AD40" s="60" t="inlineStr">
        <is>
          <t>-</t>
        </is>
      </c>
      <c r="AE40" s="60" t="inlineStr">
        <is>
          <t>No (agent card)</t>
        </is>
      </c>
      <c r="AF40" s="60" t="inlineStr">
        <is>
          <t>No - commercial/SBA underwritten</t>
        </is>
      </c>
      <c r="AG40" s="60" t="inlineStr">
        <is>
          <t>Issuer = TIB VERIFIED ('underwritten, approved and serviced by TIB'). Offline apply.</t>
        </is>
      </c>
      <c r="AH40" s="64" t="inlineStr">
        <is>
          <t>hcnbank.com/Business-Credit-Cards/</t>
        </is>
      </c>
    </row>
    <row r="41" ht="15.75" customHeight="1">
      <c r="A41" s="57" t="n">
        <v>40</v>
      </c>
      <c r="B41" s="72" t="inlineStr">
        <is>
          <t>C - Agent-issued card</t>
        </is>
      </c>
      <c r="C41" s="60" t="inlineStr">
        <is>
          <t>Partners Bank of California</t>
        </is>
      </c>
      <c r="D41" s="60" t="inlineStr">
        <is>
          <t>2/4 (missing: self-UW, apply online)</t>
        </is>
      </c>
      <c r="E41" s="69" t="inlineStr">
        <is>
          <t>Bank</t>
        </is>
      </c>
      <c r="F41" s="61" t="inlineStr">
        <is>
          <t>Yes</t>
        </is>
      </c>
      <c r="G41" s="60" t="inlineStr">
        <is>
          <t>SoCal - Orange County</t>
        </is>
      </c>
      <c r="H41" s="62" t="inlineStr">
        <is>
          <t>CA-HQ (Southern California)</t>
        </is>
      </c>
      <c r="I41" s="63" t="inlineStr">
        <is>
          <t>$2k-$10k (est; TCM community-bank pattern)</t>
        </is>
      </c>
      <c r="J41" s="60" t="inlineStr">
        <is>
          <t>$0.78B</t>
        </is>
      </c>
      <c r="K41" s="60" t="inlineStr">
        <is>
          <t>$0.71B</t>
        </is>
      </c>
      <c r="L41" s="60" t="inlineStr">
        <is>
          <t>South Orange County community bank</t>
        </is>
      </c>
      <c r="M41" s="60" t="n">
        <v>54</v>
      </c>
      <c r="N41" s="60" t="inlineStr">
        <is>
          <t>Mission Viejo</t>
        </is>
      </c>
      <c r="O41" s="60" t="inlineStr">
        <is>
          <t>Orange</t>
        </is>
      </c>
      <c r="P41" s="64" t="inlineStr">
        <is>
          <t>pbofca.com</t>
        </is>
      </c>
      <c r="Q41" s="65" t="inlineStr">
        <is>
          <t>Yes</t>
        </is>
      </c>
      <c r="R41" s="64" t="inlineStr">
        <is>
          <t>pbofca.com/product/business-banking/lending-solutions/</t>
        </is>
      </c>
      <c r="S41" s="70" t="inlineStr">
        <is>
          <t>In-person</t>
        </is>
      </c>
      <c r="T41" s="60" t="inlineStr">
        <is>
          <t>Banker/phone (no online app)</t>
        </is>
      </c>
      <c r="U41" s="67" t="inlineStr">
        <is>
          <t>No</t>
        </is>
      </c>
      <c r="V41" s="77" t="inlineStr">
        <is>
          <t>TCM Bank, N.A. (inferred)</t>
        </is>
      </c>
      <c r="W41" s="57" t="inlineStr">
        <is>
          <t>Yes (revolving)</t>
        </is>
      </c>
      <c r="X41" s="67" t="inlineStr">
        <is>
          <t>Unknown</t>
        </is>
      </c>
      <c r="Y41" s="60" t="inlineStr">
        <is>
          <t>Mastercard Business / Preferred Points (1 pt/$1, up to 10k/mo)</t>
        </is>
      </c>
      <c r="Z41" s="60" t="inlineStr">
        <is>
          <t>Experian (TCM typical, inferred)</t>
        </is>
      </c>
      <c r="AA41" s="60" t="inlineStr">
        <is>
          <t>Unknown</t>
        </is>
      </c>
      <c r="AB41" s="60" t="inlineStr">
        <is>
          <t>Unknown</t>
        </is>
      </c>
      <c r="AC41" s="60" t="inlineStr">
        <is>
          <t>None found</t>
        </is>
      </c>
      <c r="AD41" s="60" t="inlineStr">
        <is>
          <t>-</t>
        </is>
      </c>
      <c r="AE41" s="60" t="inlineStr">
        <is>
          <t>Verify</t>
        </is>
      </c>
      <c r="AF41" s="60" t="inlineStr">
        <is>
          <t>No - commercial underwritten</t>
        </is>
      </c>
      <c r="AG41" s="60" t="inlineStr">
        <is>
          <t>Issuer = TCM Bank (INFERRED, Preferred Points suite). No online app.</t>
        </is>
      </c>
      <c r="AH41" s="64" t="inlineStr">
        <is>
          <t>pbofca.com/product/business-banking/lending-solutions/</t>
        </is>
      </c>
    </row>
    <row r="42" ht="15.75" customHeight="1">
      <c r="A42" s="57" t="n">
        <v>41</v>
      </c>
      <c r="B42" s="72" t="inlineStr">
        <is>
          <t>C - Agent-issued card</t>
        </is>
      </c>
      <c r="C42" s="60" t="inlineStr">
        <is>
          <t>Genesis Bank</t>
        </is>
      </c>
      <c r="D42" s="60" t="inlineStr">
        <is>
          <t>2/4 (missing: self-UW, apply online)</t>
        </is>
      </c>
      <c r="E42" s="69" t="inlineStr">
        <is>
          <t>Bank</t>
        </is>
      </c>
      <c r="F42" s="61" t="inlineStr">
        <is>
          <t>Yes</t>
        </is>
      </c>
      <c r="G42" s="60" t="inlineStr">
        <is>
          <t>SoCal - Orange County</t>
        </is>
      </c>
      <c r="H42" s="62" t="inlineStr">
        <is>
          <t>CA-HQ (Southern California)</t>
        </is>
      </c>
      <c r="I42" s="63" t="inlineStr">
        <is>
          <t>$3k-$15k (est; agent program)</t>
        </is>
      </c>
      <c r="J42" s="60" t="inlineStr">
        <is>
          <t>$0.42B</t>
        </is>
      </c>
      <c r="K42" s="60" t="inlineStr">
        <is>
          <t>$0.37B</t>
        </is>
      </c>
      <c r="L42" s="60" t="inlineStr">
        <is>
          <t>Orange County de novo bank (2020)</t>
        </is>
      </c>
      <c r="M42" s="60" t="n">
        <v>54</v>
      </c>
      <c r="N42" s="60" t="inlineStr">
        <is>
          <t>Newport Beach</t>
        </is>
      </c>
      <c r="O42" s="60" t="inlineStr">
        <is>
          <t>Orange</t>
        </is>
      </c>
      <c r="P42" s="64" t="inlineStr">
        <is>
          <t>mygenesisbank.com</t>
        </is>
      </c>
      <c r="Q42" s="65" t="inlineStr">
        <is>
          <t>Yes</t>
        </is>
      </c>
      <c r="R42" s="64" t="inlineStr">
        <is>
          <t>mygenesisbank.com/commercial-banking/business-loans/loan-products</t>
        </is>
      </c>
      <c r="S42" s="70" t="inlineStr">
        <is>
          <t>In-person</t>
        </is>
      </c>
      <c r="T42" s="60" t="inlineStr">
        <is>
          <t>No online app (contact 949-273-1226)</t>
        </is>
      </c>
      <c r="U42" s="67" t="inlineStr">
        <is>
          <t>No</t>
        </is>
      </c>
      <c r="V42" s="72" t="inlineStr">
        <is>
          <t>Unknown (issuer not disclosed)</t>
        </is>
      </c>
      <c r="W42" s="57" t="inlineStr">
        <is>
          <t>Yes (revolving)</t>
        </is>
      </c>
      <c r="X42" s="67" t="inlineStr">
        <is>
          <t>Verify (issuer menu)</t>
        </is>
      </c>
      <c r="Y42" s="60" t="inlineStr">
        <is>
          <t>Agent-issued; APR/AF per issuer T&amp;C (not on page)</t>
        </is>
      </c>
      <c r="Z42" s="60" t="inlineStr">
        <is>
          <t>Per issuer</t>
        </is>
      </c>
      <c r="AA42" s="60" t="inlineStr">
        <is>
          <t>Per issuer</t>
        </is>
      </c>
      <c r="AB42" s="60" t="inlineStr">
        <is>
          <t>No (typical)</t>
        </is>
      </c>
      <c r="AC42" s="60" t="inlineStr">
        <is>
          <t>None found (small agent program)</t>
        </is>
      </c>
      <c r="AD42" s="60" t="inlineStr">
        <is>
          <t>-</t>
        </is>
      </c>
      <c r="AE42" s="60" t="inlineStr">
        <is>
          <t>No (agent card)</t>
        </is>
      </c>
      <c r="AF42" s="60" t="inlineStr">
        <is>
          <t>No - commercial/SBA underwritten</t>
        </is>
      </c>
      <c r="AG42" s="60" t="inlineStr">
        <is>
          <t>Biz card marketed but NO card name/terms/issuer disclosed. Issuer UNKNOWN (call to confirm self vs agent).</t>
        </is>
      </c>
      <c r="AH42" s="64" t="inlineStr">
        <is>
          <t>mygenesisbank.com/commercial-banking/business-loans/loan-products</t>
        </is>
      </c>
    </row>
    <row r="43" ht="15.75" customHeight="1">
      <c r="A43" s="57" t="n">
        <v>42</v>
      </c>
      <c r="B43" s="72" t="inlineStr">
        <is>
          <t>C - Agent-issued card</t>
        </is>
      </c>
      <c r="C43" s="60" t="inlineStr">
        <is>
          <t>American Business Bank</t>
        </is>
      </c>
      <c r="D43" s="60" t="inlineStr">
        <is>
          <t>2/4 (missing: self-UW, apply online)</t>
        </is>
      </c>
      <c r="E43" s="69" t="inlineStr">
        <is>
          <t>Bank</t>
        </is>
      </c>
      <c r="F43" s="61" t="inlineStr">
        <is>
          <t>Yes</t>
        </is>
      </c>
      <c r="G43" s="60" t="inlineStr">
        <is>
          <t>SoCal - LA County</t>
        </is>
      </c>
      <c r="H43" s="62" t="inlineStr">
        <is>
          <t>CA-HQ (Southern California)</t>
        </is>
      </c>
      <c r="I43" s="63" t="inlineStr">
        <is>
          <t>$3k-$15k (est; agent program)</t>
        </is>
      </c>
      <c r="J43" s="60" t="inlineStr">
        <is>
          <t>$4.46B</t>
        </is>
      </c>
      <c r="K43" s="60" t="inlineStr">
        <is>
          <t>$4.00B</t>
        </is>
      </c>
      <c r="L43" s="60" t="inlineStr">
        <is>
          <t>Downtown LA commercial bank; relationship-driven</t>
        </is>
      </c>
      <c r="M43" s="60" t="n">
        <v>48</v>
      </c>
      <c r="N43" s="60" t="inlineStr">
        <is>
          <t>Los Angeles</t>
        </is>
      </c>
      <c r="O43" s="60" t="inlineStr">
        <is>
          <t>Los Angeles</t>
        </is>
      </c>
      <c r="P43" s="64" t="inlineStr">
        <is>
          <t>americanbb.bank</t>
        </is>
      </c>
      <c r="Q43" s="65" t="inlineStr">
        <is>
          <t>Yes</t>
        </is>
      </c>
      <c r="R43" s="64" t="inlineStr">
        <is>
          <t>americanbb.bank/services/relationship-banking/credit-services/</t>
        </is>
      </c>
      <c r="S43" s="70" t="inlineStr">
        <is>
          <t>In-person</t>
        </is>
      </c>
      <c r="T43" s="60" t="inlineStr">
        <is>
          <t>Relationship/in-person only</t>
        </is>
      </c>
      <c r="U43" s="67" t="inlineStr">
        <is>
          <t>No</t>
        </is>
      </c>
      <c r="V43" s="79" t="inlineStr">
        <is>
          <t>Relationship-only (corporate card; issuer not disclosed)</t>
        </is>
      </c>
      <c r="W43" s="57" t="inlineStr">
        <is>
          <t>-</t>
        </is>
      </c>
      <c r="X43" s="67" t="inlineStr">
        <is>
          <t>No</t>
        </is>
      </c>
      <c r="Y43" s="60" t="inlineStr">
        <is>
          <t>Corporate credit cards under relationship banking; no product page/Schumer box</t>
        </is>
      </c>
      <c r="Z43" s="60" t="inlineStr">
        <is>
          <t>Unknown</t>
        </is>
      </c>
      <c r="AA43" s="60" t="inlineStr">
        <is>
          <t>Unknown</t>
        </is>
      </c>
      <c r="AB43" s="60" t="inlineStr">
        <is>
          <t>Unknown</t>
        </is>
      </c>
      <c r="AC43" s="60" t="inlineStr">
        <is>
          <t>None found</t>
        </is>
      </c>
      <c r="AD43" s="60" t="inlineStr">
        <is>
          <t>-</t>
        </is>
      </c>
      <c r="AE43" s="60" t="inlineStr">
        <is>
          <t>Yes (relationship)</t>
        </is>
      </c>
      <c r="AF43" s="60" t="inlineStr">
        <is>
          <t>No - commercial underwritten</t>
        </is>
      </c>
      <c r="AG43" s="60" t="inlineStr">
        <is>
          <t>Corporate card only, no online app, issuer undisclosed.</t>
        </is>
      </c>
      <c r="AH43" s="64" t="inlineStr">
        <is>
          <t>americanbb.bank</t>
        </is>
      </c>
    </row>
    <row r="44" ht="15.75" customHeight="1">
      <c r="A44" s="57" t="n">
        <v>43</v>
      </c>
      <c r="B44" s="72" t="inlineStr">
        <is>
          <t>C - Agent-issued card</t>
        </is>
      </c>
      <c r="C44" s="60" t="inlineStr">
        <is>
          <t>CalPrivate Bank</t>
        </is>
      </c>
      <c r="D44" s="60" t="inlineStr">
        <is>
          <t>2/4 (missing: self-UW, apply online)</t>
        </is>
      </c>
      <c r="E44" s="69" t="inlineStr">
        <is>
          <t>Bank</t>
        </is>
      </c>
      <c r="F44" s="61" t="inlineStr">
        <is>
          <t>Yes</t>
        </is>
      </c>
      <c r="G44" s="60" t="inlineStr">
        <is>
          <t>SoCal - San Diego</t>
        </is>
      </c>
      <c r="H44" s="62" t="inlineStr">
        <is>
          <t>CA-HQ (Southern California)</t>
        </is>
      </c>
      <c r="I44" s="63" t="inlineStr">
        <is>
          <t>$3k-$15k (est; agent program)</t>
        </is>
      </c>
      <c r="J44" s="60" t="inlineStr">
        <is>
          <t>$2.58B</t>
        </is>
      </c>
      <c r="K44" s="60" t="inlineStr">
        <is>
          <t>$2.28B</t>
        </is>
      </c>
      <c r="L44" s="60" t="inlineStr">
        <is>
          <t>San Diego + OC + LA private/business bank</t>
        </is>
      </c>
      <c r="M44" s="60" t="n">
        <v>45</v>
      </c>
      <c r="N44" s="60" t="inlineStr">
        <is>
          <t>La Jolla</t>
        </is>
      </c>
      <c r="O44" s="60" t="inlineStr">
        <is>
          <t>San Diego</t>
        </is>
      </c>
      <c r="P44" s="64" t="inlineStr">
        <is>
          <t>calprivate.bank</t>
        </is>
      </c>
      <c r="Q44" s="65" t="inlineStr">
        <is>
          <t>Yes</t>
        </is>
      </c>
      <c r="R44" s="64" t="inlineStr">
        <is>
          <t>calprivate.bank/business-banking/business-credit-cards/</t>
        </is>
      </c>
      <c r="S44" s="70" t="inlineStr">
        <is>
          <t>In-person</t>
        </is>
      </c>
      <c r="T44" s="60" t="inlineStr">
        <is>
          <t>Contact-banker form (no online app)</t>
        </is>
      </c>
      <c r="U44" s="67" t="inlineStr">
        <is>
          <t>No</t>
        </is>
      </c>
      <c r="V44" s="78" t="inlineStr">
        <is>
          <t>TIB, N.A. (agent, inferred)</t>
        </is>
      </c>
      <c r="W44" s="57" t="inlineStr">
        <is>
          <t>Yes (revolving)</t>
        </is>
      </c>
      <c r="X44" s="67" t="inlineStr">
        <is>
          <t>Unknown (see application)</t>
        </is>
      </c>
      <c r="Y44" s="60" t="inlineStr">
        <is>
          <t>Business Standard ($0 AF) + Business Preferred Points ($49 AF, 1 pt/$1, 25-day grace)</t>
        </is>
      </c>
      <c r="Z44" s="60" t="inlineStr">
        <is>
          <t>Unknown (TIB)</t>
        </is>
      </c>
      <c r="AA44" s="60" t="inlineStr">
        <is>
          <t>Unknown</t>
        </is>
      </c>
      <c r="AB44" s="60" t="inlineStr">
        <is>
          <t>Unknown</t>
        </is>
      </c>
      <c r="AC44" s="60" t="inlineStr">
        <is>
          <t>None found</t>
        </is>
      </c>
      <c r="AD44" s="60" t="inlineStr">
        <is>
          <t>-</t>
        </is>
      </c>
      <c r="AE44" s="60" t="inlineStr">
        <is>
          <t>Verify</t>
        </is>
      </c>
      <c r="AF44" s="60" t="inlineStr">
        <is>
          <t>No - private/commercial underwritten</t>
        </is>
      </c>
      <c r="AG44" s="60" t="inlineStr">
        <is>
          <t>Issuer = TIB N.A. (agent, INFERRED via cardaccount.net/tib.fdecs.com). In-person apply.</t>
        </is>
      </c>
      <c r="AH44" s="64" t="inlineStr">
        <is>
          <t>calprivate.bank/business-banking/business-credit-cards/</t>
        </is>
      </c>
    </row>
    <row r="45" ht="15.75" customHeight="1">
      <c r="A45" s="57" t="n">
        <v>44</v>
      </c>
      <c r="B45" s="72" t="inlineStr">
        <is>
          <t>C - Agent-issued card</t>
        </is>
      </c>
      <c r="C45" s="60" t="inlineStr">
        <is>
          <t>Axos Bank</t>
        </is>
      </c>
      <c r="D45" s="60" t="inlineStr">
        <is>
          <t>2/4 (missing: self-UW, apply online)</t>
        </is>
      </c>
      <c r="E45" s="69" t="inlineStr">
        <is>
          <t>Bank</t>
        </is>
      </c>
      <c r="F45" s="61" t="inlineStr">
        <is>
          <t>Yes</t>
        </is>
      </c>
      <c r="G45" s="60" t="inlineStr">
        <is>
          <t>SoCal - San Diego</t>
        </is>
      </c>
      <c r="H45" s="62" t="inlineStr">
        <is>
          <t>CA-HQ (Southern California)</t>
        </is>
      </c>
      <c r="I45" s="63" t="inlineStr">
        <is>
          <t>$3k-$15k (est; Elan agent pattern, myFICO)</t>
        </is>
      </c>
      <c r="J45" s="60" t="inlineStr">
        <is>
          <t>$26.35B</t>
        </is>
      </c>
      <c r="K45" s="60" t="inlineStr">
        <is>
          <t>$22.62B</t>
        </is>
      </c>
      <c r="L45" s="60" t="inlineStr">
        <is>
          <t>Online/digital bank; 2 branches (San Diego HQ, Las Vegas NV); national digital</t>
        </is>
      </c>
      <c r="M45" s="60" t="n">
        <v>44</v>
      </c>
      <c r="N45" s="60" t="inlineStr">
        <is>
          <t>San Diego</t>
        </is>
      </c>
      <c r="O45" s="60" t="inlineStr">
        <is>
          <t>San Diego</t>
        </is>
      </c>
      <c r="P45" s="64" t="inlineStr">
        <is>
          <t>axosbank.com</t>
        </is>
      </c>
      <c r="Q45" s="65" t="inlineStr">
        <is>
          <t>Yes</t>
        </is>
      </c>
      <c r="R45" s="64" t="inlineStr">
        <is>
          <t>axosbank.com/commercial/banking/global-treasury-management/commercial-credit-card</t>
        </is>
      </c>
      <c r="S45" s="70" t="inlineStr">
        <is>
          <t>In-person</t>
        </is>
      </c>
      <c r="T45" s="60" t="inlineStr">
        <is>
          <t>Schedule-a-call / consultation form only</t>
        </is>
      </c>
      <c r="U45" s="67" t="inlineStr">
        <is>
          <t>No</t>
        </is>
      </c>
      <c r="V45" s="74" t="inlineStr">
        <is>
          <t>Elan Financial Services via Fiserv Credit Choice</t>
        </is>
      </c>
      <c r="W45" s="57" t="inlineStr">
        <is>
          <t>Yes (revolving)</t>
        </is>
      </c>
      <c r="X45" s="67" t="inlineStr">
        <is>
          <t>No</t>
        </is>
      </c>
      <c r="Y45" s="60" t="inlineStr">
        <is>
          <t>Commercial Credit Card 1% cash back $0 AF; Charge Card up to 1.75% rebates $0 AF, no FX. APR not published</t>
        </is>
      </c>
      <c r="Z45" s="60" t="inlineStr">
        <is>
          <t>TransUnion (Elan, inferred)</t>
        </is>
      </c>
      <c r="AA45" s="60" t="inlineStr">
        <is>
          <t>Elan model (delinquency-only); SBFE plausible</t>
        </is>
      </c>
      <c r="AB45" s="60" t="inlineStr">
        <is>
          <t>No (delinquency-only)</t>
        </is>
      </c>
      <c r="AC45" s="60" t="inlineStr">
        <is>
          <t>None found (RM-sold commercial cards)</t>
        </is>
      </c>
      <c r="AD45" s="60" t="inlineStr">
        <is>
          <t>-</t>
        </is>
      </c>
      <c r="AE45" s="60" t="inlineStr">
        <is>
          <t>Yes (payments debit Axos acct; treasury)</t>
        </is>
      </c>
      <c r="AF45" s="60" t="inlineStr">
        <is>
          <t>No - commercial LOC/term (2yr+ in biz, PG, $250k-$10M), SBA</t>
        </is>
      </c>
      <c r="AG45" s="60" t="inlineStr">
        <is>
          <t>Issuer = Elan via Fiserv (platform VERIFIED; exact legal issuer inferred). No online apply.</t>
        </is>
      </c>
      <c r="AH45" s="64" t="inlineStr">
        <is>
          <t>axosbank.com; ir.usbank.com (Fiserv Credit Choice 2025)</t>
        </is>
      </c>
    </row>
    <row r="46" ht="15.75" customHeight="1">
      <c r="A46" s="57" t="n"/>
      <c r="B46" s="58" t="inlineStr">
        <is>
          <t>A - Self-issued, apply online</t>
        </is>
      </c>
      <c r="C46" s="59" t="inlineStr">
        <is>
          <t>Chase (Ink Business)</t>
        </is>
      </c>
      <c r="D46" s="60" t="inlineStr">
        <is>
          <t>3/4 (missing: SoCal)</t>
        </is>
      </c>
      <c r="E46" s="69" t="inlineStr">
        <is>
          <t>Bank</t>
        </is>
      </c>
      <c r="F46" s="67" t="inlineStr">
        <is>
          <t>No</t>
        </is>
      </c>
      <c r="G46" s="60" t="inlineStr">
        <is>
          <t>Out-of-state (national)</t>
        </is>
      </c>
      <c r="H46" s="62" t="inlineStr">
        <is>
          <t>Has CA branches statewide; apply online (CA-accessible)</t>
        </is>
      </c>
      <c r="I46" s="63" t="inlineStr">
        <is>
          <t>$3k-$50k (myFICO: thin-file ~$4k to ~$36k; auto-CLI to ~$90k)</t>
        </is>
      </c>
      <c r="J46" s="60" t="inlineStr">
        <is>
          <t>~$3.9T</t>
        </is>
      </c>
      <c r="K46" s="60" t="inlineStr">
        <is>
          <t>~$2.4T</t>
        </is>
      </c>
      <c r="L46" s="60" t="inlineStr">
        <is>
          <t>National; largest U.S. bank</t>
        </is>
      </c>
      <c r="M46" s="60" t="n">
        <v>166</v>
      </c>
      <c r="N46" s="60" t="inlineStr">
        <is>
          <t>New York</t>
        </is>
      </c>
      <c r="O46" s="60" t="inlineStr">
        <is>
          <t>New York (NY)</t>
        </is>
      </c>
      <c r="P46" s="64" t="inlineStr">
        <is>
          <t>chase.com</t>
        </is>
      </c>
      <c r="Q46" s="65" t="inlineStr">
        <is>
          <t>Yes</t>
        </is>
      </c>
      <c r="R46" s="64" t="inlineStr">
        <is>
          <t>creditcards.chase.com/business-credit-cards</t>
        </is>
      </c>
      <c r="S46" s="65" t="inlineStr">
        <is>
          <t>Online</t>
        </is>
      </c>
      <c r="T46" s="60" t="inlineStr">
        <is>
          <t>creditcards.chase.com/business-credit-cards</t>
        </is>
      </c>
      <c r="U46" s="65" t="inlineStr">
        <is>
          <t>Yes</t>
        </is>
      </c>
      <c r="V46" s="62" t="inlineStr">
        <is>
          <t>Self-issued (JPMorgan Chase Bank, N.A.)</t>
        </is>
      </c>
      <c r="W46" s="57" t="inlineStr">
        <is>
          <t>Yes (revolving)</t>
        </is>
      </c>
      <c r="X46" s="66" t="inlineStr">
        <is>
          <t>Yes - 12 mo (Ink Unlimited/Cash)</t>
        </is>
      </c>
      <c r="Y46" s="60" t="inlineStr">
        <is>
          <t>Ink Unlimited/Cash: 0% 12mo, ~16.74-24.74% var, $0 AF, $750 bonus. Ink Preferred $95 (3x cats)</t>
        </is>
      </c>
      <c r="Z46" s="60" t="inlineStr">
        <is>
          <t>Experian most common (state-dependent)</t>
        </is>
      </c>
      <c r="AA46" s="60" t="inlineStr">
        <is>
          <t>D&amp;B, Experian Biz, Equifax Biz, SBFE</t>
        </is>
      </c>
      <c r="AB46" s="60" t="inlineStr">
        <is>
          <t>No (negative/default only)</t>
        </is>
      </c>
      <c r="AC46" s="60" t="inlineStr">
        <is>
          <t>SLs ~$3k-$50k; ~$36k at $500k rev/$200k income; thin-file ~$4k; auto-CLI to ~$90k over time</t>
        </is>
      </c>
      <c r="AD46" s="64" t="inlineStr">
        <is>
          <t>myFICO 6823313, 6589293; DoC</t>
        </is>
      </c>
      <c r="AE46" s="60" t="inlineStr">
        <is>
          <t>No</t>
        </is>
      </c>
      <c r="AF46" s="60" t="inlineStr">
        <is>
          <t>No - SBA/LOC/term underwritten</t>
        </is>
      </c>
      <c r="AG46" s="60" t="inlineStr">
        <is>
          <t>SELF-ISSUED VERIFIED. KEY RULE: 5/24 (denied if 5+ personal cards/24mo). Richest forum data.</t>
        </is>
      </c>
      <c r="AH46" s="64" t="inlineStr">
        <is>
          <t>creditcards.chase.com/business-credit-cards; thepointsguy.com 5/24</t>
        </is>
      </c>
    </row>
    <row r="47" ht="15.75" customHeight="1">
      <c r="A47" s="57" t="n"/>
      <c r="B47" s="58" t="inlineStr">
        <is>
          <t>A - Self-issued, apply online</t>
        </is>
      </c>
      <c r="C47" s="59" t="inlineStr">
        <is>
          <t>U.S. Bank</t>
        </is>
      </c>
      <c r="D47" s="60" t="inlineStr">
        <is>
          <t>3/4 (missing: SoCal)</t>
        </is>
      </c>
      <c r="E47" s="69" t="inlineStr">
        <is>
          <t>Bank</t>
        </is>
      </c>
      <c r="F47" s="67" t="inlineStr">
        <is>
          <t>No</t>
        </is>
      </c>
      <c r="G47" s="60" t="inlineStr">
        <is>
          <t>Out-of-state (national)</t>
        </is>
      </c>
      <c r="H47" s="62" t="inlineStr">
        <is>
          <t>Has CA branches statewide; apply online (CA-accessible)</t>
        </is>
      </c>
      <c r="I47" s="63" t="inlineStr">
        <is>
          <t>$10k-$30k (myFICO datapoints)</t>
        </is>
      </c>
      <c r="J47" s="60" t="inlineStr">
        <is>
          <t>~$680B</t>
        </is>
      </c>
      <c r="K47" s="60" t="inlineStr">
        <is>
          <t>~$510B</t>
        </is>
      </c>
      <c r="L47" s="60" t="inlineStr">
        <is>
          <t>National; ~2,000 branches; large CA presence</t>
        </is>
      </c>
      <c r="M47" s="60" t="n">
        <v>166</v>
      </c>
      <c r="N47" s="60" t="inlineStr">
        <is>
          <t>Minneapolis</t>
        </is>
      </c>
      <c r="O47" s="60" t="inlineStr">
        <is>
          <t>Hennepin (MN)</t>
        </is>
      </c>
      <c r="P47" s="64" t="inlineStr">
        <is>
          <t>usbank.com</t>
        </is>
      </c>
      <c r="Q47" s="65" t="inlineStr">
        <is>
          <t>Yes</t>
        </is>
      </c>
      <c r="R47" s="64" t="inlineStr">
        <is>
          <t>usbank.com/business-banking/business-credit-cards</t>
        </is>
      </c>
      <c r="S47" s="65" t="inlineStr">
        <is>
          <t>Online</t>
        </is>
      </c>
      <c r="T47" s="60" t="inlineStr">
        <is>
          <t>creditcardapply.usbank.com/.../business-triplecash-rewards</t>
        </is>
      </c>
      <c r="U47" s="65" t="inlineStr">
        <is>
          <t>Yes</t>
        </is>
      </c>
      <c r="V47" s="62" t="inlineStr">
        <is>
          <t>Self-issued (U.S. Bank N.A., own-brand)</t>
        </is>
      </c>
      <c r="W47" s="57" t="inlineStr">
        <is>
          <t>Yes (revolving)</t>
        </is>
      </c>
      <c r="X47" s="66" t="inlineStr">
        <is>
          <t>Yes - 15 billing cycles (Triple Cash)</t>
        </is>
      </c>
      <c r="Y47" s="60" t="inlineStr">
        <is>
          <t>Business Triple Cash: 0% 15 cycles, ~17.24-26.24% var, $0 AF, 3% cats, $750 bonus. Business Leverage $95 (wvd yr1)</t>
        </is>
      </c>
      <c r="Z47" s="60" t="inlineStr">
        <is>
          <t>TransUnion most common (state-dependent)</t>
        </is>
      </c>
      <c r="AA47" s="60" t="inlineStr">
        <is>
          <t>D&amp;B + SBFE (VERIFIED, U.S. Bank KB)</t>
        </is>
      </c>
      <c r="AB47" s="60" t="inlineStr">
        <is>
          <t>No (good standing)</t>
        </is>
      </c>
      <c r="AC47" s="60" t="inlineStr">
        <is>
          <t>Triple Cash: ~$10k-$30k start; no 5/24; soft CLIs. $25k at ~750 FICO datapoint</t>
        </is>
      </c>
      <c r="AD47" s="64" t="inlineStr">
        <is>
          <t>myFICO 6845780, 6792967, 6524750</t>
        </is>
      </c>
      <c r="AE47" s="60" t="inlineStr">
        <is>
          <t>No</t>
        </is>
      </c>
      <c r="AF47" s="60" t="inlineStr">
        <is>
          <t>No - SBA/LOC/term underwritten</t>
        </is>
      </c>
      <c r="AG47" s="60" t="inlineStr">
        <is>
          <t>SELF-ISSUED VERIFIED (own-brand; 'creditor is U.S. Bank N.A.'). Note: U.S. Bank OWNS Elan but own-brand is self.</t>
        </is>
      </c>
      <c r="AH47" s="64" t="inlineStr">
        <is>
          <t>usbank.com/.../business-triple-cash; usbank.com KB0096233 (biz bureaus)</t>
        </is>
      </c>
    </row>
    <row r="48" ht="15.75" customHeight="1">
      <c r="A48" s="57" t="n"/>
      <c r="B48" s="58" t="inlineStr">
        <is>
          <t>A - Self-issued, apply online</t>
        </is>
      </c>
      <c r="C48" s="59" t="inlineStr">
        <is>
          <t>Capital One (Spark/Venture Business)</t>
        </is>
      </c>
      <c r="D48" s="60" t="inlineStr">
        <is>
          <t>3/4 (missing: SoCal)</t>
        </is>
      </c>
      <c r="E48" s="69" t="inlineStr">
        <is>
          <t>Bank</t>
        </is>
      </c>
      <c r="F48" s="67" t="inlineStr">
        <is>
          <t>No</t>
        </is>
      </c>
      <c r="G48" s="60" t="inlineStr">
        <is>
          <t>Out-of-state (national)</t>
        </is>
      </c>
      <c r="H48" s="62" t="inlineStr">
        <is>
          <t>Online nationwide - no branch needed (CA-accessible)</t>
        </is>
      </c>
      <c r="I48" s="63" t="inlineStr">
        <is>
          <t>Cash Plus: no preset limit; Cash Select ~$5k+ (myFICO)</t>
        </is>
      </c>
      <c r="J48" s="60" t="inlineStr">
        <is>
          <t>~$480B</t>
        </is>
      </c>
      <c r="K48" s="60" t="inlineStr">
        <is>
          <t>~$360B</t>
        </is>
      </c>
      <c r="L48" s="60" t="inlineStr">
        <is>
          <t>National; bank HQ Richmond VA</t>
        </is>
      </c>
      <c r="M48" s="60" t="n">
        <v>166</v>
      </c>
      <c r="N48" s="60" t="inlineStr">
        <is>
          <t>McLean</t>
        </is>
      </c>
      <c r="O48" s="60" t="inlineStr">
        <is>
          <t>Fairfax (VA)</t>
        </is>
      </c>
      <c r="P48" s="64" t="inlineStr">
        <is>
          <t>capitalone.com</t>
        </is>
      </c>
      <c r="Q48" s="65" t="inlineStr">
        <is>
          <t>Yes</t>
        </is>
      </c>
      <c r="R48" s="64" t="inlineStr">
        <is>
          <t>capitalone.com/small-business/credit-cards/</t>
        </is>
      </c>
      <c r="S48" s="65" t="inlineStr">
        <is>
          <t>Online</t>
        </is>
      </c>
      <c r="T48" s="60" t="inlineStr">
        <is>
          <t>capitalone.com/.../preapprove (soft pre-qual)</t>
        </is>
      </c>
      <c r="U48" s="65" t="inlineStr">
        <is>
          <t>Yes</t>
        </is>
      </c>
      <c r="V48" s="62" t="inlineStr">
        <is>
          <t>Self-issued (Capital One, N.A.)</t>
        </is>
      </c>
      <c r="W48" s="57" t="inlineStr">
        <is>
          <t>Yes (revolving)</t>
        </is>
      </c>
      <c r="X48" s="66" t="inlineStr">
        <is>
          <t>Yes - 9 mo (Spark Cash Select)</t>
        </is>
      </c>
      <c r="Y48" s="60" t="inlineStr">
        <is>
          <t>Spark Cash Select: 0% 9mo, 17.49-23.49%, $0 AF, 1.5%. Spark Cash Plus $150 (charge, NPSL, 2%). Venture Business $95</t>
        </is>
      </c>
      <c r="Z48" s="60" t="inlineStr">
        <is>
          <t>ALL THREE (EQ+EX+TU) - triple hard pull</t>
        </is>
      </c>
      <c r="AA48" s="60" t="inlineStr">
        <is>
          <t>D&amp;B, Experian Biz, Equifax Biz, SBFE</t>
        </is>
      </c>
      <c r="AB48" s="60" t="inlineStr">
        <is>
          <t>YES for most Spark (NOT Cash Plus/Venture X)</t>
        </is>
      </c>
      <c r="AC48" s="60" t="inlineStr">
        <is>
          <t>Spark Cash Plus NPSL warms up (one ran ~$89k); revolving SLs ~$5k+; triple pull; PG required; FICO ~720+</t>
        </is>
      </c>
      <c r="AD48" s="64" t="inlineStr">
        <is>
          <t>myFICO 6822160, 6555884</t>
        </is>
      </c>
      <c r="AE48" s="60" t="inlineStr">
        <is>
          <t>No</t>
        </is>
      </c>
      <c r="AF48" s="60" t="inlineStr">
        <is>
          <t>No - underwritten</t>
        </is>
      </c>
      <c r="AG48" s="60" t="inlineStr">
        <is>
          <t>SELF-ISSUED VERIFIED. TRIPLE hard pull. Most Spark cards REPORT to personal bureaus (key differentiator).</t>
        </is>
      </c>
      <c r="AH48" s="64" t="inlineStr">
        <is>
          <t>capitalone.com/small-business/credit-cards; doctorofcredit.com (Cap One pull)</t>
        </is>
      </c>
    </row>
    <row r="49" ht="15.75" customHeight="1">
      <c r="A49" s="57" t="n"/>
      <c r="B49" s="58" t="inlineStr">
        <is>
          <t>A - Self-issued, apply online</t>
        </is>
      </c>
      <c r="C49" s="59" t="inlineStr">
        <is>
          <t>Truist</t>
        </is>
      </c>
      <c r="D49" s="60" t="inlineStr">
        <is>
          <t>3/4 (missing: SoCal)</t>
        </is>
      </c>
      <c r="E49" s="69" t="inlineStr">
        <is>
          <t>Bank</t>
        </is>
      </c>
      <c r="F49" s="67" t="inlineStr">
        <is>
          <t>No</t>
        </is>
      </c>
      <c r="G49" s="60" t="inlineStr">
        <is>
          <t>Out-of-state (national)</t>
        </is>
      </c>
      <c r="H49" s="82" t="inlineStr">
        <is>
          <t>NO CA branches - local relationship required (NOT CA-accessible)</t>
        </is>
      </c>
      <c r="I49" s="63" t="inlineStr">
        <is>
          <t>~$10k start (myFICO) - but no CA branches</t>
        </is>
      </c>
      <c r="J49" s="60" t="inlineStr">
        <is>
          <t>~$540B</t>
        </is>
      </c>
      <c r="K49" s="60" t="inlineStr">
        <is>
          <t>~$400B</t>
        </is>
      </c>
      <c r="L49" s="60" t="inlineStr">
        <is>
          <t>National (Southeast/Mid-Atlantic heavy); ~1,900 branches</t>
        </is>
      </c>
      <c r="M49" s="60" t="n">
        <v>159</v>
      </c>
      <c r="N49" s="60" t="inlineStr">
        <is>
          <t>Charlotte</t>
        </is>
      </c>
      <c r="O49" s="60" t="inlineStr">
        <is>
          <t>Mecklenburg (NC)</t>
        </is>
      </c>
      <c r="P49" s="64" t="inlineStr">
        <is>
          <t>truist.com</t>
        </is>
      </c>
      <c r="Q49" s="65" t="inlineStr">
        <is>
          <t>Yes</t>
        </is>
      </c>
      <c r="R49" s="64" t="inlineStr">
        <is>
          <t>truist.com/small-business/credit-cards</t>
        </is>
      </c>
      <c r="S49" s="65" t="inlineStr">
        <is>
          <t>Online</t>
        </is>
      </c>
      <c r="T49" s="60" t="inlineStr">
        <is>
          <t>businesscreditcard.digitalcommerce.truist.com/product/SBC</t>
        </is>
      </c>
      <c r="U49" s="65" t="inlineStr">
        <is>
          <t>Yes</t>
        </is>
      </c>
      <c r="V49" s="62" t="inlineStr">
        <is>
          <t>Self-issued (Truist Bank)</t>
        </is>
      </c>
      <c r="W49" s="57" t="inlineStr">
        <is>
          <t>Yes (revolving)</t>
        </is>
      </c>
      <c r="X49" s="66" t="inlineStr">
        <is>
          <t>Yes - 12 billing cycles (Business Card)</t>
        </is>
      </c>
      <c r="Y49" s="60" t="inlineStr">
        <is>
          <t>Business Card: 0% 12 cycles, go-to 13.74-22.74%, $0 AF. Cash Rewards: 0% 9 cycles, 2% cats. Premium Visa Infinite $299 (wvd)</t>
        </is>
      </c>
      <c r="Z49" s="60" t="inlineStr">
        <is>
          <t>Equifax (forum-strong)</t>
        </is>
      </c>
      <c r="AA49" s="60" t="inlineStr">
        <is>
          <t>Unknown (likely SBFE)</t>
        </is>
      </c>
      <c r="AB49" s="60" t="inlineStr">
        <is>
          <t>No</t>
        </is>
      </c>
      <c r="AC49" s="60" t="inlineStr">
        <is>
          <t>EQ pulls at ~754; ~$10k starting limits; users obtain a 2nd Truist biz card</t>
        </is>
      </c>
      <c r="AD49" s="64" t="inlineStr">
        <is>
          <t>myFICO 6693085, 6693086, 6741527</t>
        </is>
      </c>
      <c r="AE49" s="60" t="inlineStr">
        <is>
          <t>No</t>
        </is>
      </c>
      <c r="AF49" s="60" t="inlineStr">
        <is>
          <t>No - SBA/commercial underwritten</t>
        </is>
      </c>
      <c r="AG49" s="60" t="inlineStr">
        <is>
          <t>SELF-ISSUED VERIFIED ('issued by Truist'). 12-cycle 0%. EQ pull.</t>
        </is>
      </c>
      <c r="AH49" s="64" t="inlineStr">
        <is>
          <t>truist.com/.../business-card/disclosures; digitalcommerce.truist.com</t>
        </is>
      </c>
    </row>
    <row r="50" ht="15.75" customHeight="1">
      <c r="A50" s="57" t="n"/>
      <c r="B50" s="58" t="inlineStr">
        <is>
          <t>A - Self-issued, apply online</t>
        </is>
      </c>
      <c r="C50" s="59" t="inlineStr">
        <is>
          <t>American Express (Business)</t>
        </is>
      </c>
      <c r="D50" s="60" t="inlineStr">
        <is>
          <t>3/4 (missing: SoCal)</t>
        </is>
      </c>
      <c r="E50" s="83" t="inlineStr">
        <is>
          <t>Card issuer</t>
        </is>
      </c>
      <c r="F50" s="67" t="inlineStr">
        <is>
          <t>No</t>
        </is>
      </c>
      <c r="G50" s="60" t="inlineStr">
        <is>
          <t>Out-of-state (national)</t>
        </is>
      </c>
      <c r="H50" s="62" t="inlineStr">
        <is>
          <t>Online nationwide - no branch/local presence needed (CA-accessible)</t>
        </is>
      </c>
      <c r="I50" s="63" t="inlineStr">
        <is>
          <t>Blue: $2k-$20k (common ~$10k, myFICO); Gold/Platinum: no preset limit</t>
        </is>
      </c>
      <c r="J50" s="60" t="inlineStr">
        <is>
          <t>~$270B</t>
        </is>
      </c>
      <c r="K50" s="60" t="inlineStr">
        <is>
          <t>~$140B</t>
        </is>
      </c>
      <c r="L50" s="60" t="inlineStr">
        <is>
          <t>National card issuer</t>
        </is>
      </c>
      <c r="M50" s="60" t="n">
        <v>159</v>
      </c>
      <c r="N50" s="60" t="inlineStr">
        <is>
          <t>New York</t>
        </is>
      </c>
      <c r="O50" s="60" t="inlineStr">
        <is>
          <t>New York (NY)</t>
        </is>
      </c>
      <c r="P50" s="64" t="inlineStr">
        <is>
          <t>americanexpress.com</t>
        </is>
      </c>
      <c r="Q50" s="65" t="inlineStr">
        <is>
          <t>Yes</t>
        </is>
      </c>
      <c r="R50" s="64" t="inlineStr">
        <is>
          <t>americanexpress.com/us/credit-cards/business/business-credit-cards/</t>
        </is>
      </c>
      <c r="S50" s="65" t="inlineStr">
        <is>
          <t>Online</t>
        </is>
      </c>
      <c r="T50" s="60" t="inlineStr">
        <is>
          <t>americanexpress.com/.../business-credit-cards/</t>
        </is>
      </c>
      <c r="U50" s="65" t="inlineStr">
        <is>
          <t>Yes</t>
        </is>
      </c>
      <c r="V50" s="62" t="inlineStr">
        <is>
          <t>Self-issued (American Express)</t>
        </is>
      </c>
      <c r="W50" s="57" t="inlineStr">
        <is>
          <t>Yes (revolving)</t>
        </is>
      </c>
      <c r="X50" s="66" t="inlineStr">
        <is>
          <t>Yes - 12 mo (Blue Business Cash/Plus)</t>
        </is>
      </c>
      <c r="Y50" s="60" t="inlineStr">
        <is>
          <t>Blue Business Cash: 0% 12mo, 18.49-26.49%, $0 AF, 2% to $50k/yr. Business Gold $375 / Platinum $895 (charge)</t>
        </is>
      </c>
      <c r="Z50" s="60" t="inlineStr">
        <is>
          <t>Experian (~90%)</t>
        </is>
      </c>
      <c r="AA50" s="60" t="inlineStr">
        <is>
          <t>SBFE; D&amp;B negative-only</t>
        </is>
      </c>
      <c r="AB50" s="60" t="inlineStr">
        <is>
          <t>No (negative/default only)</t>
        </is>
      </c>
      <c r="AC50" s="60" t="inlineStr">
        <is>
          <t>Blue SLs ~$2k-$20k (common $9-12k); existing members often SOFT-pull approved; accepts EIN/ITIN</t>
        </is>
      </c>
      <c r="AD50" s="64" t="inlineStr">
        <is>
          <t>myFICO 5497108, 6587048; DoC</t>
        </is>
      </c>
      <c r="AE50" s="60" t="inlineStr">
        <is>
          <t>No</t>
        </is>
      </c>
      <c r="AF50" s="60" t="inlineStr">
        <is>
          <t>Charge cards (Gold/Platinum) = NPSL pay-in-full</t>
        </is>
      </c>
      <c r="AG50" s="60" t="inlineStr">
        <is>
          <t>SELF-ISSUED VERIFIED. RULES: 1-in-5-days, 2-in-90-days. Soft-pull for existing members.</t>
        </is>
      </c>
      <c r="AH50" s="64" t="inlineStr">
        <is>
          <t>americanexpress.com/.../business; doctorofcredit.com (Amex pull)</t>
        </is>
      </c>
    </row>
    <row r="51" ht="15.75" customHeight="1">
      <c r="A51" s="57" t="n"/>
      <c r="B51" s="58" t="inlineStr">
        <is>
          <t>A - Self-issued, apply online</t>
        </is>
      </c>
      <c r="C51" s="59" t="inlineStr">
        <is>
          <t>Citizens (Citizens Bank, N.A.)</t>
        </is>
      </c>
      <c r="D51" s="60" t="inlineStr">
        <is>
          <t>3/4 (missing: SoCal)</t>
        </is>
      </c>
      <c r="E51" s="69" t="inlineStr">
        <is>
          <t>Bank</t>
        </is>
      </c>
      <c r="F51" s="67" t="inlineStr">
        <is>
          <t>No</t>
        </is>
      </c>
      <c r="G51" s="60" t="inlineStr">
        <is>
          <t>Out-of-state (national)</t>
        </is>
      </c>
      <c r="H51" s="82" t="inlineStr">
        <is>
          <t>NO CA branches - Northeast only (NOT CA-accessible)</t>
        </is>
      </c>
      <c r="I51" s="63" t="inlineStr">
        <is>
          <t>Up to $25k (myFICO Everyday Points)</t>
        </is>
      </c>
      <c r="J51" s="60" t="inlineStr">
        <is>
          <t>~$220B</t>
        </is>
      </c>
      <c r="K51" s="60" t="inlineStr">
        <is>
          <t>~$175B</t>
        </is>
      </c>
      <c r="L51" s="60" t="inlineStr">
        <is>
          <t>Northeast/Mid-Atlantic (CT DE FL MD MA MI NH NJ NY OH PA RI VT VA DC)</t>
        </is>
      </c>
      <c r="M51" s="60" t="n">
        <v>159</v>
      </c>
      <c r="N51" s="60" t="inlineStr">
        <is>
          <t>Providence</t>
        </is>
      </c>
      <c r="O51" s="60" t="inlineStr">
        <is>
          <t>Providence (RI)</t>
        </is>
      </c>
      <c r="P51" s="64" t="inlineStr">
        <is>
          <t>citizensbank.com</t>
        </is>
      </c>
      <c r="Q51" s="65" t="inlineStr">
        <is>
          <t>Yes</t>
        </is>
      </c>
      <c r="R51" s="64" t="inlineStr">
        <is>
          <t>citizensbank.com/small-business/business-credit-cards/overview.aspx</t>
        </is>
      </c>
      <c r="S51" s="65" t="inlineStr">
        <is>
          <t>Online</t>
        </is>
      </c>
      <c r="T51" s="60" t="inlineStr">
        <is>
          <t>citizensbank.com (online or 888-333-5145)</t>
        </is>
      </c>
      <c r="U51" s="65" t="inlineStr">
        <is>
          <t>Yes</t>
        </is>
      </c>
      <c r="V51" s="62" t="inlineStr">
        <is>
          <t>Self-issued (Citizens Bank, N.A.)</t>
        </is>
      </c>
      <c r="W51" s="57" t="inlineStr">
        <is>
          <t>Yes (revolving)</t>
        </is>
      </c>
      <c r="X51" s="66" t="inlineStr">
        <is>
          <t>Yes - 12 months (Business Platinum)</t>
        </is>
      </c>
      <c r="Y51" s="60" t="inlineStr">
        <is>
          <t>Everyday Points Business MC; Business Platinum MC (0% 12mo, $0 AF). APR per Pricing Addendum</t>
        </is>
      </c>
      <c r="Z51" s="60" t="inlineStr">
        <is>
          <t>Experian (shifted from soft-pull EQ ~2023)</t>
        </is>
      </c>
      <c r="AA51" s="60" t="inlineStr">
        <is>
          <t>Business Experian + D&amp;B (inferred); asks ~3mo bank statements</t>
        </is>
      </c>
      <c r="AB51" s="60" t="inlineStr">
        <is>
          <t>No</t>
        </is>
      </c>
      <c r="AC51" s="60" t="inlineStr">
        <is>
          <t>Everyday Points approvals up to $25k; soft-pull era ended 2023 (now hard EX)</t>
        </is>
      </c>
      <c r="AD51" s="64" t="inlineStr">
        <is>
          <t>myFICO 6605401, 6666893, 6515847</t>
        </is>
      </c>
      <c r="AE51" s="60" t="inlineStr">
        <is>
          <t>No</t>
        </is>
      </c>
      <c r="AF51" s="60" t="inlineStr">
        <is>
          <t>No - SBA/commercial underwritten</t>
        </is>
      </c>
      <c r="AG51" s="60" t="inlineStr">
        <is>
          <t>SELF-ISSUED VERIFIED ('issued by Citizens Bank, N.A.'). Now hard-pull Experian.</t>
        </is>
      </c>
      <c r="AH51" s="64" t="inlineStr">
        <is>
          <t>citizensbank.com/small-business/business-credit-cards</t>
        </is>
      </c>
    </row>
    <row r="52" ht="15.75" customHeight="1">
      <c r="A52" s="57" t="n"/>
      <c r="B52" s="58" t="inlineStr">
        <is>
          <t>A - Self-issued, apply online</t>
        </is>
      </c>
      <c r="C52" s="60" t="inlineStr">
        <is>
          <t>PNC Bank</t>
        </is>
      </c>
      <c r="D52" s="60" t="inlineStr">
        <is>
          <t>2/4 (missing: apply online, SoCal)</t>
        </is>
      </c>
      <c r="E52" s="69" t="inlineStr">
        <is>
          <t>Bank</t>
        </is>
      </c>
      <c r="F52" s="67" t="inlineStr">
        <is>
          <t>No</t>
        </is>
      </c>
      <c r="G52" s="60" t="inlineStr">
        <is>
          <t>Out-of-state (national)</t>
        </is>
      </c>
      <c r="H52" s="82" t="inlineStr">
        <is>
          <t>NO CA retail branches - local relationship required (NOT CA-accessible)</t>
        </is>
      </c>
      <c r="I52" s="63" t="inlineStr">
        <is>
          <t>~$25k start; six-figure aggregate (myFICO) - but CA approval unlikely (no branches)</t>
        </is>
      </c>
      <c r="J52" s="60" t="inlineStr">
        <is>
          <t>~$560B</t>
        </is>
      </c>
      <c r="K52" s="60" t="inlineStr">
        <is>
          <t>~$420B</t>
        </is>
      </c>
      <c r="L52" s="60" t="inlineStr">
        <is>
          <t>National; ~2,300 branches</t>
        </is>
      </c>
      <c r="M52" s="60" t="n">
        <v>151</v>
      </c>
      <c r="N52" s="60" t="inlineStr">
        <is>
          <t>Pittsburgh</t>
        </is>
      </c>
      <c r="O52" s="60" t="inlineStr">
        <is>
          <t>Allegheny (PA)</t>
        </is>
      </c>
      <c r="P52" s="64" t="inlineStr">
        <is>
          <t>pnc.com</t>
        </is>
      </c>
      <c r="Q52" s="65" t="inlineStr">
        <is>
          <t>Yes</t>
        </is>
      </c>
      <c r="R52" s="64" t="inlineStr">
        <is>
          <t>pnc.com/.../business-credit-cards</t>
        </is>
      </c>
      <c r="S52" s="66" t="inlineStr">
        <is>
          <t>Partial online</t>
        </is>
      </c>
      <c r="T52" s="60" t="inlineStr">
        <is>
          <t>Cash Rewards online; BusinessOptions phone (855-762-2365)</t>
        </is>
      </c>
      <c r="U52" s="65" t="inlineStr">
        <is>
          <t>Yes</t>
        </is>
      </c>
      <c r="V52" s="62" t="inlineStr">
        <is>
          <t>Self-issued (PNC Bank N.A.)</t>
        </is>
      </c>
      <c r="W52" s="57" t="inlineStr">
        <is>
          <t>Yes (revolving)</t>
        </is>
      </c>
      <c r="X52" s="67" t="inlineStr">
        <is>
          <t>Varies by product</t>
        </is>
      </c>
      <c r="Y52" s="60" t="inlineStr">
        <is>
          <t>Cash Rewards Visa Sig Business: 1.5% cash back, $0 AF, $400 bonus. BusinessOptions Visa Sig</t>
        </is>
      </c>
      <c r="Z52" s="60" t="inlineStr">
        <is>
          <t>Equifax most common (EX/TU possible)</t>
        </is>
      </c>
      <c r="AA52" s="60" t="inlineStr">
        <is>
          <t>Business bureaus (not personal) - inferred</t>
        </is>
      </c>
      <c r="AB52" s="60" t="inlineStr">
        <is>
          <t>No</t>
        </is>
      </c>
      <c r="AC52" s="60" t="inlineStr">
        <is>
          <t>BusinessOptions ~$25k start (+BLOC ~$20k); six-figure aggregate reported</t>
        </is>
      </c>
      <c r="AD52" s="64" t="inlineStr">
        <is>
          <t>myFICO 6509179, 6589727, 6675929</t>
        </is>
      </c>
      <c r="AE52" s="60" t="inlineStr">
        <is>
          <t>No</t>
        </is>
      </c>
      <c r="AF52" s="60" t="inlineStr">
        <is>
          <t>No - SBA/LOC/term underwritten</t>
        </is>
      </c>
      <c r="AG52" s="60" t="inlineStr">
        <is>
          <t>SELF-ISSUED VERIFIED ('PNC Bank N.A. is the creditor and issuer'). Strong reported limits.</t>
        </is>
      </c>
      <c r="AH52" s="64" t="inlineStr">
        <is>
          <t>pnc.com/.../pnc-cash-rewards-visa-signature-business; term sheet PDF</t>
        </is>
      </c>
    </row>
    <row r="53" ht="15.75" customHeight="1">
      <c r="A53" s="57" t="n"/>
      <c r="B53" s="58" t="inlineStr">
        <is>
          <t>A - Self-issued, apply online</t>
        </is>
      </c>
      <c r="C53" s="59" t="inlineStr">
        <is>
          <t>Regions Bank</t>
        </is>
      </c>
      <c r="D53" s="60" t="inlineStr">
        <is>
          <t>3/4 (missing: SoCal)</t>
        </is>
      </c>
      <c r="E53" s="69" t="inlineStr">
        <is>
          <t>Bank</t>
        </is>
      </c>
      <c r="F53" s="67" t="inlineStr">
        <is>
          <t>No</t>
        </is>
      </c>
      <c r="G53" s="60" t="inlineStr">
        <is>
          <t>Out-of-state (national)</t>
        </is>
      </c>
      <c r="H53" s="82" t="inlineStr">
        <is>
          <t>NO CA branches - South (NOT CA-accessible)</t>
        </is>
      </c>
      <c r="I53" s="63" t="inlineStr">
        <is>
          <t>$5k-$25k (est; self-issued community pattern)</t>
        </is>
      </c>
      <c r="J53" s="60" t="inlineStr">
        <is>
          <t>~$160B</t>
        </is>
      </c>
      <c r="K53" s="60" t="inlineStr">
        <is>
          <t>~$125B</t>
        </is>
      </c>
      <c r="L53" s="60" t="inlineStr">
        <is>
          <t>National (South/Midwest); ~1,250 branches</t>
        </is>
      </c>
      <c r="M53" s="60" t="n">
        <v>151</v>
      </c>
      <c r="N53" s="60" t="inlineStr">
        <is>
          <t>Birmingham</t>
        </is>
      </c>
      <c r="O53" s="60" t="inlineStr">
        <is>
          <t>Jefferson (AL)</t>
        </is>
      </c>
      <c r="P53" s="64" t="inlineStr">
        <is>
          <t>regions.com</t>
        </is>
      </c>
      <c r="Q53" s="65" t="inlineStr">
        <is>
          <t>Yes</t>
        </is>
      </c>
      <c r="R53" s="64" t="inlineStr">
        <is>
          <t>regions.com/small-business/business-credit-cards</t>
        </is>
      </c>
      <c r="S53" s="65" t="inlineStr">
        <is>
          <t>Online</t>
        </is>
      </c>
      <c r="T53" s="60" t="inlineStr">
        <is>
          <t>regions.com online application</t>
        </is>
      </c>
      <c r="U53" s="65" t="inlineStr">
        <is>
          <t>Yes</t>
        </is>
      </c>
      <c r="V53" s="62" t="inlineStr">
        <is>
          <t>Self-issued (Regions Bank)</t>
        </is>
      </c>
      <c r="W53" s="57" t="inlineStr">
        <is>
          <t>Yes (revolving)</t>
        </is>
      </c>
      <c r="X53" s="66" t="inlineStr">
        <is>
          <t>Yes - 6 mo (Business) / 12 mo (Enhanced)</t>
        </is>
      </c>
      <c r="Y53" s="60" t="inlineStr">
        <is>
          <t>Business: 0% 6mo, 13.99-23.99%, $0 AF. Enhanced: 0% 12mo, 15.99-25.99%, $0 AF, 2% cash back offer</t>
        </is>
      </c>
      <c r="Z53" s="60" t="inlineStr">
        <is>
          <t>Unknown (not named)</t>
        </is>
      </c>
      <c r="AA53" s="60" t="inlineStr">
        <is>
          <t>Unknown</t>
        </is>
      </c>
      <c r="AB53" s="60" t="inlineStr">
        <is>
          <t>Unknown</t>
        </is>
      </c>
      <c r="AC53" s="60" t="inlineStr">
        <is>
          <t>Thin forum data</t>
        </is>
      </c>
      <c r="AD53" s="60" t="inlineStr">
        <is>
          <t>-</t>
        </is>
      </c>
      <c r="AE53" s="60" t="inlineStr">
        <is>
          <t>No</t>
        </is>
      </c>
      <c r="AF53" s="60" t="inlineStr">
        <is>
          <t>No - SBA/commercial underwritten</t>
        </is>
      </c>
      <c r="AG53" s="60" t="inlineStr">
        <is>
          <t>SELF-ISSUED VERIFIED (Regions Bank creditor). 0% 6-12mo. Online apply.</t>
        </is>
      </c>
      <c r="AH53" s="64" t="inlineStr">
        <is>
          <t>regions.com/.../business-credit-card; Business pricing PDF</t>
        </is>
      </c>
    </row>
    <row r="54" ht="15.75" customHeight="1">
      <c r="A54" s="57" t="n"/>
      <c r="B54" s="58" t="inlineStr">
        <is>
          <t>A - Self-issued, apply online</t>
        </is>
      </c>
      <c r="C54" s="60" t="inlineStr">
        <is>
          <t>Huntington Bank</t>
        </is>
      </c>
      <c r="D54" s="60" t="inlineStr">
        <is>
          <t>2/4 (missing: apply online, SoCal)</t>
        </is>
      </c>
      <c r="E54" s="69" t="inlineStr">
        <is>
          <t>Bank</t>
        </is>
      </c>
      <c r="F54" s="67" t="inlineStr">
        <is>
          <t>No</t>
        </is>
      </c>
      <c r="G54" s="60" t="inlineStr">
        <is>
          <t>Out-of-state (national)</t>
        </is>
      </c>
      <c r="H54" s="82" t="inlineStr">
        <is>
          <t>NO CA branches - Midwest (NOT CA-accessible)</t>
        </is>
      </c>
      <c r="I54" s="63" t="inlineStr">
        <is>
          <t>$1.5k-$25k (myFICO; mostly consumer Voice) - no CA branches</t>
        </is>
      </c>
      <c r="J54" s="60" t="inlineStr">
        <is>
          <t>~$210B</t>
        </is>
      </c>
      <c r="K54" s="60" t="inlineStr">
        <is>
          <t>~$160B</t>
        </is>
      </c>
      <c r="L54" s="60" t="inlineStr">
        <is>
          <t>National (Midwest); ~1,000 branches (11 states)</t>
        </is>
      </c>
      <c r="M54" s="60" t="n">
        <v>149</v>
      </c>
      <c r="N54" s="60" t="inlineStr">
        <is>
          <t>Columbus</t>
        </is>
      </c>
      <c r="O54" s="60" t="inlineStr">
        <is>
          <t>Franklin (OH)</t>
        </is>
      </c>
      <c r="P54" s="64" t="inlineStr">
        <is>
          <t>huntington.com</t>
        </is>
      </c>
      <c r="Q54" s="65" t="inlineStr">
        <is>
          <t>Yes</t>
        </is>
      </c>
      <c r="R54" s="64" t="inlineStr">
        <is>
          <t>huntington.com/SmallBusiness/voice-business-credit-card</t>
        </is>
      </c>
      <c r="S54" s="66" t="inlineStr">
        <is>
          <t>Partial online</t>
        </is>
      </c>
      <c r="T54" s="60" t="inlineStr">
        <is>
          <t>huntington.com (connect with business banker)</t>
        </is>
      </c>
      <c r="U54" s="65" t="inlineStr">
        <is>
          <t>Yes</t>
        </is>
      </c>
      <c r="V54" s="62" t="inlineStr">
        <is>
          <t>Self-issued (Huntington National Bank)</t>
        </is>
      </c>
      <c r="W54" s="57" t="inlineStr">
        <is>
          <t>Yes (revolving)</t>
        </is>
      </c>
      <c r="X54" s="66" t="inlineStr">
        <is>
          <t>Yes - 12 months (Voice Business)</t>
        </is>
      </c>
      <c r="Y54" s="60" t="inlineStr">
        <is>
          <t>Voice Business: 0% 12mo purch + 12-cycle BT, go-to 16.74-26.74%, $0 AF, no FX, choose-4% category</t>
        </is>
      </c>
      <c r="Z54" s="60" t="inlineStr">
        <is>
          <t>Equifax + TransUnion (inferred; mostly consumer Voice data)</t>
        </is>
      </c>
      <c r="AA54" s="60" t="inlineStr">
        <is>
          <t>Unknown</t>
        </is>
      </c>
      <c r="AB54" s="60" t="inlineStr">
        <is>
          <t>Unknown</t>
        </is>
      </c>
      <c r="AC54" s="60" t="inlineStr">
        <is>
          <t>Voice (consumer) limits $1.5k-$25k; auto-CLIs; min ~640 score</t>
        </is>
      </c>
      <c r="AD54" s="64" t="inlineStr">
        <is>
          <t>myFICO 2425987, 4480000; DoC Business Voice</t>
        </is>
      </c>
      <c r="AE54" s="60" t="inlineStr">
        <is>
          <t>No (banker-assisted apply)</t>
        </is>
      </c>
      <c r="AF54" s="60" t="inlineStr">
        <is>
          <t>No - SBA/commercial underwritten</t>
        </is>
      </c>
      <c r="AG54" s="60" t="inlineStr">
        <is>
          <t>SELF-ISSUED VERIFIED ('credit extended by Huntington National Bank'). 0% 12mo.</t>
        </is>
      </c>
      <c r="AH54" s="64" t="inlineStr">
        <is>
          <t>huntington.com/SmallBusiness/voice-business-credit-card; Voice Business T&amp;C PDF</t>
        </is>
      </c>
    </row>
    <row r="55" ht="15.75" customHeight="1">
      <c r="A55" s="57" t="n"/>
      <c r="B55" s="58" t="inlineStr">
        <is>
          <t>A - Self-issued, apply online</t>
        </is>
      </c>
      <c r="C55" s="59" t="inlineStr">
        <is>
          <t>Lake Michigan Credit Union</t>
        </is>
      </c>
      <c r="D55" s="60" t="inlineStr">
        <is>
          <t>3/4 (missing: SoCal)</t>
        </is>
      </c>
      <c r="E55" s="61" t="inlineStr">
        <is>
          <t>Credit Union</t>
        </is>
      </c>
      <c r="F55" s="67" t="inlineStr">
        <is>
          <t>No</t>
        </is>
      </c>
      <c r="G55" s="60" t="inlineStr">
        <is>
          <t>Out-of-state (national)</t>
        </is>
      </c>
      <c r="H55" s="62" t="inlineStr">
        <is>
          <t>CU - joinable from CA (ALS Assn $5)</t>
        </is>
      </c>
      <c r="I55" s="63" t="inlineStr">
        <is>
          <t>Not published; conservative underwriter (myFICO)</t>
        </is>
      </c>
      <c r="J55" s="60" t="inlineStr">
        <is>
          <t>~$15B</t>
        </is>
      </c>
      <c r="K55" s="60" t="inlineStr">
        <is>
          <t>~$13B (shares)</t>
        </is>
      </c>
      <c r="L55" s="60" t="inlineStr">
        <is>
          <t>Michigan + FL; ~$15B</t>
        </is>
      </c>
      <c r="M55" s="60" t="n">
        <v>139</v>
      </c>
      <c r="N55" s="60" t="inlineStr">
        <is>
          <t>Grand Rapids</t>
        </is>
      </c>
      <c r="O55" s="60" t="inlineStr">
        <is>
          <t>Kent (MI)</t>
        </is>
      </c>
      <c r="P55" s="64" t="inlineStr">
        <is>
          <t>lmcu.org</t>
        </is>
      </c>
      <c r="Q55" s="65" t="inlineStr">
        <is>
          <t>Yes</t>
        </is>
      </c>
      <c r="R55" s="64" t="inlineStr">
        <is>
          <t>lmcu.org/business/borrow/my-biz-visa/</t>
        </is>
      </c>
      <c r="S55" s="65" t="inlineStr">
        <is>
          <t>Online</t>
        </is>
      </c>
      <c r="T55" s="60" t="inlineStr">
        <is>
          <t>lmcu.org My Biz Visa (online)</t>
        </is>
      </c>
      <c r="U55" s="65" t="inlineStr">
        <is>
          <t>Yes</t>
        </is>
      </c>
      <c r="V55" s="62" t="inlineStr">
        <is>
          <t>Self-issued (LMCU) - INFERRED</t>
        </is>
      </c>
      <c r="W55" s="57" t="inlineStr">
        <is>
          <t>Yes (revolving)</t>
        </is>
      </c>
      <c r="X55" s="67" t="inlineStr">
        <is>
          <t>No</t>
        </is>
      </c>
      <c r="Y55" s="60" t="inlineStr">
        <is>
          <t>My Biz Visa: 2% cash back, $0 AF (consumer page); FX 1%, cash adv 3%</t>
        </is>
      </c>
      <c r="Z55" s="60" t="inlineStr">
        <is>
          <t>Unknown</t>
        </is>
      </c>
      <c r="AA55" s="60" t="inlineStr">
        <is>
          <t>Reports to all 3 bureaus (SuperMoney)</t>
        </is>
      </c>
      <c r="AB55" s="60" t="inlineStr">
        <is>
          <t>Unknown</t>
        </is>
      </c>
      <c r="AC55" s="60" t="inlineStr">
        <is>
          <t>Conservative underwriter; dislikes new accounts (myFICO)</t>
        </is>
      </c>
      <c r="AD55" s="60" t="inlineStr">
        <is>
          <t>-</t>
        </is>
      </c>
      <c r="AE55" s="60" t="inlineStr">
        <is>
          <t>Membership req (OPEN: $5 ALS Association donation)</t>
        </is>
      </c>
      <c r="AF55" s="60" t="inlineStr">
        <is>
          <t>Business lending separate</t>
        </is>
      </c>
      <c r="AG55" s="60" t="inlineStr">
        <is>
          <t>SELF-ISSUED INFERRED (own CFPB filing, MI law; not Elan). Online apply.</t>
        </is>
      </c>
      <c r="AH55" s="64" t="inlineStr">
        <is>
          <t>lmcu.org/business/borrow/my-biz-visa/; CFPB</t>
        </is>
      </c>
    </row>
    <row r="56" ht="15.75" customHeight="1">
      <c r="A56" s="57" t="n"/>
      <c r="B56" s="58" t="inlineStr">
        <is>
          <t>A - Self-issued, apply online</t>
        </is>
      </c>
      <c r="C56" s="59" t="inlineStr">
        <is>
          <t>Coastal Credit Union</t>
        </is>
      </c>
      <c r="D56" s="60" t="inlineStr">
        <is>
          <t>3/4 (missing: SoCal)</t>
        </is>
      </c>
      <c r="E56" s="61" t="inlineStr">
        <is>
          <t>Credit Union</t>
        </is>
      </c>
      <c r="F56" s="67" t="inlineStr">
        <is>
          <t>No</t>
        </is>
      </c>
      <c r="G56" s="60" t="inlineStr">
        <is>
          <t>Out-of-state (national)</t>
        </is>
      </c>
      <c r="H56" s="62" t="inlineStr">
        <is>
          <t>CU - joinable from CA (NCSEA / NC Consumers Council $18)</t>
        </is>
      </c>
      <c r="I56" s="63" t="inlineStr">
        <is>
          <t>Starts $5k; &gt;$25k needs docs (published)</t>
        </is>
      </c>
      <c r="J56" s="60" t="inlineStr">
        <is>
          <t>~$5.15B</t>
        </is>
      </c>
      <c r="K56" s="60" t="inlineStr">
        <is>
          <t>~$4.4B (shares)</t>
        </is>
      </c>
      <c r="L56" s="60" t="inlineStr">
        <is>
          <t>North Carolina; ~$5.15B</t>
        </is>
      </c>
      <c r="M56" s="60" t="n">
        <v>137</v>
      </c>
      <c r="N56" s="60" t="inlineStr">
        <is>
          <t>Raleigh</t>
        </is>
      </c>
      <c r="O56" s="60" t="inlineStr">
        <is>
          <t>Wake (NC)</t>
        </is>
      </c>
      <c r="P56" s="64" t="inlineStr">
        <is>
          <t>coastal24.com</t>
        </is>
      </c>
      <c r="Q56" s="65" t="inlineStr">
        <is>
          <t>Yes</t>
        </is>
      </c>
      <c r="R56" s="64" t="inlineStr">
        <is>
          <t>coastal24.com/products/business-services/business-visa</t>
        </is>
      </c>
      <c r="S56" s="65" t="inlineStr">
        <is>
          <t>Online</t>
        </is>
      </c>
      <c r="T56" s="60" t="inlineStr">
        <is>
          <t>coastal24.com business Visa application (online/PDF)</t>
        </is>
      </c>
      <c r="U56" s="65" t="inlineStr">
        <is>
          <t>Yes</t>
        </is>
      </c>
      <c r="V56" s="62" t="inlineStr">
        <is>
          <t>Self-issued (Coastal FCU)</t>
        </is>
      </c>
      <c r="W56" s="57" t="inlineStr">
        <is>
          <t>Yes (revolving)</t>
        </is>
      </c>
      <c r="X56" s="67" t="inlineStr">
        <is>
          <t>No</t>
        </is>
      </c>
      <c r="Y56" s="60" t="inlineStr">
        <is>
          <t>Business Visa: 14.75% fixed purchases / 16.75% cash adv, $0 AF, no penalty APR, BT 3%</t>
        </is>
      </c>
      <c r="Z56" s="60" t="inlineStr">
        <is>
          <t>Unknown</t>
        </is>
      </c>
      <c r="AA56" s="60" t="inlineStr">
        <is>
          <t>Reports to multiple bureaus (SuperMoney)</t>
        </is>
      </c>
      <c r="AB56" s="60" t="inlineStr">
        <is>
          <t>Unknown</t>
        </is>
      </c>
      <c r="AC56" s="60" t="inlineStr">
        <is>
          <t>Starts $5k; &gt;$25k total line needs docs; accepts ~600+ credit; PG</t>
        </is>
      </c>
      <c r="AD56" s="60" t="inlineStr">
        <is>
          <t>-</t>
        </is>
      </c>
      <c r="AE56" s="60" t="inlineStr">
        <is>
          <t>Membership req (OPEN: Coastal CU Foundation ~$18; $25 savings)</t>
        </is>
      </c>
      <c r="AF56" s="60" t="inlineStr">
        <is>
          <t>Business lending separate</t>
        </is>
      </c>
      <c r="AG56" s="60" t="inlineStr">
        <is>
          <t>SELF-ISSUED VERIFIED ('Coastal FCU authorized to issue'). Online apply, fair-credit-friendly.</t>
        </is>
      </c>
      <c r="AH56" s="64" t="inlineStr">
        <is>
          <t>coastal24.com/products/business-services/business-visa; Business-Visa-Application PDF</t>
        </is>
      </c>
    </row>
    <row r="57" ht="15.75" customHeight="1">
      <c r="A57" s="57" t="n"/>
      <c r="B57" s="58" t="inlineStr">
        <is>
          <t>A - Self-issued, apply online</t>
        </is>
      </c>
      <c r="C57" s="60" t="inlineStr">
        <is>
          <t>Fifth Third Bank</t>
        </is>
      </c>
      <c r="D57" s="60" t="inlineStr">
        <is>
          <t>2/4 (missing: apply online, SoCal)</t>
        </is>
      </c>
      <c r="E57" s="69" t="inlineStr">
        <is>
          <t>Bank</t>
        </is>
      </c>
      <c r="F57" s="67" t="inlineStr">
        <is>
          <t>No</t>
        </is>
      </c>
      <c r="G57" s="60" t="inlineStr">
        <is>
          <t>Out-of-state (national)</t>
        </is>
      </c>
      <c r="H57" s="82" t="inlineStr">
        <is>
          <t>NO CA branches - Midwest/SE (NOT CA-accessible)</t>
        </is>
      </c>
      <c r="I57" s="63" t="inlineStr">
        <is>
          <t>$5k-$25k (est; self-issued community pattern)</t>
        </is>
      </c>
      <c r="J57" s="60" t="inlineStr">
        <is>
          <t>~$210B</t>
        </is>
      </c>
      <c r="K57" s="60" t="inlineStr">
        <is>
          <t>~$165B</t>
        </is>
      </c>
      <c r="L57" s="60" t="inlineStr">
        <is>
          <t>National (Midwest/Southeast); ~1,100 branches</t>
        </is>
      </c>
      <c r="M57" s="60" t="n">
        <v>136</v>
      </c>
      <c r="N57" s="60" t="inlineStr">
        <is>
          <t>Cincinnati</t>
        </is>
      </c>
      <c r="O57" s="60" t="inlineStr">
        <is>
          <t>Hamilton (OH)</t>
        </is>
      </c>
      <c r="P57" s="64" t="inlineStr">
        <is>
          <t>53.com</t>
        </is>
      </c>
      <c r="Q57" s="65" t="inlineStr">
        <is>
          <t>Yes</t>
        </is>
      </c>
      <c r="R57" s="64" t="inlineStr">
        <is>
          <t>53.com/.../credit-card-solutions.html</t>
        </is>
      </c>
      <c r="S57" s="66" t="inlineStr">
        <is>
          <t>Partial online</t>
        </is>
      </c>
      <c r="T57" s="60" t="inlineStr">
        <is>
          <t>Online if enrolled customer; else branch/phone (866-671-5353)</t>
        </is>
      </c>
      <c r="U57" s="65" t="inlineStr">
        <is>
          <t>Yes</t>
        </is>
      </c>
      <c r="V57" s="62" t="inlineStr">
        <is>
          <t>Self-issued (Fifth Third Bank, N.A.)</t>
        </is>
      </c>
      <c r="W57" s="57" t="inlineStr">
        <is>
          <t>Yes (revolving)</t>
        </is>
      </c>
      <c r="X57" s="67" t="inlineStr">
        <is>
          <t>Varies</t>
        </is>
      </c>
      <c r="Y57" s="60" t="inlineStr">
        <is>
          <t>Business / Business Rewards MC &amp; Visa; variable APR cap 29.99%. (Simply Business closed to new apps)</t>
        </is>
      </c>
      <c r="Z57" s="60" t="inlineStr">
        <is>
          <t>Equifax-leaning (regional, inferred)</t>
        </is>
      </c>
      <c r="AA57" s="60" t="inlineStr">
        <is>
          <t>Unknown</t>
        </is>
      </c>
      <c r="AB57" s="60" t="inlineStr">
        <is>
          <t>Unknown</t>
        </is>
      </c>
      <c r="AC57" s="60" t="inlineStr">
        <is>
          <t>Sparse for business product</t>
        </is>
      </c>
      <c r="AD57" s="60" t="inlineStr">
        <is>
          <t>-</t>
        </is>
      </c>
      <c r="AE57" s="60" t="inlineStr">
        <is>
          <t>Online apply needs existing customer</t>
        </is>
      </c>
      <c r="AF57" s="60" t="inlineStr">
        <is>
          <t>No - commercial/SBA underwritten</t>
        </is>
      </c>
      <c r="AG57" s="60" t="inlineStr">
        <is>
          <t>SELF-ISSUED VERIFIED (agreement: 'Fifth Third Bank, N.A.'). Online limited to customers.</t>
        </is>
      </c>
      <c r="AH57" s="64" t="inlineStr">
        <is>
          <t>53.com/.../credit-card-solutions; business card agreement PDF</t>
        </is>
      </c>
    </row>
    <row r="58" ht="15.75" customHeight="1">
      <c r="A58" s="57" t="n"/>
      <c r="B58" s="59" t="inlineStr">
        <is>
          <t>B - Self-issued, in-person</t>
        </is>
      </c>
      <c r="C58" s="60" t="inlineStr">
        <is>
          <t>M&amp;T Bank</t>
        </is>
      </c>
      <c r="D58" s="60" t="inlineStr">
        <is>
          <t>2/4 (missing: apply online, SoCal)</t>
        </is>
      </c>
      <c r="E58" s="69" t="inlineStr">
        <is>
          <t>Bank</t>
        </is>
      </c>
      <c r="F58" s="67" t="inlineStr">
        <is>
          <t>No</t>
        </is>
      </c>
      <c r="G58" s="60" t="inlineStr">
        <is>
          <t>Out-of-state (national)</t>
        </is>
      </c>
      <c r="H58" s="82" t="inlineStr">
        <is>
          <t>NO CA branches - Northeast (NOT CA-accessible)</t>
        </is>
      </c>
      <c r="I58" s="63" t="inlineStr">
        <is>
          <t>$5k-$25k (est; self-issued community pattern)</t>
        </is>
      </c>
      <c r="J58" s="60" t="inlineStr">
        <is>
          <t>~$210B</t>
        </is>
      </c>
      <c r="K58" s="60" t="inlineStr">
        <is>
          <t>~$160B</t>
        </is>
      </c>
      <c r="L58" s="60" t="inlineStr">
        <is>
          <t>Northeast/Mid-Atlantic; ~1,000 branches</t>
        </is>
      </c>
      <c r="M58" s="60" t="n">
        <v>132</v>
      </c>
      <c r="N58" s="60" t="inlineStr">
        <is>
          <t>Buffalo</t>
        </is>
      </c>
      <c r="O58" s="60" t="inlineStr">
        <is>
          <t>Erie (NY)</t>
        </is>
      </c>
      <c r="P58" s="64" t="inlineStr">
        <is>
          <t>mtb.com</t>
        </is>
      </c>
      <c r="Q58" s="65" t="inlineStr">
        <is>
          <t>Yes</t>
        </is>
      </c>
      <c r="R58" s="64" t="inlineStr">
        <is>
          <t>mtb.com/business/business-financing/business-credit-card-options</t>
        </is>
      </c>
      <c r="S58" s="70" t="inlineStr">
        <is>
          <t>In-person</t>
        </is>
      </c>
      <c r="T58" s="60" t="inlineStr">
        <is>
          <t>Appointment/phone (866-236-1219); no online app</t>
        </is>
      </c>
      <c r="U58" s="65" t="inlineStr">
        <is>
          <t>Yes</t>
        </is>
      </c>
      <c r="V58" s="62" t="inlineStr">
        <is>
          <t>Self-issued (M&amp;T Bank)</t>
        </is>
      </c>
      <c r="W58" s="57" t="inlineStr">
        <is>
          <t>Yes (revolving)</t>
        </is>
      </c>
      <c r="X58" s="66" t="inlineStr">
        <is>
          <t>Yes - 9 cycles (Rewards) / 12 cycles (Business Card)</t>
        </is>
      </c>
      <c r="Y58" s="60" t="inlineStr">
        <is>
          <t>Business Rewards: 0% 9 cycles, 16.74-23.74%, $0 AF, 1.5 pts/$1. Business Card: 0% 12 cycles, 13.74-20.74%</t>
        </is>
      </c>
      <c r="Z58" s="60" t="inlineStr">
        <is>
          <t>Unknown</t>
        </is>
      </c>
      <c r="AA58" s="60" t="inlineStr">
        <is>
          <t>Unknown</t>
        </is>
      </c>
      <c r="AB58" s="60" t="inlineStr">
        <is>
          <t>Unknown</t>
        </is>
      </c>
      <c r="AC58" s="60" t="inlineStr">
        <is>
          <t>No reliable forum dataset</t>
        </is>
      </c>
      <c r="AD58" s="60" t="inlineStr">
        <is>
          <t>-</t>
        </is>
      </c>
      <c r="AE58" s="60" t="inlineStr">
        <is>
          <t>No online apply (appointment/phone)</t>
        </is>
      </c>
      <c r="AF58" s="60" t="inlineStr">
        <is>
          <t>No - commercial/SBA underwritten</t>
        </is>
      </c>
      <c r="AG58" s="60" t="inlineStr">
        <is>
          <t>SELF-ISSUED VERIFIED ('M&amp;T Bank...issuer and account creditor'). NO online apply.</t>
        </is>
      </c>
      <c r="AH58" s="64" t="inlineStr">
        <is>
          <t>mtb.com/business/.../m-and-t-business-rewards-credit-card</t>
        </is>
      </c>
    </row>
    <row r="59" ht="15.75" customHeight="1">
      <c r="A59" s="57" t="n"/>
      <c r="B59" s="58" t="inlineStr">
        <is>
          <t>A - Self-issued, apply online</t>
        </is>
      </c>
      <c r="C59" s="60" t="inlineStr">
        <is>
          <t>ESL FCU</t>
        </is>
      </c>
      <c r="D59" s="60" t="inlineStr">
        <is>
          <t>2/4 (missing: apply online, SoCal)</t>
        </is>
      </c>
      <c r="E59" s="61" t="inlineStr">
        <is>
          <t>Credit Union</t>
        </is>
      </c>
      <c r="F59" s="67" t="inlineStr">
        <is>
          <t>No</t>
        </is>
      </c>
      <c r="G59" s="60" t="inlineStr">
        <is>
          <t>Out-of-state (national)</t>
        </is>
      </c>
      <c r="H59" s="62" t="inlineStr">
        <is>
          <t>CU - joinable from CA (George Eastman Museum ~$55)</t>
        </is>
      </c>
      <c r="I59" s="63" t="inlineStr">
        <is>
          <t>$5k-$25k (est; self-issued community pattern)</t>
        </is>
      </c>
      <c r="J59" s="60" t="inlineStr">
        <is>
          <t>~$10.6B</t>
        </is>
      </c>
      <c r="K59" s="60" t="inlineStr">
        <is>
          <t>~$9B (shares)</t>
        </is>
      </c>
      <c r="L59" s="60" t="inlineStr">
        <is>
          <t>Rochester NY area; ~$10.6B</t>
        </is>
      </c>
      <c r="M59" s="60" t="n">
        <v>131</v>
      </c>
      <c r="N59" s="60" t="inlineStr">
        <is>
          <t>Rochester</t>
        </is>
      </c>
      <c r="O59" s="60" t="inlineStr">
        <is>
          <t>Monroe (NY)</t>
        </is>
      </c>
      <c r="P59" s="64" t="inlineStr">
        <is>
          <t>esl.org</t>
        </is>
      </c>
      <c r="Q59" s="65" t="inlineStr">
        <is>
          <t>Yes</t>
        </is>
      </c>
      <c r="R59" s="64" t="inlineStr">
        <is>
          <t>esl.org/business/small-business/credit-cards/visa-business-credit-card</t>
        </is>
      </c>
      <c r="S59" s="66" t="inlineStr">
        <is>
          <t>Partial online</t>
        </is>
      </c>
      <c r="T59" s="60" t="inlineStr">
        <is>
          <t>esl.org (online/branch; Rochester area)</t>
        </is>
      </c>
      <c r="U59" s="65" t="inlineStr">
        <is>
          <t>Yes</t>
        </is>
      </c>
      <c r="V59" s="62" t="inlineStr">
        <is>
          <t>Self-issued (ESL FCU)</t>
        </is>
      </c>
      <c r="W59" s="57" t="inlineStr">
        <is>
          <t>Yes (revolving)</t>
        </is>
      </c>
      <c r="X59" s="66" t="inlineStr">
        <is>
          <t>Low: 3.99% intro 6 cycles (not 0%)</t>
        </is>
      </c>
      <c r="Y59" s="60" t="inlineStr">
        <is>
          <t>Visa Business: 3.99% intro 6mo then Prime+6.74% var, $0 AF ($50 if Rewards), no CA/BT fee</t>
        </is>
      </c>
      <c r="Z59" s="60" t="inlineStr">
        <is>
          <t>Unknown</t>
        </is>
      </c>
      <c r="AA59" s="60" t="inlineStr">
        <is>
          <t>Unknown</t>
        </is>
      </c>
      <c r="AB59" s="60" t="inlineStr">
        <is>
          <t>Unknown</t>
        </is>
      </c>
      <c r="AC59" s="60" t="inlineStr">
        <is>
          <t>None found</t>
        </is>
      </c>
      <c r="AD59" s="60" t="inlineStr">
        <is>
          <t>-</t>
        </is>
      </c>
      <c r="AE59" s="60" t="inlineStr">
        <is>
          <t>Membership req (Rochester area; open via George Eastman Museum ~$55)</t>
        </is>
      </c>
      <c r="AF59" s="60" t="inlineStr">
        <is>
          <t>Business lending separate</t>
        </is>
      </c>
      <c r="AG59" s="60" t="inlineStr">
        <is>
          <t>SELF-ISSUED VERIFIED (agreement 'ESL FCU', NY law). Fiserv servicing only.</t>
        </is>
      </c>
      <c r="AH59" s="64" t="inlineStr">
        <is>
          <t>esl.org business_visa_terms_conditions.pdf</t>
        </is>
      </c>
    </row>
    <row r="60" ht="15.75" customHeight="1">
      <c r="A60" s="57" t="n"/>
      <c r="B60" s="59" t="inlineStr">
        <is>
          <t>B - Self-issued, in-person</t>
        </is>
      </c>
      <c r="C60" s="60" t="inlineStr">
        <is>
          <t>KeyBank</t>
        </is>
      </c>
      <c r="D60" s="60" t="inlineStr">
        <is>
          <t>2/4 (missing: apply online, SoCal)</t>
        </is>
      </c>
      <c r="E60" s="69" t="inlineStr">
        <is>
          <t>Bank</t>
        </is>
      </c>
      <c r="F60" s="67" t="inlineStr">
        <is>
          <t>No</t>
        </is>
      </c>
      <c r="G60" s="60" t="inlineStr">
        <is>
          <t>Out-of-state (national)</t>
        </is>
      </c>
      <c r="H60" s="82" t="inlineStr">
        <is>
          <t>NO CA branches (NOT CA-accessible)</t>
        </is>
      </c>
      <c r="I60" s="63" t="inlineStr">
        <is>
          <t>$5k-$25k (est; self-issued community pattern)</t>
        </is>
      </c>
      <c r="J60" s="60" t="inlineStr">
        <is>
          <t>~$190B</t>
        </is>
      </c>
      <c r="K60" s="60" t="inlineStr">
        <is>
          <t>~$150B</t>
        </is>
      </c>
      <c r="L60" s="60" t="inlineStr">
        <is>
          <t>National; ~1,000 branches (15 states)</t>
        </is>
      </c>
      <c r="M60" s="60" t="n">
        <v>129</v>
      </c>
      <c r="N60" s="60" t="inlineStr">
        <is>
          <t>Cleveland</t>
        </is>
      </c>
      <c r="O60" s="60" t="inlineStr">
        <is>
          <t>Cuyahoga (OH)</t>
        </is>
      </c>
      <c r="P60" s="64" t="inlineStr">
        <is>
          <t>key.com</t>
        </is>
      </c>
      <c r="Q60" s="65" t="inlineStr">
        <is>
          <t>Yes</t>
        </is>
      </c>
      <c r="R60" s="64" t="inlineStr">
        <is>
          <t>key.com/small-business/banking/credit-cards</t>
        </is>
      </c>
      <c r="S60" s="70" t="inlineStr">
        <is>
          <t>In-person</t>
        </is>
      </c>
      <c r="T60" s="60" t="inlineStr">
        <is>
          <t>Call or visit branch / schedule appointment</t>
        </is>
      </c>
      <c r="U60" s="65" t="inlineStr">
        <is>
          <t>Yes</t>
        </is>
      </c>
      <c r="V60" s="62" t="inlineStr">
        <is>
          <t>Self-issued (KeyBank N.A.)</t>
        </is>
      </c>
      <c r="W60" s="57" t="inlineStr">
        <is>
          <t>Yes (revolving)</t>
        </is>
      </c>
      <c r="X60" s="67" t="inlineStr">
        <is>
          <t>Intro BT within 60 days; no purchase 0% noted</t>
        </is>
      </c>
      <c r="Y60" s="60" t="inlineStr">
        <is>
          <t>Business Cash Rewards / Business Rewards / Business Card (MC); APR 17.49-27.49% var</t>
        </is>
      </c>
      <c r="Z60" s="60" t="inlineStr">
        <is>
          <t>Unknown (not named)</t>
        </is>
      </c>
      <c r="AA60" s="60" t="inlineStr">
        <is>
          <t>Unknown</t>
        </is>
      </c>
      <c r="AB60" s="60" t="inlineStr">
        <is>
          <t>No - 'we do not report to personal bureaus' (VERIFIED)</t>
        </is>
      </c>
      <c r="AC60" s="60" t="inlineStr">
        <is>
          <t>Thin business forum data</t>
        </is>
      </c>
      <c r="AD60" s="60" t="inlineStr">
        <is>
          <t>-</t>
        </is>
      </c>
      <c r="AE60" s="60" t="inlineStr">
        <is>
          <t>No card online apply (branch/phone)</t>
        </is>
      </c>
      <c r="AF60" s="60" t="inlineStr">
        <is>
          <t>No - commercial/SBA underwritten</t>
        </is>
      </c>
      <c r="AG60" s="60" t="inlineStr">
        <is>
          <t>SELF-ISSUED VERIFIED ('creditor and issuer is KeyBank N.A.'). NO online apply.</t>
        </is>
      </c>
      <c r="AH60" s="64" t="inlineStr">
        <is>
          <t>key.com/.../business-credit-card-faq.html</t>
        </is>
      </c>
    </row>
    <row r="61" ht="15.75" customHeight="1">
      <c r="A61" s="57" t="n"/>
      <c r="B61" s="58" t="inlineStr">
        <is>
          <t>A - Self-issued, apply online</t>
        </is>
      </c>
      <c r="C61" s="60" t="inlineStr">
        <is>
          <t>Mountain America Credit Union</t>
        </is>
      </c>
      <c r="D61" s="60" t="inlineStr">
        <is>
          <t>2/4 (missing: apply online, SoCal)</t>
        </is>
      </c>
      <c r="E61" s="61" t="inlineStr">
        <is>
          <t>Credit Union</t>
        </is>
      </c>
      <c r="F61" s="67" t="inlineStr">
        <is>
          <t>No</t>
        </is>
      </c>
      <c r="G61" s="60" t="inlineStr">
        <is>
          <t>Out-of-state (national)</t>
        </is>
      </c>
      <c r="H61" s="62" t="inlineStr">
        <is>
          <t>CU - joinable from CA (American Consumer Council $5)</t>
        </is>
      </c>
      <c r="I61" s="63" t="inlineStr">
        <is>
          <t>$5k-$25k (est; self-issued community pattern)</t>
        </is>
      </c>
      <c r="J61" s="60" t="inlineStr">
        <is>
          <t>~$22.6B</t>
        </is>
      </c>
      <c r="K61" s="60" t="inlineStr">
        <is>
          <t>~$19B (shares)</t>
        </is>
      </c>
      <c r="L61" s="60" t="inlineStr">
        <is>
          <t>UT/ID/AZ/NV/NM/MT +; ~$22.6B</t>
        </is>
      </c>
      <c r="M61" s="60" t="n">
        <v>129</v>
      </c>
      <c r="N61" s="60" t="inlineStr">
        <is>
          <t>Sandy</t>
        </is>
      </c>
      <c r="O61" s="60" t="inlineStr">
        <is>
          <t>Salt Lake (UT)</t>
        </is>
      </c>
      <c r="P61" s="64" t="inlineStr">
        <is>
          <t>macu.com</t>
        </is>
      </c>
      <c r="Q61" s="65" t="inlineStr">
        <is>
          <t>Yes</t>
        </is>
      </c>
      <c r="R61" s="64" t="inlineStr">
        <is>
          <t>macu.com/business/visa-cards</t>
        </is>
      </c>
      <c r="S61" s="66" t="inlineStr">
        <is>
          <t>Partial online</t>
        </is>
      </c>
      <c r="T61" s="60" t="inlineStr">
        <is>
          <t>macu.com (online/branch)</t>
        </is>
      </c>
      <c r="U61" s="65" t="inlineStr">
        <is>
          <t>Yes</t>
        </is>
      </c>
      <c r="V61" s="62" t="inlineStr">
        <is>
          <t>Self-issued (Mountain America FCU)</t>
        </is>
      </c>
      <c r="W61" s="57" t="inlineStr">
        <is>
          <t>Yes (revolving)</t>
        </is>
      </c>
      <c r="X61" s="67" t="inlineStr">
        <is>
          <t>No</t>
        </is>
      </c>
      <c r="Y61" s="60" t="inlineStr">
        <is>
          <t>Business Visa Platinum 13.25% / Rewards 15.25% var, $0 AF, no BT/over-limit fee, 25-day grace</t>
        </is>
      </c>
      <c r="Z61" s="60" t="inlineStr">
        <is>
          <t>Unknown</t>
        </is>
      </c>
      <c r="AA61" s="60" t="inlineStr">
        <is>
          <t>Unknown</t>
        </is>
      </c>
      <c r="AB61" s="60" t="inlineStr">
        <is>
          <t>Unknown</t>
        </is>
      </c>
      <c r="AC61" s="60" t="inlineStr">
        <is>
          <t>None found</t>
        </is>
      </c>
      <c r="AD61" s="60" t="inlineStr">
        <is>
          <t>-</t>
        </is>
      </c>
      <c r="AE61" s="60" t="inlineStr">
        <is>
          <t>Membership req (SEG/assoc + family; $1 savings)</t>
        </is>
      </c>
      <c r="AF61" s="60" t="inlineStr">
        <is>
          <t>Business lending separate</t>
        </is>
      </c>
      <c r="AG61" s="60" t="inlineStr">
        <is>
          <t>SELF-ISSUED VERIFIED (agreement: 'Mountain America FCU').</t>
        </is>
      </c>
      <c r="AH61" s="64" t="inlineStr">
        <is>
          <t>macu.com/media/pdf/business-visa-disclosure.pdf</t>
        </is>
      </c>
    </row>
    <row r="62" ht="15.75" customHeight="1">
      <c r="A62" s="57" t="n"/>
      <c r="B62" s="58" t="inlineStr">
        <is>
          <t>A - Self-issued, apply online</t>
        </is>
      </c>
      <c r="C62" s="60" t="inlineStr">
        <is>
          <t>Digital FCU (DCU)</t>
        </is>
      </c>
      <c r="D62" s="60" t="inlineStr">
        <is>
          <t>2/4 (missing: apply online, SoCal)</t>
        </is>
      </c>
      <c r="E62" s="61" t="inlineStr">
        <is>
          <t>Credit Union</t>
        </is>
      </c>
      <c r="F62" s="67" t="inlineStr">
        <is>
          <t>No</t>
        </is>
      </c>
      <c r="G62" s="60" t="inlineStr">
        <is>
          <t>Out-of-state (national)</t>
        </is>
      </c>
      <c r="H62" s="62" t="inlineStr">
        <is>
          <t>CU - joinable from CA (participating org)</t>
        </is>
      </c>
      <c r="I62" s="63" t="inlineStr">
        <is>
          <t>$10k-$25k (consumer myFICO; biz unconfirmed)</t>
        </is>
      </c>
      <c r="J62" s="60" t="inlineStr">
        <is>
          <t>~$12.9B</t>
        </is>
      </c>
      <c r="K62" s="60" t="inlineStr">
        <is>
          <t>~$11B (shares)</t>
        </is>
      </c>
      <c r="L62" s="60" t="inlineStr">
        <is>
          <t>MA + many SEGs; ~$12.9B; now division of First Tech</t>
        </is>
      </c>
      <c r="M62" s="60" t="n">
        <v>129</v>
      </c>
      <c r="N62" s="60" t="inlineStr">
        <is>
          <t>Marlborough</t>
        </is>
      </c>
      <c r="O62" s="60" t="inlineStr">
        <is>
          <t>Middlesex (MA)</t>
        </is>
      </c>
      <c r="P62" s="64" t="inlineStr">
        <is>
          <t>dcu.org</t>
        </is>
      </c>
      <c r="Q62" s="65" t="inlineStr">
        <is>
          <t>Yes</t>
        </is>
      </c>
      <c r="R62" s="64" t="inlineStr">
        <is>
          <t>dcu.org/borrow/commercial-lending/small-business/business-visa.html</t>
        </is>
      </c>
      <c r="S62" s="66" t="inlineStr">
        <is>
          <t>Partial online</t>
        </is>
      </c>
      <c r="T62" s="60" t="inlineStr">
        <is>
          <t>dcu.org commercial lending (branch/online)</t>
        </is>
      </c>
      <c r="U62" s="65" t="inlineStr">
        <is>
          <t>Yes</t>
        </is>
      </c>
      <c r="V62" s="62" t="inlineStr">
        <is>
          <t>Self-issued (DCU, division of First Tech FCU)</t>
        </is>
      </c>
      <c r="W62" s="57" t="inlineStr">
        <is>
          <t>Yes (revolving)</t>
        </is>
      </c>
      <c r="X62" s="67" t="inlineStr">
        <is>
          <t>No (min APR 9.99%)</t>
        </is>
      </c>
      <c r="Y62" s="60" t="inlineStr">
        <is>
          <t>Business Visa Platinum/Plus: variable, min APR 9.99%, PG required, ~25-day grace, no cash-adv fee</t>
        </is>
      </c>
      <c r="Z62" s="60" t="inlineStr">
        <is>
          <t>Unknown (business + personal bureaus per agreement)</t>
        </is>
      </c>
      <c r="AA62" s="60" t="inlineStr">
        <is>
          <t>Business + personal bureaus (agreement)</t>
        </is>
      </c>
      <c r="AB62" s="60" t="inlineStr">
        <is>
          <t>Yes (agreement authorizes personal bureau)</t>
        </is>
      </c>
      <c r="AC62" s="60" t="inlineStr">
        <is>
          <t>Consumer Platinum $10k-$25k (myFICO); biz unconfirmed</t>
        </is>
      </c>
      <c r="AD62" s="64" t="inlineStr">
        <is>
          <t>myFICO</t>
        </is>
      </c>
      <c r="AE62" s="60" t="inlineStr">
        <is>
          <t>Membership req (many SEGs/associations; easy paths)</t>
        </is>
      </c>
      <c r="AF62" s="60" t="inlineStr">
        <is>
          <t>Business lending separate</t>
        </is>
      </c>
      <c r="AG62" s="60" t="inlineStr">
        <is>
          <t>SELF-ISSUED VERIFIED (agreement: 'Digital FCU, a division of First Technology FCU').</t>
        </is>
      </c>
      <c r="AH62" s="64" t="inlineStr">
        <is>
          <t>dcu.org/.../business-visa.html PDF</t>
        </is>
      </c>
    </row>
    <row r="63" ht="15.75" customHeight="1">
      <c r="A63" s="57" t="n"/>
      <c r="B63" s="59" t="inlineStr">
        <is>
          <t>B - Self-issued, in-person</t>
        </is>
      </c>
      <c r="C63" s="60" t="inlineStr">
        <is>
          <t>Bethpage FCU (FourLeaf)</t>
        </is>
      </c>
      <c r="D63" s="60" t="inlineStr">
        <is>
          <t>2/4 (missing: apply online, SoCal)</t>
        </is>
      </c>
      <c r="E63" s="61" t="inlineStr">
        <is>
          <t>Credit Union</t>
        </is>
      </c>
      <c r="F63" s="67" t="inlineStr">
        <is>
          <t>No</t>
        </is>
      </c>
      <c r="G63" s="60" t="inlineStr">
        <is>
          <t>Out-of-state (national)</t>
        </is>
      </c>
      <c r="H63" s="62" t="inlineStr">
        <is>
          <t>CU - joinable from CA (open U.S. charter, $5)</t>
        </is>
      </c>
      <c r="I63" s="63" t="inlineStr">
        <is>
          <t>~$35k soft-pull datapoint (consumer; myFICO)</t>
        </is>
      </c>
      <c r="J63" s="60" t="inlineStr">
        <is>
          <t>~$14.2B</t>
        </is>
      </c>
      <c r="K63" s="60" t="inlineStr">
        <is>
          <t>~$12B (shares)</t>
        </is>
      </c>
      <c r="L63" s="60" t="inlineStr">
        <is>
          <t>NY (open U.S. charter); ~$14.2B</t>
        </is>
      </c>
      <c r="M63" s="60" t="n">
        <v>120</v>
      </c>
      <c r="N63" s="60" t="inlineStr">
        <is>
          <t>Bethpage</t>
        </is>
      </c>
      <c r="O63" s="60" t="inlineStr">
        <is>
          <t>Nassau (NY)</t>
        </is>
      </c>
      <c r="P63" s="64" t="inlineStr">
        <is>
          <t>fourleaffcu.com</t>
        </is>
      </c>
      <c r="Q63" s="65" t="inlineStr">
        <is>
          <t>Yes</t>
        </is>
      </c>
      <c r="R63" s="64" t="inlineStr">
        <is>
          <t>fourleaffcu.com/business/credit-cards/</t>
        </is>
      </c>
      <c r="S63" s="70" t="inlineStr">
        <is>
          <t>In-person</t>
        </is>
      </c>
      <c r="T63" s="60" t="inlineStr">
        <is>
          <t>In-branch / phone 800-628-7070</t>
        </is>
      </c>
      <c r="U63" s="65" t="inlineStr">
        <is>
          <t>Yes</t>
        </is>
      </c>
      <c r="V63" s="62" t="inlineStr">
        <is>
          <t>Self-issued (FourLeaf, ex-Bethpage)</t>
        </is>
      </c>
      <c r="W63" s="57" t="inlineStr">
        <is>
          <t>Yes (revolving)</t>
        </is>
      </c>
      <c r="X63" s="67" t="inlineStr">
        <is>
          <t>Unknown</t>
        </is>
      </c>
      <c r="Y63" s="60" t="inlineStr">
        <is>
          <t>FourLeaf Business Mastercard: variable up to ~22.15%</t>
        </is>
      </c>
      <c r="Z63" s="60" t="inlineStr">
        <is>
          <t>Unknown</t>
        </is>
      </c>
      <c r="AA63" s="60" t="inlineStr">
        <is>
          <t>Unknown</t>
        </is>
      </c>
      <c r="AB63" s="60" t="inlineStr">
        <is>
          <t>Unknown</t>
        </is>
      </c>
      <c r="AC63" s="60" t="inlineStr">
        <is>
          <t>Consumer Low Rate MC $35k soft-pull datapoint</t>
        </is>
      </c>
      <c r="AD63" s="64" t="inlineStr">
        <is>
          <t>ficoforums.myfico.com 6816880</t>
        </is>
      </c>
      <c r="AE63" s="60" t="inlineStr">
        <is>
          <t>Membership req (OPEN: anyone residing in U.S.; $5 savings)</t>
        </is>
      </c>
      <c r="AF63" s="60" t="inlineStr">
        <is>
          <t>Business lending separate</t>
        </is>
      </c>
      <c r="AG63" s="60" t="inlineStr">
        <is>
          <t>SELF-ISSUED VERIFIED ('creditor and issuer is FourLeaf'). OPEN national membership. In-person/phone apply.</t>
        </is>
      </c>
      <c r="AH63" s="64" t="inlineStr">
        <is>
          <t>fourleaffcu.com/business/credit-cards/</t>
        </is>
      </c>
    </row>
    <row r="64" ht="15.75" customHeight="1">
      <c r="A64" s="57" t="n"/>
      <c r="B64" s="72" t="inlineStr">
        <is>
          <t>C - Agent-issued card</t>
        </is>
      </c>
      <c r="C64" s="60" t="inlineStr">
        <is>
          <t>Comerica</t>
        </is>
      </c>
      <c r="D64" s="60" t="inlineStr">
        <is>
          <t>2/4 (missing: self-UW, SoCal)</t>
        </is>
      </c>
      <c r="E64" s="69" t="inlineStr">
        <is>
          <t>Bank</t>
        </is>
      </c>
      <c r="F64" s="67" t="inlineStr">
        <is>
          <t>No</t>
        </is>
      </c>
      <c r="G64" s="60" t="inlineStr">
        <is>
          <t>Out-of-state (national)</t>
        </is>
      </c>
      <c r="H64" s="62" t="inlineStr">
        <is>
          <t>Has CA branches (commercial) (CA-accessible)</t>
        </is>
      </c>
      <c r="I64" s="63" t="inlineStr">
        <is>
          <t>$3k-$15k (est; Elan agent pattern, myFICO)</t>
        </is>
      </c>
      <c r="J64" s="60" t="inlineStr">
        <is>
          <t>~$78B</t>
        </is>
      </c>
      <c r="K64" s="60" t="inlineStr">
        <is>
          <t>~$63B</t>
        </is>
      </c>
      <c r="L64" s="60" t="inlineStr">
        <is>
          <t>TX/MI/CA/AZ/FL; large CA commercial presence</t>
        </is>
      </c>
      <c r="M64" s="60" t="n">
        <v>54</v>
      </c>
      <c r="N64" s="60" t="inlineStr">
        <is>
          <t>Dallas</t>
        </is>
      </c>
      <c r="O64" s="60" t="inlineStr">
        <is>
          <t>Dallas (TX)</t>
        </is>
      </c>
      <c r="P64" s="64" t="inlineStr">
        <is>
          <t>comerica.com</t>
        </is>
      </c>
      <c r="Q64" s="65" t="inlineStr">
        <is>
          <t>Yes</t>
        </is>
      </c>
      <c r="R64" s="64" t="inlineStr">
        <is>
          <t>comerica.com/small-business/banking-and-services/business-credit-cards.html</t>
        </is>
      </c>
      <c r="S64" s="65" t="inlineStr">
        <is>
          <t>Online</t>
        </is>
      </c>
      <c r="T64" s="60" t="inlineStr">
        <is>
          <t>branchoffer.com (Elan)</t>
        </is>
      </c>
      <c r="U64" s="67" t="inlineStr">
        <is>
          <t>No</t>
        </is>
      </c>
      <c r="V64" s="74" t="inlineStr">
        <is>
          <t>Elan Financial Services (U.S. Bank)</t>
        </is>
      </c>
      <c r="W64" s="57" t="inlineStr">
        <is>
          <t>Yes (revolving)</t>
        </is>
      </c>
      <c r="X64" s="67" t="inlineStr">
        <is>
          <t>No (not advertised)</t>
        </is>
      </c>
      <c r="Y64" s="60" t="inlineStr">
        <is>
          <t>Smart Business Rewards MC (Elan): APR 18.74-25.74%, $0 yr1 then $95 (owner), 1 pt/$ + bonus</t>
        </is>
      </c>
      <c r="Z64" s="60" t="inlineStr">
        <is>
          <t>TransUnion (Elan)</t>
        </is>
      </c>
      <c r="AA64" s="60" t="inlineStr">
        <is>
          <t>D&amp;B (delinquency-only)</t>
        </is>
      </c>
      <c r="AB64" s="60" t="inlineStr">
        <is>
          <t>No (delinquency-only)</t>
        </is>
      </c>
      <c r="AC64" s="60" t="inlineStr">
        <is>
          <t>Elan general</t>
        </is>
      </c>
      <c r="AD64" s="64" t="inlineStr">
        <is>
          <t>stacking.capital</t>
        </is>
      </c>
      <c r="AE64" s="60" t="inlineStr">
        <is>
          <t>No (Elan card)</t>
        </is>
      </c>
      <c r="AF64" s="60" t="inlineStr">
        <is>
          <t>No - commercial/SBA underwritten</t>
        </is>
      </c>
      <c r="AG64" s="60" t="inlineStr">
        <is>
          <t>NOT self-issued - business cards are ELAN (VERIFIED 'creditor and issuer is Elan'). The lone super-regional exception.</t>
        </is>
      </c>
      <c r="AH64" s="64" t="inlineStr">
        <is>
          <t>comerica.com/.../business-credit-cards; card.myaccountaccess.com/elanmicro</t>
        </is>
      </c>
    </row>
    <row r="65" ht="15.75" customHeight="1">
      <c r="A65" s="57" t="n"/>
      <c r="B65" s="72" t="inlineStr">
        <is>
          <t>C - Agent-issued card</t>
        </is>
      </c>
      <c r="C65" s="60" t="inlineStr">
        <is>
          <t>Connexus Credit Union</t>
        </is>
      </c>
      <c r="D65" s="60" t="inlineStr">
        <is>
          <t>2/4 (missing: self-UW, SoCal)</t>
        </is>
      </c>
      <c r="E65" s="61" t="inlineStr">
        <is>
          <t>Credit Union</t>
        </is>
      </c>
      <c r="F65" s="67" t="inlineStr">
        <is>
          <t>No</t>
        </is>
      </c>
      <c r="G65" s="60" t="inlineStr">
        <is>
          <t>Out-of-state (national)</t>
        </is>
      </c>
      <c r="H65" s="62" t="inlineStr">
        <is>
          <t>CU - joinable from CA (Connexus Assn $5)</t>
        </is>
      </c>
      <c r="I65" s="63" t="inlineStr">
        <is>
          <t>$3k-$15k (est; Elan agent pattern, myFICO)</t>
        </is>
      </c>
      <c r="J65" s="60" t="inlineStr">
        <is>
          <t>~$5.3B</t>
        </is>
      </c>
      <c r="K65" s="60" t="inlineStr">
        <is>
          <t>~$4.5B (shares)</t>
        </is>
      </c>
      <c r="L65" s="60" t="inlineStr">
        <is>
          <t>Wisconsin + national digital; ~$5.3B</t>
        </is>
      </c>
      <c r="M65" s="60" t="n">
        <v>42</v>
      </c>
      <c r="N65" s="60" t="inlineStr">
        <is>
          <t>Wausau</t>
        </is>
      </c>
      <c r="O65" s="60" t="inlineStr">
        <is>
          <t>Marathon (WI)</t>
        </is>
      </c>
      <c r="P65" s="64" t="inlineStr">
        <is>
          <t>connexuscu.org</t>
        </is>
      </c>
      <c r="Q65" s="65" t="inlineStr">
        <is>
          <t>Yes</t>
        </is>
      </c>
      <c r="R65" s="64" t="inlineStr">
        <is>
          <t>connexuscu.org/accounts/business-credit-cards</t>
        </is>
      </c>
      <c r="S65" s="65" t="inlineStr">
        <is>
          <t>Online</t>
        </is>
      </c>
      <c r="T65" s="60" t="inlineStr">
        <is>
          <t>Elan portal</t>
        </is>
      </c>
      <c r="U65" s="67" t="inlineStr">
        <is>
          <t>No</t>
        </is>
      </c>
      <c r="V65" s="74" t="inlineStr">
        <is>
          <t>Elan Financial Services (U.S. Bank)</t>
        </is>
      </c>
      <c r="W65" s="57" t="inlineStr">
        <is>
          <t>Yes (revolving)</t>
        </is>
      </c>
      <c r="X65" s="67" t="inlineStr">
        <is>
          <t>Verify (issuer menu)</t>
        </is>
      </c>
      <c r="Y65" s="60" t="inlineStr">
        <is>
          <t>Agent-issued; APR/AF per issuer T&amp;C (not on page)</t>
        </is>
      </c>
      <c r="Z65" s="60" t="inlineStr">
        <is>
          <t>TransUnion (Elan)</t>
        </is>
      </c>
      <c r="AA65" s="60" t="inlineStr">
        <is>
          <t>D&amp;B (delinquency-only)</t>
        </is>
      </c>
      <c r="AB65" s="60" t="inlineStr">
        <is>
          <t>No (delinquency-only)</t>
        </is>
      </c>
      <c r="AC65" s="60" t="inlineStr">
        <is>
          <t>None found (small agent program)</t>
        </is>
      </c>
      <c r="AD65" s="60" t="inlineStr">
        <is>
          <t>-</t>
        </is>
      </c>
      <c r="AE65" s="60" t="inlineStr">
        <is>
          <t>Membership req (OPEN: Connexus Assn $5)</t>
        </is>
      </c>
      <c r="AF65" s="60" t="inlineStr">
        <is>
          <t>No - commercial/SBA underwritten</t>
        </is>
      </c>
      <c r="AG65" s="60" t="inlineStr">
        <is>
          <t>Issuer = Elan VERIFIED ('creditor and issuer is Elan'); myFICO confirms.</t>
        </is>
      </c>
      <c r="AH65" s="64" t="inlineStr">
        <is>
          <t>connexuscu.org/accounts/business-credit-cards</t>
        </is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H$65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116" customWidth="1" min="2" max="2"/>
    <col width="8.710000000000001" customWidth="1" min="3" max="3"/>
  </cols>
  <sheetData>
    <row r="1">
      <c r="A1" s="86" t="inlineStr">
        <is>
          <t>CALIFORNIA / SoCal BUSINESS CREDIT CARD FUNDING - INSTITUTION TABLE</t>
        </is>
      </c>
    </row>
    <row r="2">
      <c r="A2" s="30" t="inlineStr">
        <is>
          <t>Version 4. Data 2025-Q3 (FFIEC via visbanking) + issuer sites + forums + deep dive. Built 2026-05-29.</t>
        </is>
      </c>
    </row>
    <row r="4">
      <c r="A4" s="87" t="inlineStr">
        <is>
          <t>HOW TO USE</t>
        </is>
      </c>
      <c r="B4" s="88" t="n"/>
    </row>
    <row r="5">
      <c r="A5" s="89" t="inlineStr">
        <is>
          <t>Tab 1 'Ranked - All Institutions'</t>
        </is>
      </c>
      <c r="B5" s="88" t="inlineStr">
        <is>
          <t>Everything researched. Rec # counts SoCal institutions only (LA/OC/Inland Empire ranked highest, then San Diego/Santa Barbara, Coachella lowest). Out-of-state &amp; NorCal rows are un-numbered reference below.</t>
        </is>
      </c>
    </row>
    <row r="6">
      <c r="A6" s="89" t="inlineStr">
        <is>
          <t>Tab 2 'Self-Underwritten'</t>
        </is>
      </c>
      <c r="B6" s="88" t="inlineStr">
        <is>
          <t>Every institution that issues its OWN business card.</t>
        </is>
      </c>
    </row>
    <row r="7">
      <c r="A7" s="89" t="inlineStr">
        <is>
          <t>Tab 3 'SoCal Gold + CA-Accessible'</t>
        </is>
      </c>
      <c r="B7" s="88" t="inlineStr">
        <is>
          <t>The shortlist: SoCal cards + the out-of-state cards a CA business can actually get (CA branches or online-national or CU you can join).</t>
        </is>
      </c>
    </row>
    <row r="8">
      <c r="A8" s="89" t="inlineStr">
        <is>
          <t>Read the NAME color first</t>
        </is>
      </c>
      <c r="B8" s="88" t="inlineStr">
        <is>
          <t>GOLD name = meets all 4 (self-underwritten + apply online + SoCal + has business card). Mint name = 3 of 4. The 'Match (criteria)' column spells out what is missing.</t>
        </is>
      </c>
    </row>
    <row r="9">
      <c r="A9" s="89" t="n"/>
      <c r="B9" s="88" t="n"/>
    </row>
    <row r="10">
      <c r="A10" s="87" t="inlineStr">
        <is>
          <t>WHY OUT-OF-STATE BANKS ARE LISTED (and the catch)</t>
        </is>
      </c>
      <c r="B10" s="88" t="n"/>
    </row>
    <row r="11">
      <c r="A11" s="89" t="inlineStr">
        <is>
          <t>The catch</t>
        </is>
      </c>
      <c r="B11" s="88" t="inlineStr">
        <is>
          <t>A business credit card is issued nationally, BUT many 'national' banks (PNC, KeyBank, Truist, Citizens, Fifth Third, Regions, M&amp;T, Huntington) have NO California branches and want a local relationship/account - so a CA business usually canNOT get approved. Those are flagged red in 'CA Access' and are NOT counted.</t>
        </is>
      </c>
    </row>
    <row r="12">
      <c r="A12" s="89" t="inlineStr">
        <is>
          <t>Genuinely CA-accessible out-of-state</t>
        </is>
      </c>
      <c r="B12" s="88" t="inlineStr">
        <is>
          <t>Chase &amp; U.S. Bank (CA branches), Amex &amp; Capital One (approve online nationwide, no branch needed), Comerica (CA branches). Credit unions only if a CA owner can JOIN (see CA Access column).</t>
        </is>
      </c>
    </row>
    <row r="13">
      <c r="A13" s="89" t="n"/>
      <c r="B13" s="88" t="n"/>
    </row>
    <row r="14">
      <c r="A14" s="87" t="inlineStr">
        <is>
          <t>COLOR KEY</t>
        </is>
      </c>
      <c r="B14" s="88" t="n"/>
    </row>
    <row r="15">
      <c r="A15" s="89" t="inlineStr">
        <is>
          <t>Name = GOLD</t>
        </is>
      </c>
      <c r="B15" s="88" t="inlineStr">
        <is>
          <t>Meets all 4 criteria (self-underwritten + apply online + SoCal + business card)</t>
        </is>
      </c>
    </row>
    <row r="16">
      <c r="A16" s="89" t="inlineStr">
        <is>
          <t>Name = mint</t>
        </is>
      </c>
      <c r="B16" s="88" t="inlineStr">
        <is>
          <t>Meets 3 of 4</t>
        </is>
      </c>
    </row>
    <row r="17">
      <c r="A17" s="89" t="inlineStr">
        <is>
          <t>Type</t>
        </is>
      </c>
      <c r="B17" s="88" t="inlineStr">
        <is>
          <t>Credit Union = cyan | Bank = indigo | Card issuer = pink</t>
        </is>
      </c>
    </row>
    <row r="18">
      <c r="A18" s="89" t="inlineStr">
        <is>
          <t>CA Access</t>
        </is>
      </c>
      <c r="B18" s="88" t="inlineStr">
        <is>
          <t>Green = CA-accessible | Amber = partial/verify | Red = not CA-accessible (no CA branches / CA cannot join)</t>
        </is>
      </c>
    </row>
    <row r="19">
      <c r="A19" s="89" t="inlineStr">
        <is>
          <t>Underwriter colors</t>
        </is>
      </c>
      <c r="B19" s="88" t="inlineStr">
        <is>
          <t>Self-issued = green | Elan = amber | TCM = orange | FNBO = blue | ServisFirst = purple | TIB = pink | UMB = teal | CorServ/Pinnacle = lime | None = gray</t>
        </is>
      </c>
    </row>
    <row r="20">
      <c r="A20" s="89" t="inlineStr">
        <is>
          <t>Apply</t>
        </is>
      </c>
      <c r="B20" s="88" t="inlineStr">
        <is>
          <t>Online = green | Partial online = mint | In-person = amber | No card = gray</t>
        </is>
      </c>
    </row>
    <row r="21" ht="15.75" customHeight="1">
      <c r="A21" s="89" t="n"/>
      <c r="B21" s="88" t="n"/>
    </row>
    <row r="22" ht="15.75" customHeight="1">
      <c r="A22" s="87" t="inlineStr">
        <is>
          <t>EST. BUSINESS CREDIT LIMIT</t>
        </is>
      </c>
      <c r="B22" s="88" t="n"/>
    </row>
    <row r="23" ht="15.75" customHeight="1">
      <c r="A23" s="89" t="inlineStr">
        <is>
          <t>Method</t>
        </is>
      </c>
      <c r="B23" s="88" t="inlineStr">
        <is>
          <t>VERIFIED published caps where available (SDCCU $5k-$20k, Montecito up to $100k, Stanford up to $50k, Altura up to $25k, Coastal starts $5k). Forum-backed ranges cite myFICO. Otherwise a labeled estimate by issuer pattern (self-issued CU/bank ~$5k-$25k; Elan ~$3k-$15k; TCM ~$2k-$10k; big national self-issuers $10k-$50k+; charge cards = no preset limit). Verify on application.</t>
        </is>
      </c>
    </row>
    <row r="24" ht="15.75" customHeight="1">
      <c r="A24" s="89" t="n"/>
      <c r="B24" s="88" t="n"/>
    </row>
    <row r="25" ht="15.75" customHeight="1">
      <c r="A25" s="87" t="inlineStr">
        <is>
          <t>REC # / TIER LOGIC</t>
        </is>
      </c>
      <c r="B25" s="88" t="n"/>
    </row>
    <row r="26" ht="15.75" customHeight="1">
      <c r="A26" s="89" t="inlineStr">
        <is>
          <t>Tier A</t>
        </is>
      </c>
      <c r="B26" s="88" t="inlineStr">
        <is>
          <t>Self-issued + apply online/partial - best funding targets</t>
        </is>
      </c>
    </row>
    <row r="27" ht="15.75" customHeight="1">
      <c r="A27" s="89" t="inlineStr">
        <is>
          <t>Tier B</t>
        </is>
      </c>
      <c r="B27" s="88" t="inlineStr">
        <is>
          <t>Self-issued, in-person/relationship only</t>
        </is>
      </c>
    </row>
    <row r="28" ht="15.75" customHeight="1">
      <c r="A28" s="89" t="inlineStr">
        <is>
          <t>Tier C</t>
        </is>
      </c>
      <c r="B28" s="88" t="inlineStr">
        <is>
          <t>Agent-issued card (Elan/TCM/FNBO/ServisFirst/TIB/UMB/CorServ)</t>
        </is>
      </c>
    </row>
    <row r="29" ht="15.75" customHeight="1">
      <c r="A29" s="89" t="inlineStr">
        <is>
          <t>Tier D</t>
        </is>
      </c>
      <c r="B29" s="88" t="inlineStr">
        <is>
          <t>No business credit card</t>
        </is>
      </c>
    </row>
    <row r="30" ht="15.75" customHeight="1">
      <c r="A30" s="89" t="inlineStr">
        <is>
          <t>Count scope</t>
        </is>
      </c>
      <c r="B30" s="88" t="inlineStr">
        <is>
          <t>Rec # numbers SoCal institutions only. Score weights: Self +100; apply online +26/partial +16/in-person +7; SoCal LA-OC-IE +35, San Diego/SB +24, Coachella +18, other CA +14, out-of-state 0; reported high limits +15/+8; assets up to +10; revolving +5; 0% +5; no deposit required +5.</t>
        </is>
      </c>
    </row>
    <row r="31" ht="15.75" customHeight="1">
      <c r="A31" s="89" t="n"/>
      <c r="B31" s="88" t="n"/>
    </row>
    <row r="32" ht="15.75" customHeight="1">
      <c r="A32" s="87" t="inlineStr">
        <is>
          <t>KEY TERMS</t>
        </is>
      </c>
      <c r="B32" s="88" t="n"/>
    </row>
    <row r="33" ht="15.75" customHeight="1">
      <c r="A33" s="89" t="inlineStr">
        <is>
          <t>Self-underwritten</t>
        </is>
      </c>
      <c r="B33" s="88" t="inlineStr">
        <is>
          <t>The bank/CU is the legal 'creditor and issuer' and makes its own approval decision</t>
        </is>
      </c>
    </row>
    <row r="34" ht="15.75" customHeight="1">
      <c r="A34" s="89" t="inlineStr">
        <is>
          <t>Agent-issued</t>
        </is>
      </c>
      <c r="B34" s="88" t="inlineStr">
        <is>
          <t>A third party issues under the bank's brand: Elan (U.S. Bank, most common); TCM Bank (ICBA); FNBO; ServisFirst; TIB (Independent Bankers Bank); UMB; CorServ/Pinnacle Bank TN</t>
        </is>
      </c>
    </row>
    <row r="35" ht="15.75" customHeight="1">
      <c r="A35" s="89" t="inlineStr">
        <is>
          <t>Hard-pull bureau</t>
        </is>
      </c>
      <c r="B35" s="88" t="inlineStr">
        <is>
          <t>Personal bureau pulled on application (TransUnion / Equifax / Experian)</t>
        </is>
      </c>
    </row>
    <row r="36" ht="15.75" customHeight="1">
      <c r="A36" s="89" t="inlineStr">
        <is>
          <t>Business bureaus</t>
        </is>
      </c>
      <c r="B36" s="88" t="inlineStr">
        <is>
          <t>Where activity is reported: D&amp;B, Experian Business, Equifax Business, SBFE</t>
        </is>
      </c>
    </row>
    <row r="37" ht="15.75" customHeight="1">
      <c r="A37" s="89" t="n"/>
      <c r="B37" s="88" t="n"/>
    </row>
    <row r="38" ht="15.75" customHeight="1">
      <c r="A38" s="89" t="inlineStr">
        <is>
          <t>CONFIDENCE</t>
        </is>
      </c>
      <c r="B38" s="88" t="inlineStr">
        <is>
          <t>Each row's 'Confidence &amp; notes' flags VERIFIED / INFERRED / UNKNOWN. Hard-pull bureau and business-bureau reporting are unpublished for most small issuers (UNKNOWN) - confirm by calling the issuer.</t>
        </is>
      </c>
    </row>
    <row r="39" ht="15.75" customHeight="1">
      <c r="A39" s="89" t="inlineStr">
        <is>
          <t>Counts</t>
        </is>
      </c>
      <c r="B39" s="88" t="inlineStr">
        <is>
          <t>Total institutions: 162 | SoCal (counted): 79 | Self-underwritten: 49 | No business card: 48</t>
        </is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71" customWidth="1" min="1" max="1"/>
    <col width="32" customWidth="1" min="2" max="2"/>
    <col width="12" customWidth="1" min="3" max="3"/>
    <col width="30" customWidth="1" min="4" max="4"/>
    <col width="18" customWidth="1" min="5" max="5"/>
    <col width="15" customWidth="1" min="6" max="6"/>
    <col width="20" customWidth="1" min="7" max="7"/>
    <col width="30" customWidth="1" min="8" max="8"/>
    <col width="22" customWidth="1" min="9" max="9"/>
    <col width="26" customWidth="1" min="11" max="11"/>
    <col width="28" customWidth="1" min="13" max="13"/>
    <col width="32" customWidth="1" min="14" max="14"/>
    <col width="46" customWidth="1" min="15" max="15"/>
    <col width="22" customWidth="1" min="16" max="16"/>
    <col width="28" customWidth="1" min="17" max="17"/>
    <col width="52" customWidth="1" min="18" max="18"/>
    <col width="8.710000000000001" customWidth="1" min="19" max="19"/>
  </cols>
  <sheetData>
    <row r="1">
      <c r="A1" s="90" t="inlineStr">
        <is>
          <t>SOUTHERN CALIFORNIA BUSINESS-CARD FUNDING  -  SPRINT LIST  (Beverly Hills / LA / OC / Riverside / SD)</t>
        </is>
      </c>
    </row>
    <row r="2">
      <c r="A2" s="91" t="inlineStr">
        <is>
          <t>Built 2026-05-29. '(verified)' = sourced. SLACK NOTE = chat intel ([M]entor / [A]lan), NOT confirmed unless CLAIM STATUS says so. Blank/N/M = no source found (never guessed). RED tier = issuer is on your NO-GO list.</t>
        </is>
      </c>
    </row>
    <row r="4">
      <c r="A4" s="92" t="inlineStr">
        <is>
          <t>Tier</t>
        </is>
      </c>
      <c r="B4" s="92" t="inlineStr">
        <is>
          <t>Institution</t>
        </is>
      </c>
      <c r="C4" s="92" t="inlineStr">
        <is>
          <t>Type</t>
        </is>
      </c>
      <c r="D4" s="92" t="inlineStr">
        <is>
          <t>Region (verified)</t>
        </is>
      </c>
      <c r="E4" s="92" t="inlineStr">
        <is>
          <t>HQ City</t>
        </is>
      </c>
      <c r="F4" s="92" t="inlineStr">
        <is>
          <t>Assets</t>
        </is>
      </c>
      <c r="G4" s="92" t="inlineStr">
        <is>
          <t>Self-UW? (verified)</t>
        </is>
      </c>
      <c r="H4" s="92" t="inlineStr">
        <is>
          <t>Underwriter (verified)</t>
        </is>
      </c>
      <c r="I4" s="92" t="inlineStr">
        <is>
          <t>HP Bureau (verified)</t>
        </is>
      </c>
      <c r="J4" s="92" t="inlineStr">
        <is>
          <t>Reports Personal? (verified)</t>
        </is>
      </c>
      <c r="K4" s="92" t="inlineStr">
        <is>
          <t>Est. Limit (verified)</t>
        </is>
      </c>
      <c r="L4" s="92" t="inlineStr">
        <is>
          <t>Apply Online? (verified)</t>
        </is>
      </c>
      <c r="M4" s="92" t="inlineStr">
        <is>
          <t>Deposit/Acct Req (verified)</t>
        </is>
      </c>
      <c r="N4" s="92" t="inlineStr">
        <is>
          <t>Membership/Eligibility</t>
        </is>
      </c>
      <c r="O4" s="92" t="inlineStr">
        <is>
          <t>SLACK NOTE (M=mentor / A=Alan)</t>
        </is>
      </c>
      <c r="P4" s="92" t="inlineStr">
        <is>
          <t>CLAIM STATUS</t>
        </is>
      </c>
      <c r="Q4" s="92" t="inlineStr">
        <is>
          <t>Confidence / Date</t>
        </is>
      </c>
      <c r="R4" s="92" t="inlineStr">
        <is>
          <t>Key Source (link)</t>
        </is>
      </c>
    </row>
    <row r="5">
      <c r="A5" s="93" t="inlineStr">
        <is>
          <t>TIER 1  -  SoCal | self / CU-issued</t>
        </is>
      </c>
      <c r="B5" s="94" t="n"/>
      <c r="C5" s="94" t="n"/>
      <c r="D5" s="94" t="n"/>
      <c r="E5" s="94" t="n"/>
      <c r="F5" s="94" t="n"/>
      <c r="G5" s="94" t="n"/>
      <c r="H5" s="94" t="n"/>
      <c r="I5" s="94" t="n"/>
      <c r="J5" s="94" t="n"/>
      <c r="K5" s="94" t="n"/>
      <c r="L5" s="94" t="n"/>
      <c r="M5" s="94" t="n"/>
      <c r="N5" s="94" t="n"/>
      <c r="O5" s="94" t="n"/>
      <c r="P5" s="94" t="n"/>
      <c r="Q5" s="94" t="n"/>
      <c r="R5" s="95" t="n"/>
    </row>
    <row r="6">
      <c r="A6" s="96" t="n"/>
      <c r="B6" s="96" t="inlineStr">
        <is>
          <t>San Diego County Credit Union (SDCCU)</t>
        </is>
      </c>
      <c r="C6" s="96" t="inlineStr">
        <is>
          <t>Credit Union</t>
        </is>
      </c>
      <c r="D6" s="96" t="inlineStr">
        <is>
          <t>SoCal / San Diego (all-SoCal FOM)</t>
        </is>
      </c>
      <c r="E6" s="96" t="inlineStr">
        <is>
          <t>San Diego, CA</t>
        </is>
      </c>
      <c r="F6" s="96" t="inlineStr">
        <is>
          <t>~$9.26B</t>
        </is>
      </c>
      <c r="G6" s="96" t="inlineStr">
        <is>
          <t>Yes</t>
        </is>
      </c>
      <c r="H6" s="96" t="inlineStr">
        <is>
          <t>Self (San Diego County Credit Union)</t>
        </is>
      </c>
      <c r="I6" s="96" t="inlineStr">
        <is>
          <t>Experian (forum DP; membership HP may be reused)</t>
        </is>
      </c>
      <c r="J6" s="96" t="inlineStr">
        <is>
          <t>Negative/default (personal); business bureaus N/M</t>
        </is>
      </c>
      <c r="K6" s="96" t="inlineStr">
        <is>
          <t>$5K–$20K  [myFICO #6761567]</t>
        </is>
      </c>
      <c r="L6" s="96" t="inlineStr">
        <is>
          <t>Online</t>
        </is>
      </c>
      <c r="M6" s="96" t="inlineStr">
        <is>
          <t>Membership required (all SoCal counties + nationwide via Financial Fitness Assoc $8)</t>
        </is>
      </c>
      <c r="N6" s="96" t="inlineStr">
        <is>
          <t>★ No-doc card — apply online</t>
        </is>
      </c>
      <c r="O6" s="96" t="inlineStr">
        <is>
          <t>[A] Self-issued; $5K-$20K; SD + statewide incl Riverside/OC; membership req; ONLINE apply.</t>
        </is>
      </c>
      <c r="P6" s="97" t="inlineStr">
        <is>
          <t>Corroborated by base</t>
        </is>
      </c>
      <c r="Q6" s="96" t="inlineStr">
        <is>
          <t>HIGH self/terms/low-APR/membership; conservative underwriting (new-biz denials). 2026-05-28</t>
        </is>
      </c>
      <c r="R6" s="96" t="inlineStr">
        <is>
          <t>sdccu.com/business/business-credit-card + rates PDF + consumer agreement; myfico.com #6761567; wallethub.com</t>
        </is>
      </c>
    </row>
    <row r="7">
      <c r="A7" s="96" t="n"/>
      <c r="B7" s="96" t="inlineStr">
        <is>
          <t>Nuvision Credit Union</t>
        </is>
      </c>
      <c r="C7" s="96" t="inlineStr">
        <is>
          <t>Credit Union</t>
        </is>
      </c>
      <c r="D7" s="96" t="inlineStr">
        <is>
          <t>SoCal / Orange County</t>
        </is>
      </c>
      <c r="E7" s="96" t="inlineStr">
        <is>
          <t>Huntington Beach</t>
        </is>
      </c>
      <c r="F7" s="96" t="inlineStr">
        <is>
          <t>~$3.93B</t>
        </is>
      </c>
      <c r="G7" s="96" t="inlineStr">
        <is>
          <t>Yes</t>
        </is>
      </c>
      <c r="H7" s="96" t="inlineStr">
        <is>
          <t>Self (Nuvision FCU)</t>
        </is>
      </c>
      <c r="I7" s="96" t="inlineStr">
        <is>
          <t>N/M (agreement names EX/EQ/TU generically)</t>
        </is>
      </c>
      <c r="J7" s="96" t="inlineStr">
        <is>
          <t>N/M (personal vs business unspecified)</t>
        </is>
      </c>
      <c r="K7" s="96" t="inlineStr">
        <is>
          <t>N/M (no bank-specific data point found)</t>
        </is>
      </c>
      <c r="L7" s="96" t="inlineStr">
        <is>
          <t>Online</t>
        </is>
      </c>
      <c r="M7" s="96" t="inlineStr">
        <is>
          <t>Membership required (LA/Orange/San Diego/Ventura/Santa Barbara counties + Boeing/SEGs + family; OPEN nationwide via American Consumer Council)</t>
        </is>
      </c>
      <c r="N7" s="96" t="inlineStr">
        <is>
          <t>★ No-doc card — apply online</t>
        </is>
      </c>
      <c r="O7" s="96" t="inlineStr">
        <is>
          <t>[A] Self-issued; HB/OC; apply online; open via American Consumer Council.</t>
        </is>
      </c>
      <c r="P7" s="97" t="inlineStr">
        <is>
          <t>Corroborated by base</t>
        </is>
      </c>
      <c r="Q7" s="96" t="inlineStr">
        <is>
          <t>HIGH self (agreement 'WE=NUVISION FCU', no agent issuer)/apply-online/SoCal/open-membership; N/M APR, HP, PG. 2026-05-29</t>
        </is>
      </c>
      <c r="R7" s="96" t="inlineStr">
        <is>
          <t>nuvisionfederal.com/business-banking/credit-cards + visa agreement PDF (self-issued); /about-us/am-i-eligible (ACC path)</t>
        </is>
      </c>
    </row>
    <row r="8">
      <c r="A8" s="96" t="n"/>
      <c r="B8" s="96" t="inlineStr">
        <is>
          <t>Altura Credit Union</t>
        </is>
      </c>
      <c r="C8" s="96" t="inlineStr">
        <is>
          <t>Credit Union</t>
        </is>
      </c>
      <c r="D8" s="96" t="inlineStr">
        <is>
          <t>SoCal / Inland Empire</t>
        </is>
      </c>
      <c r="E8" s="96" t="inlineStr">
        <is>
          <t>Riverside</t>
        </is>
      </c>
      <c r="F8" s="96" t="inlineStr">
        <is>
          <t>~$2.0B</t>
        </is>
      </c>
      <c r="G8" s="96" t="inlineStr">
        <is>
          <t>Unknown</t>
        </is>
      </c>
      <c r="H8" s="96" t="inlineStr">
        <is>
          <t>Self (likely; CU; Velera processor possible — not confirmed)</t>
        </is>
      </c>
      <c r="I8" s="96" t="inlineStr">
        <is>
          <t>N/M</t>
        </is>
      </c>
      <c r="J8" s="96" t="inlineStr">
        <is>
          <t>N/M</t>
        </is>
      </c>
      <c r="K8" s="96" t="inlineStr">
        <is>
          <t>Up to $25,000 (advertised)</t>
        </is>
      </c>
      <c r="L8" s="96" t="inlineStr">
        <is>
          <t>In-person</t>
        </is>
      </c>
      <c r="M8" s="96" t="inlineStr">
        <is>
          <t>Membership required (Riverside County: live/work/worship/school + businesses in county + family; NO nationwide association path found)</t>
        </is>
      </c>
      <c r="N8" s="96" t="inlineStr">
        <is>
          <t>No-doc card — apply in branch</t>
        </is>
      </c>
      <c r="O8" s="96" t="inlineStr">
        <is>
          <t>[A] Self-issued; up to $25,000; Riverside; OPEN membership (Riverside County); no online card (call/visit).</t>
        </is>
      </c>
      <c r="P8" s="97" t="inlineStr">
        <is>
          <t>Corroborated by base</t>
        </is>
      </c>
      <c r="Q8" s="96" t="inlineStr">
        <is>
          <t>MED card-exists/$0AF/$25K/no-LLC/IE; apply IN-BRANCH; suw=Unknown (issuer not confirmed); N/M APR, HP, PG. 2026-05-29</t>
        </is>
      </c>
      <c r="R8" s="96" t="inlineStr">
        <is>
          <t>alturacu.com/business-credit-card + /faq/do-i-need-an-llc...; /benefits-of-membership/become-a-member</t>
        </is>
      </c>
    </row>
    <row r="9">
      <c r="A9" s="96" t="n"/>
      <c r="B9" s="96" t="inlineStr">
        <is>
          <t>California Credit Union</t>
        </is>
      </c>
      <c r="C9" s="96" t="inlineStr">
        <is>
          <t>N/M</t>
        </is>
      </c>
      <c r="D9" s="96" t="inlineStr">
        <is>
          <t>N/M</t>
        </is>
      </c>
      <c r="E9" s="96" t="inlineStr">
        <is>
          <t>N/M</t>
        </is>
      </c>
      <c r="F9" s="96" t="inlineStr">
        <is>
          <t>N/M</t>
        </is>
      </c>
      <c r="G9" s="96" t="inlineStr">
        <is>
          <t>N/M</t>
        </is>
      </c>
      <c r="H9" s="96" t="inlineStr">
        <is>
          <t>N/M</t>
        </is>
      </c>
      <c r="I9" s="96" t="inlineStr">
        <is>
          <t>N/M</t>
        </is>
      </c>
      <c r="J9" s="96" t="inlineStr">
        <is>
          <t>N/M</t>
        </is>
      </c>
      <c r="K9" s="96" t="inlineStr">
        <is>
          <t>N/M</t>
        </is>
      </c>
      <c r="L9" s="96" t="inlineStr">
        <is>
          <t>N/M</t>
        </is>
      </c>
      <c r="M9" s="96" t="inlineStr">
        <is>
          <t>N/M</t>
        </is>
      </c>
      <c r="N9" s="96" t="inlineStr">
        <is>
          <t>N/M</t>
        </is>
      </c>
      <c r="O9" s="96" t="inlineStr">
        <is>
          <t>[M+A] [M] Mentioned. [A] Glendale(LA)+SD; OPEN membership (free ACC); PG ~680 min; no online card app.</t>
        </is>
      </c>
      <c r="P9" s="97" t="inlineStr">
        <is>
          <t>Corroborated by base</t>
        </is>
      </c>
      <c r="Q9" s="96" t="inlineStr">
        <is>
          <t>N/M</t>
        </is>
      </c>
      <c r="R9" s="96" t="inlineStr">
        <is>
          <t>N/M</t>
        </is>
      </c>
    </row>
    <row r="10">
      <c r="A10" s="96" t="n"/>
      <c r="B10" s="96" t="inlineStr">
        <is>
          <t>SCE Credit Union (now Rize CU)</t>
        </is>
      </c>
      <c r="C10" s="96" t="inlineStr">
        <is>
          <t>Credit Union</t>
        </is>
      </c>
      <c r="D10" s="96" t="inlineStr">
        <is>
          <t>SoCal / Irwindale-SGV (Greater LA + Las Vegas)</t>
        </is>
      </c>
      <c r="E10" s="96" t="inlineStr">
        <is>
          <t>Irwindale, CA</t>
        </is>
      </c>
      <c r="F10" s="96" t="inlineStr">
        <is>
          <t>~$1.05-1.25B</t>
        </is>
      </c>
      <c r="G10" s="96" t="inlineStr">
        <is>
          <t>UNCONFIRMED</t>
        </is>
      </c>
      <c r="H10" s="96" t="inlineStr">
        <is>
          <t>UNCONFIRMED (self vs Elan)</t>
        </is>
      </c>
      <c r="I10" s="96" t="inlineStr">
        <is>
          <t>UNVERIFIED (mentor said TU)</t>
        </is>
      </c>
      <c r="J10" s="96" t="inlineStr">
        <is>
          <t>N/M</t>
        </is>
      </c>
      <c r="K10" s="96" t="inlineStr">
        <is>
          <t>$5,000-$50,000 (advertised); $0 AF</t>
        </is>
      </c>
      <c r="L10" s="96" t="inlineStr">
        <is>
          <t>Membership opens online; CARD is RM-mediated (no self-serve card app)</t>
        </is>
      </c>
      <c r="M10" s="96" t="inlineStr">
        <is>
          <t>$5 to fund membership; biz membership needs formation docs + beneficial-owner cert</t>
        </is>
      </c>
      <c r="N10" s="96" t="inlineStr">
        <is>
          <t>OPEN path via American Consumer Council / Quality Service Council ($5)  &lt;- easy join</t>
        </is>
      </c>
      <c r="O10" s="96" t="inlineStr">
        <is>
          <t>[M] Self-UW. TransUnion. NO DOC (no statements/tax returns). Apply Online. NO biz checking required.</t>
        </is>
      </c>
      <c r="P10" s="97" t="inlineStr">
        <is>
          <t>Identity verified; terms vary</t>
        </is>
      </c>
      <c r="Q10" s="96" t="inlineStr">
        <is>
          <t>Identity HIGH; mentor's no-doc/no-checking/online/TU PLAUSIBLE but UNVERIFIED / partly contradicted / 2026-05-29</t>
        </is>
      </c>
      <c r="R10" s="96" t="inlineStr">
        <is>
          <t>https://rizecu.com/business-visa/  |  https://rizecu.com/open-an-account/</t>
        </is>
      </c>
    </row>
    <row r="11">
      <c r="A11" s="96" t="n"/>
      <c r="B11" s="96" t="inlineStr">
        <is>
          <t>Sun Community Federal Credit Union</t>
        </is>
      </c>
      <c r="C11" s="96" t="inlineStr">
        <is>
          <t>N/M</t>
        </is>
      </c>
      <c r="D11" s="96" t="inlineStr">
        <is>
          <t>N/M</t>
        </is>
      </c>
      <c r="E11" s="96" t="inlineStr">
        <is>
          <t>N/M</t>
        </is>
      </c>
      <c r="F11" s="96" t="inlineStr">
        <is>
          <t>N/M</t>
        </is>
      </c>
      <c r="G11" s="96" t="inlineStr">
        <is>
          <t>N/M</t>
        </is>
      </c>
      <c r="H11" s="96" t="inlineStr">
        <is>
          <t>N/M</t>
        </is>
      </c>
      <c r="I11" s="96" t="inlineStr">
        <is>
          <t>N/M</t>
        </is>
      </c>
      <c r="J11" s="96" t="inlineStr">
        <is>
          <t>N/M</t>
        </is>
      </c>
      <c r="K11" s="96" t="inlineStr">
        <is>
          <t>N/M</t>
        </is>
      </c>
      <c r="L11" s="96" t="inlineStr">
        <is>
          <t>N/M</t>
        </is>
      </c>
      <c r="M11" s="96" t="inlineStr">
        <is>
          <t>N/M</t>
        </is>
      </c>
      <c r="N11" s="96" t="inlineStr">
        <is>
          <t>N/M</t>
        </is>
      </c>
      <c r="O11" s="96" t="inlineStr">
        <is>
          <t>[A] Self-issued; Coachella/Indio/Palm Springs; Imperial/Riverside; membership (Imperial County); apply in person.</t>
        </is>
      </c>
      <c r="P11" s="97" t="inlineStr">
        <is>
          <t>Corroborated by base</t>
        </is>
      </c>
      <c r="Q11" s="96" t="inlineStr">
        <is>
          <t>N/M</t>
        </is>
      </c>
      <c r="R11" s="96" t="inlineStr">
        <is>
          <t>N/M</t>
        </is>
      </c>
    </row>
    <row r="12">
      <c r="A12" s="96" t="n"/>
      <c r="B12" s="96" t="inlineStr">
        <is>
          <t>Kinecta Federal Credit Union</t>
        </is>
      </c>
      <c r="C12" s="96" t="inlineStr">
        <is>
          <t>Credit Union</t>
        </is>
      </c>
      <c r="D12" s="96" t="inlineStr">
        <is>
          <t>SoCal / Los Angeles (Manhattan Beach)</t>
        </is>
      </c>
      <c r="E12" s="96" t="inlineStr">
        <is>
          <t>Manhattan Beach, CA</t>
        </is>
      </c>
      <c r="F12" s="96" t="inlineStr">
        <is>
          <t>~$6.8B</t>
        </is>
      </c>
      <c r="G12" s="96" t="inlineStr">
        <is>
          <t>Yes</t>
        </is>
      </c>
      <c r="H12" s="96" t="inlineStr">
        <is>
          <t>Self (Kinecta FCU; CUNA Mutual/TruStage = forms vendor only)</t>
        </is>
      </c>
      <c r="I12" s="96" t="inlineStr">
        <is>
          <t>N/M</t>
        </is>
      </c>
      <c r="J12" s="96" t="inlineStr">
        <is>
          <t>N/M (reports owner + business; behavior/bureaus unspecified)</t>
        </is>
      </c>
      <c r="K12" s="96" t="inlineStr">
        <is>
          <t>N/M (no bank-specific data point found)</t>
        </is>
      </c>
      <c r="L12" s="96" t="inlineStr">
        <is>
          <t>In-person</t>
        </is>
      </c>
      <c r="M12" s="96" t="inlineStr">
        <is>
          <t>Membership required (Greater LA SoCal ZIPs; OPEN nationwide via Innovision Society $10 — Kinecta covers yr1)</t>
        </is>
      </c>
      <c r="N12" s="96" t="inlineStr">
        <is>
          <t>No-doc card — apply in branch</t>
        </is>
      </c>
      <c r="O12" s="96" t="inlineStr">
        <is>
          <t>[A] Self-issued; Manhattan Beach/LA; membership via Consumer Coop Society of Santa Monica ($10); EX inferred.</t>
        </is>
      </c>
      <c r="P12" s="97" t="inlineStr">
        <is>
          <t>Corroborated by base</t>
        </is>
      </c>
      <c r="Q12" s="96" t="inlineStr">
        <is>
          <t>HIGH self/terms/PG/SoCal/open-membership-path; apply N (appointment); N/M HP, reports. 2026-05-28</t>
        </is>
      </c>
      <c r="R12" s="96" t="inlineStr">
        <is>
          <t>kinecta.org/credit-card/mypro + MyPro agreement/disclosure PDFs; CFPB Kinecta MyPro agreement; join pages</t>
        </is>
      </c>
    </row>
    <row r="13">
      <c r="A13" s="96" t="n"/>
      <c r="B13" s="96" t="inlineStr">
        <is>
          <t>Logix Federal Credit Union</t>
        </is>
      </c>
      <c r="C13" s="96" t="inlineStr">
        <is>
          <t>Credit Union</t>
        </is>
      </c>
      <c r="D13" s="96" t="inlineStr">
        <is>
          <t>SoCal / Los Angeles (Valencia/Burbank) + Ventura</t>
        </is>
      </c>
      <c r="E13" s="96" t="inlineStr">
        <is>
          <t>Valencia, CA</t>
        </is>
      </c>
      <c r="F13" s="96" t="inlineStr">
        <is>
          <t>~$9.73B</t>
        </is>
      </c>
      <c r="G13" s="96" t="inlineStr">
        <is>
          <t>Yes</t>
        </is>
      </c>
      <c r="H13" s="96" t="inlineStr">
        <is>
          <t>Self (Logix FCU)</t>
        </is>
      </c>
      <c r="I13" s="96" t="inlineStr">
        <is>
          <t>N/M (personal pull; a consumer lawsuit alleged EQ + TU)</t>
        </is>
      </c>
      <c r="J13" s="96" t="inlineStr">
        <is>
          <t>⚠️ Reports to PERSONAL consumer bureaus (negative + tradeline)</t>
        </is>
      </c>
      <c r="K13" s="96" t="inlineStr">
        <is>
          <t>N/M (no bank-specific data point found)</t>
        </is>
      </c>
      <c r="L13" s="96" t="inlineStr">
        <is>
          <t>In-person</t>
        </is>
      </c>
      <c r="M13" s="96" t="inlineStr">
        <is>
          <t>Membership required (SoCal Easy-Membership + OPEN via American Consumer Council; business within 30mi of a branch)</t>
        </is>
      </c>
      <c r="N13" s="96" t="inlineStr">
        <is>
          <t>Reports to personal credit</t>
        </is>
      </c>
      <c r="O13" s="96" t="inlineStr">
        <is>
          <t>[A] Self-issued; Burbank/LA; biz within 30mi; easy membership (ACC free).</t>
        </is>
      </c>
      <c r="P13" s="97" t="inlineStr">
        <is>
          <t>Corroborated by base</t>
        </is>
      </c>
      <c r="Q13" s="96" t="inlineStr">
        <is>
          <t>HIGH self/terms/SoCal/membership; ⚠️ reports to personal credit; apply N (appointment). 2026-05-28</t>
        </is>
      </c>
      <c r="R13" s="96" t="inlineStr">
        <is>
          <t>logixbanking.com/business/credit-card + Smart Business Cashback agreement PDF (issuer=self); CFPB; become-a-member</t>
        </is>
      </c>
    </row>
    <row r="14">
      <c r="A14" s="96" t="n"/>
      <c r="B14" s="96" t="inlineStr">
        <is>
          <t>City National Bank</t>
        </is>
      </c>
      <c r="C14" s="96" t="inlineStr">
        <is>
          <t>CA Bank</t>
        </is>
      </c>
      <c r="D14" s="96" t="inlineStr">
        <is>
          <t>SoCal / LA</t>
        </is>
      </c>
      <c r="E14" s="96" t="inlineStr">
        <is>
          <t>Los Angeles</t>
        </is>
      </c>
      <c r="F14" s="96" t="inlineStr">
        <is>
          <t>$99.95B</t>
        </is>
      </c>
      <c r="G14" s="96" t="inlineStr">
        <is>
          <t>Yes</t>
        </is>
      </c>
      <c r="H14" s="96" t="inlineStr">
        <is>
          <t>Self</t>
        </is>
      </c>
      <c r="I14" s="96" t="inlineStr">
        <is>
          <t>Experian (personal Crystal card; biz N/M)</t>
        </is>
      </c>
      <c r="J14" s="96" t="inlineStr">
        <is>
          <t>N/M</t>
        </is>
      </c>
      <c r="K14" s="96" t="inlineStr">
        <is>
          <t>—</t>
        </is>
      </c>
      <c r="L14" s="96" t="inlineStr">
        <is>
          <t>In-person</t>
        </is>
      </c>
      <c r="M14" s="96" t="inlineStr">
        <is>
          <t>N/M (relationship expected)</t>
        </is>
      </c>
      <c r="N14" s="96" t="inlineStr">
        <is>
          <t>Commercial / full underwriting</t>
        </is>
      </c>
      <c r="O14" s="96" t="inlineStr">
        <is>
          <t>[M+A] [M] Self-UW, pulls all 3. [A] Commercial card via Relationship Mgr; SoCal/LA.</t>
        </is>
      </c>
      <c r="P14" s="97" t="inlineStr">
        <is>
          <t>Corroborated by base</t>
        </is>
      </c>
      <c r="Q14" s="96" t="inlineStr">
        <is>
          <t>HIGH self-issuer/commercial/no-online. 2026-05-28</t>
        </is>
      </c>
      <c r="R14" s="96" t="inlineStr">
        <is>
          <t>cnb.com commercial + crystal pages; Commercial-Credit-Card Agreement PDF</t>
        </is>
      </c>
    </row>
    <row r="15">
      <c r="A15" s="96" t="n"/>
      <c r="B15" s="96" t="inlineStr">
        <is>
          <t>California Bank &amp; Trust</t>
        </is>
      </c>
      <c r="C15" s="96" t="inlineStr">
        <is>
          <t>Regional</t>
        </is>
      </c>
      <c r="D15" s="96" t="inlineStr">
        <is>
          <t>SoCal / San Diego (CA-only bank)</t>
        </is>
      </c>
      <c r="E15" s="96" t="inlineStr">
        <is>
          <t>San Diego, CA</t>
        </is>
      </c>
      <c r="F15" s="96" t="inlineStr">
        <is>
          <t>~$90B (Zions Bancorporation, N.A. — shared charter)</t>
        </is>
      </c>
      <c r="G15" s="96" t="inlineStr">
        <is>
          <t>Yes</t>
        </is>
      </c>
      <c r="H15" s="96" t="inlineStr">
        <is>
          <t>Self (Zions Bancorporation, N.A.)</t>
        </is>
      </c>
      <c r="I15" s="96" t="inlineStr">
        <is>
          <t>Experian (most-cited; varies by state)</t>
        </is>
      </c>
      <c r="J15" s="96" t="inlineStr">
        <is>
          <t>N/M (reporting not confirmed)</t>
        </is>
      </c>
      <c r="K15" s="96" t="inlineStr">
        <is>
          <t>Advertised up to $250K (AmaZing Rate min $500)</t>
        </is>
      </c>
      <c r="L15" s="96" t="inlineStr">
        <is>
          <t>Online</t>
        </is>
      </c>
      <c r="M15" s="96" t="inlineStr">
        <is>
          <t>N/M</t>
        </is>
      </c>
      <c r="N15" s="96" t="inlineStr">
        <is>
          <t>★ No-doc 0% card — apply online</t>
        </is>
      </c>
      <c r="O15" s="96" t="inlineStr">
        <is>
          <t>(no chat note)</t>
        </is>
      </c>
      <c r="P15" s="97" t="inlineStr">
        <is>
          <t>See base</t>
        </is>
      </c>
      <c r="Q15" s="96" t="inlineStr">
        <is>
          <t>HIGH self (agreement)/products/terms/online/CA-only; MED HP; N/M reporting, PG. 2026-05-28</t>
        </is>
      </c>
      <c r="R15" s="96" t="inlineStr">
        <is>
          <t>calbanktrust.com/business/business-credit-cards + agreement PDFs (issuer=Zions); doctorofcredit.com (state gating); en.wikipedia.org/wiki/California_Bank_and_Trust</t>
        </is>
      </c>
    </row>
    <row r="16">
      <c r="A16" s="96" t="n"/>
      <c r="B16" s="96" t="inlineStr">
        <is>
          <t>Sunwest Bank (Visionary / Torpago)</t>
        </is>
      </c>
      <c r="C16" s="96" t="inlineStr">
        <is>
          <t>Bank</t>
        </is>
      </c>
      <c r="D16" s="96" t="inlineStr">
        <is>
          <t>SoCal / Orange County (HQ now Sandy, UT; legacy Irvine)</t>
        </is>
      </c>
      <c r="E16" s="96" t="inlineStr">
        <is>
          <t>Irvine, CA (legacy) / Sandy, UT</t>
        </is>
      </c>
      <c r="F16" s="96" t="inlineStr">
        <is>
          <t>~$3B</t>
        </is>
      </c>
      <c r="G16" s="96" t="inlineStr">
        <is>
          <t>Yes - issuer on own balance sheet (Torpago platform)</t>
        </is>
      </c>
      <c r="H16" s="96" t="inlineStr">
        <is>
          <t>Sunwest Bank (Torpago program + Marqeta processing)</t>
        </is>
      </c>
      <c r="I16" s="96" t="inlineStr">
        <is>
          <t>NO personal credit check (cash-flow underwriting; inferred from Torpago model)</t>
        </is>
      </c>
      <c r="J16" s="96" t="inlineStr">
        <is>
          <t>Business credit only; not personal (inferred)</t>
        </is>
      </c>
      <c r="K16" s="96" t="inlineStr">
        <is>
          <t>Set by business cash flow; grows over time (no published range)</t>
        </is>
      </c>
      <c r="L16" s="96" t="inlineStr">
        <is>
          <t>Contact-to-apply (VisionaryPayments@SunwestBank.com); not instant online</t>
        </is>
      </c>
      <c r="M16" s="96" t="inlineStr">
        <is>
          <t>No security deposit; needs a business bank account</t>
        </is>
      </c>
      <c r="N16" s="96" t="inlineStr">
        <is>
          <t>n/a</t>
        </is>
      </c>
      <c r="O16" s="96" t="inlineStr">
        <is>
          <t>[M] Mentioned by mentor (no detail). Research: Visionary Card via Torpago.</t>
        </is>
      </c>
      <c r="P16" s="97" t="inlineStr">
        <is>
          <t>Identity verified; terms vary</t>
        </is>
      </c>
      <c r="Q16" s="96" t="inlineStr">
        <is>
          <t>Card + Torpago/Marqeta structure HIGH; PG/deposit/credit-pull MED (Torpago-generic) / 2026-05-29</t>
        </is>
      </c>
      <c r="R16" s="96" t="inlineStr">
        <is>
          <t>https://www.torpago.com/press/sunwest-bank-unveils-its-visionary-card-program-in-dynamic-collaboration-with-torpago-and-marqeta/</t>
        </is>
      </c>
    </row>
    <row r="17">
      <c r="A17" s="98" t="inlineStr">
        <is>
          <t>TIER 2  -  SoCal | white-label (TIB) or contact-to-apply</t>
        </is>
      </c>
      <c r="B17" s="94" t="n"/>
      <c r="C17" s="94" t="n"/>
      <c r="D17" s="94" t="n"/>
      <c r="E17" s="94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5" t="n"/>
    </row>
    <row r="18">
      <c r="A18" s="96" t="n"/>
      <c r="B18" s="96" t="inlineStr">
        <is>
          <t>CalPrivate Bank</t>
        </is>
      </c>
      <c r="C18" s="96" t="inlineStr">
        <is>
          <t>Bank</t>
        </is>
      </c>
      <c r="D18" s="96" t="inlineStr">
        <is>
          <t>SoCal / La Jolla (Beverly Hills, Newport Beach, El Segundo, Coronado, SD)</t>
        </is>
      </c>
      <c r="E18" s="96" t="inlineStr">
        <is>
          <t>La Jolla, CA</t>
        </is>
      </c>
      <c r="F18" s="96" t="inlineStr">
        <is>
          <t>~$2.48-2.58B</t>
        </is>
      </c>
      <c r="G18" s="96" t="inlineStr">
        <is>
          <t>NO - white-label</t>
        </is>
      </c>
      <c r="H18" s="96" t="inlineStr">
        <is>
          <t>TIB, N.A. (The Independent BankersBank) - CONFIRMED</t>
        </is>
      </c>
      <c r="I18" s="96" t="inlineStr">
        <is>
          <t>N/M (TIB underwrites guarantor)</t>
        </is>
      </c>
      <c r="J18" s="96" t="inlineStr">
        <is>
          <t>N/M (TIB biz bureaus; inferred)</t>
        </is>
      </c>
      <c r="K18" s="96" t="inlineStr">
        <is>
          <t>N/M; Business Standard ($0 AF) + Business Preferred Points ($49 AF)</t>
        </is>
      </c>
      <c r="L18" s="96" t="inlineStr">
        <is>
          <t>No online app (Contact Banker)</t>
        </is>
      </c>
      <c r="M18" s="96" t="inlineStr">
        <is>
          <t>N/M (contact banker -&gt; relationship)</t>
        </is>
      </c>
      <c r="N18" s="96" t="inlineStr">
        <is>
          <t>n/a</t>
        </is>
      </c>
      <c r="O18" s="96" t="inlineStr">
        <is>
          <t>[A] ~$2.3B; 'contact banker'; TIB underwriting (evidence).</t>
        </is>
      </c>
      <c r="P18" s="97" t="inlineStr">
        <is>
          <t>Corroborated by base</t>
        </is>
      </c>
      <c r="Q18" s="96" t="inlineStr">
        <is>
          <t>SoCal HIGH; TIB issuer HIGH / 2026-05-29</t>
        </is>
      </c>
      <c r="R18" s="96" t="inlineStr">
        <is>
          <t>https://calprivate.bank/business-banking/business-credit-cards/</t>
        </is>
      </c>
    </row>
    <row r="19">
      <c r="A19" s="96" t="n"/>
      <c r="B19" s="96" t="inlineStr">
        <is>
          <t>HCN Bank</t>
        </is>
      </c>
      <c r="C19" s="96" t="inlineStr">
        <is>
          <t>CA Bank</t>
        </is>
      </c>
      <c r="D19" s="96" t="inlineStr">
        <is>
          <t>SoCal / Inland Empire</t>
        </is>
      </c>
      <c r="E19" s="96" t="inlineStr">
        <is>
          <t>Riverside</t>
        </is>
      </c>
      <c r="F19" s="96" t="inlineStr">
        <is>
          <t>$0.97B</t>
        </is>
      </c>
      <c r="G19" s="96" t="inlineStr">
        <is>
          <t>No</t>
        </is>
      </c>
      <c r="H19" s="96" t="inlineStr">
        <is>
          <t>TIB</t>
        </is>
      </c>
      <c r="I19" s="96" t="inlineStr">
        <is>
          <t>Experian (TIB; INFERENCE)</t>
        </is>
      </c>
      <c r="J19" s="96" t="inlineStr">
        <is>
          <t>N/M (TIB not on DoC list)</t>
        </is>
      </c>
      <c r="K19" s="96" t="inlineStr">
        <is>
          <t>N/M (TIB; financials typically required $10K+)</t>
        </is>
      </c>
      <c r="L19" s="96" t="inlineStr">
        <is>
          <t>Online</t>
        </is>
      </c>
      <c r="M19" s="96" t="inlineStr">
        <is>
          <t>N/M</t>
        </is>
      </c>
      <c r="N19" s="96" t="inlineStr">
        <is>
          <t>★ No-doc card — apply online</t>
        </is>
      </c>
      <c r="O19" s="96" t="inlineStr">
        <is>
          <t>(no chat note)</t>
        </is>
      </c>
      <c r="P19" s="97" t="inlineStr">
        <is>
          <t>See base</t>
        </is>
      </c>
      <c r="Q19" s="96" t="inlineStr">
        <is>
          <t>HIGH issuer=TIB (own page disclosure)/online/Inland Empire/products; N/M APR, HP, reports. 2026-05-29</t>
        </is>
      </c>
      <c r="R19" s="96" t="inlineStr">
        <is>
          <t>hcnbank.com/Business-Credit-Cards (TIB disclosure); cardaccount.net; FDIC cert 21606</t>
        </is>
      </c>
    </row>
    <row r="20">
      <c r="A20" s="96" t="n"/>
      <c r="B20" s="96" t="inlineStr">
        <is>
          <t>American Plus Bank, N.A.</t>
        </is>
      </c>
      <c r="C20" s="96" t="inlineStr">
        <is>
          <t>CA Bank</t>
        </is>
      </c>
      <c r="D20" s="96" t="inlineStr">
        <is>
          <t>SoCal / LA (San Gabriel Valley)</t>
        </is>
      </c>
      <c r="E20" s="96" t="inlineStr">
        <is>
          <t>Arcadia</t>
        </is>
      </c>
      <c r="F20" s="96" t="inlineStr">
        <is>
          <t>$0.89B</t>
        </is>
      </c>
      <c r="G20" s="96" t="inlineStr">
        <is>
          <t>No</t>
        </is>
      </c>
      <c r="H20" s="96" t="inlineStr">
        <is>
          <t>TIB</t>
        </is>
      </c>
      <c r="I20" s="96" t="inlineStr">
        <is>
          <t>Experian/TU (TIB; INFERENCE)</t>
        </is>
      </c>
      <c r="J20" s="96" t="inlineStr">
        <is>
          <t>N/M (TIB; biz-only reporting per forum, unconfirmed here)</t>
        </is>
      </c>
      <c r="K20" s="96" t="inlineStr">
        <is>
          <t>N/M (TIB; financials typically required $10K+)</t>
        </is>
      </c>
      <c r="L20" s="96" t="inlineStr">
        <is>
          <t>Online</t>
        </is>
      </c>
      <c r="M20" s="96" t="inlineStr">
        <is>
          <t>N/M</t>
        </is>
      </c>
      <c r="N20" s="96" t="inlineStr">
        <is>
          <t>★ No-doc card — apply online</t>
        </is>
      </c>
      <c r="O20" s="96" t="inlineStr">
        <is>
          <t>(no chat note)</t>
        </is>
      </c>
      <c r="P20" s="97" t="inlineStr">
        <is>
          <t>See base</t>
        </is>
      </c>
      <c r="Q20" s="96" t="inlineStr">
        <is>
          <t>MED-HIGH issuer=TIB (mycommunitycc.com portal)/online/SGV; N/M terms, HP, reports. 2026-05-29</t>
        </is>
      </c>
      <c r="R20" s="96" t="inlineStr">
        <is>
          <t>bankaplus.com/Credit-Cards; mycommunitycc.com (TIB portal); FDIC cert 58469</t>
        </is>
      </c>
    </row>
    <row r="21" ht="15.75" customHeight="1">
      <c r="A21" s="96" t="n"/>
      <c r="B21" s="96" t="inlineStr">
        <is>
          <t>Western Alliance Bank</t>
        </is>
      </c>
      <c r="C21" s="96" t="inlineStr">
        <is>
          <t>Regional</t>
        </is>
      </c>
      <c r="D21" s="96" t="inlineStr">
        <is>
          <t>SoCal / San Diego + Silicon Valley (Torrey Pines / Bridge Bank)</t>
        </is>
      </c>
      <c r="E21" s="96" t="inlineStr">
        <is>
          <t>Phoenix, AZ</t>
        </is>
      </c>
      <c r="F21" s="96" t="inlineStr">
        <is>
          <t>~$98.8B</t>
        </is>
      </c>
      <c r="G21" s="96" t="inlineStr">
        <is>
          <t>Yes</t>
        </is>
      </c>
      <c r="H21" s="96" t="inlineStr">
        <is>
          <t>Self (Western Alliance Bank)</t>
        </is>
      </c>
      <c r="I21" s="96" t="inlineStr">
        <is>
          <t>N/M (personal pull; bureau not disclosed)</t>
        </is>
      </c>
      <c r="J21" s="96" t="inlineStr">
        <is>
          <t>N/M (reporting authorized; bureaus unspecified)</t>
        </is>
      </c>
      <c r="K21" s="96" t="inlineStr">
        <is>
          <t>N/M (no bank-specific data point found)</t>
        </is>
      </c>
      <c r="L21" s="96" t="inlineStr">
        <is>
          <t>In-person</t>
        </is>
      </c>
      <c r="M21" s="96" t="inlineStr">
        <is>
          <t>N/M (banking relationship expected)</t>
        </is>
      </c>
      <c r="N21" s="96" t="inlineStr">
        <is>
          <t>No-doc card — apply in branch</t>
        </is>
      </c>
      <c r="O21" s="96" t="inlineStr">
        <is>
          <t>(no chat note)</t>
        </is>
      </c>
      <c r="P21" s="97" t="inlineStr">
        <is>
          <t>See base</t>
        </is>
      </c>
      <c r="Q21" s="96" t="inlineStr">
        <is>
          <t>HIGH self/products/no-0%/footprint; apply N (RM/lead form); N/M HP, reports. 2026-05-28</t>
        </is>
      </c>
      <c r="R21" s="96" t="inlineStr">
        <is>
          <t>westernalliancebancorporation.com/small-business/credit-cards + commercial-credit-card-agreement (issuer=self); torrey-pines-bank + bridge-bank pages; FDIC cert 57512</t>
        </is>
      </c>
    </row>
    <row r="22" ht="15.75" customHeight="1">
      <c r="A22" s="96" t="n"/>
      <c r="B22" s="96" t="inlineStr">
        <is>
          <t>Montecito Bank &amp; Trust</t>
        </is>
      </c>
      <c r="C22" s="96" t="inlineStr">
        <is>
          <t>CA Bank</t>
        </is>
      </c>
      <c r="D22" s="96" t="inlineStr">
        <is>
          <t>Central Coast</t>
        </is>
      </c>
      <c r="E22" s="96" t="inlineStr">
        <is>
          <t>Santa Barbara</t>
        </is>
      </c>
      <c r="F22" s="96" t="inlineStr">
        <is>
          <t>$2.04B</t>
        </is>
      </c>
      <c r="G22" s="96" t="inlineStr">
        <is>
          <t>Yes</t>
        </is>
      </c>
      <c r="H22" s="96" t="inlineStr">
        <is>
          <t>Self (Montecito B&amp;T is creditor)</t>
        </is>
      </c>
      <c r="I22" s="96" t="inlineStr">
        <is>
          <t>N/M (personal pull on guarantor)</t>
        </is>
      </c>
      <c r="J22" s="96" t="inlineStr">
        <is>
          <t>Reports to bureaus; personal on default (specific bureaus N/M)</t>
        </is>
      </c>
      <c r="K22" s="96" t="inlineStr">
        <is>
          <t>Visa Business Rewards up to $100K (advertised)</t>
        </is>
      </c>
      <c r="L22" s="96" t="inlineStr">
        <is>
          <t>Assisted</t>
        </is>
      </c>
      <c r="M22" s="96" t="inlineStr">
        <is>
          <t>YES — deposit customers only (rare hard requirement)</t>
        </is>
      </c>
      <c r="N22" s="96" t="inlineStr">
        <is>
          <t>No-doc card — apply in branch</t>
        </is>
      </c>
      <c r="O22" s="96" t="inlineStr">
        <is>
          <t>[A] ~$2B; biz card exists, NO online app (deposit customers only).</t>
        </is>
      </c>
      <c r="P22" s="97" t="inlineStr">
        <is>
          <t>Corroborated by base</t>
        </is>
      </c>
      <c r="Q22" s="96" t="inlineStr">
        <is>
          <t>HIGH self-issuer/terms/deposit-required; MED PG; N/M HP, biz-bureau. 2026-05-28</t>
        </is>
      </c>
      <c r="R22" s="96" t="inlineStr">
        <is>
          <t>montecito.bank/business/credit-card + business-credit-card-contract PDF + /business/lending/.../bizmax</t>
        </is>
      </c>
    </row>
    <row r="23" ht="15.75" customHeight="1">
      <c r="A23" s="96" t="n"/>
      <c r="B23" s="96" t="inlineStr">
        <is>
          <t>Community West Bank</t>
        </is>
      </c>
      <c r="C23" s="96" t="inlineStr">
        <is>
          <t>CA Bank</t>
        </is>
      </c>
      <c r="D23" s="96" t="inlineStr">
        <is>
          <t>Central Valley / Central Coast</t>
        </is>
      </c>
      <c r="E23" s="96" t="inlineStr">
        <is>
          <t>Fresno</t>
        </is>
      </c>
      <c r="F23" s="96" t="inlineStr">
        <is>
          <t>$3.70B</t>
        </is>
      </c>
      <c r="G23" s="96" t="inlineStr">
        <is>
          <t>No</t>
        </is>
      </c>
      <c r="H23" s="96" t="inlineStr">
        <is>
          <t>TIB</t>
        </is>
      </c>
      <c r="I23" s="96" t="inlineStr">
        <is>
          <t>Experian</t>
        </is>
      </c>
      <c r="J23" s="96" t="inlineStr">
        <is>
          <t>N/M (TIB not on DoC list)</t>
        </is>
      </c>
      <c r="K23" s="96" t="inlineStr">
        <is>
          <t>TIB: $10K+ needs financials (flat-priced, not FICO-risk)  [myFICO #5028638]</t>
        </is>
      </c>
      <c r="L23" s="96" t="inlineStr">
        <is>
          <t>Online</t>
        </is>
      </c>
      <c r="M23" s="96" t="inlineStr">
        <is>
          <t>N/M</t>
        </is>
      </c>
      <c r="N23" s="96" t="inlineStr">
        <is>
          <t>★ No-doc card — apply online</t>
        </is>
      </c>
      <c r="O23" s="96" t="inlineStr">
        <is>
          <t>[A] ~$3B; appears TIB-underwritten; apply online, interest-bearing.</t>
        </is>
      </c>
      <c r="P23" s="97" t="inlineStr">
        <is>
          <t>Corroborated by base</t>
        </is>
      </c>
      <c r="Q23" s="96" t="inlineStr">
        <is>
          <t>HIGH products/issuer (TIB)/APR/fees/HP=Experian; N/M reports, deposit. 2026-05-28</t>
        </is>
      </c>
      <c r="R23" s="96" t="inlineStr">
        <is>
          <t>communitywestbank.com/business-credit-cards; cardaccount.net/application/f87a3255c0; myfico.com #5028638</t>
        </is>
      </c>
    </row>
    <row r="24" ht="15.75" customHeight="1">
      <c r="A24" s="96" t="n"/>
      <c r="B24" s="96" t="inlineStr">
        <is>
          <t>Banner Bank</t>
        </is>
      </c>
      <c r="C24" s="96" t="inlineStr">
        <is>
          <t>Regional</t>
        </is>
      </c>
      <c r="D24" s="96" t="inlineStr">
        <is>
          <t>West Coast - CA/WA/OR/ID (~30 CA branches)</t>
        </is>
      </c>
      <c r="E24" s="96" t="inlineStr">
        <is>
          <t>Walla Walla, WA</t>
        </is>
      </c>
      <c r="F24" s="96" t="inlineStr">
        <is>
          <t>~$16.56B</t>
        </is>
      </c>
      <c r="G24" s="96" t="inlineStr">
        <is>
          <t>Yes</t>
        </is>
      </c>
      <c r="H24" s="96" t="inlineStr">
        <is>
          <t>Self (Banner Bank)</t>
        </is>
      </c>
      <c r="I24" s="96" t="inlineStr">
        <is>
          <t>N/M (personal pull on guarantor; bureau not named)</t>
        </is>
      </c>
      <c r="J24" s="96" t="inlineStr">
        <is>
          <t>N/M</t>
        </is>
      </c>
      <c r="K24" s="96" t="inlineStr">
        <is>
          <t>N/M (no bank-specific data point found)</t>
        </is>
      </c>
      <c r="L24" s="96" t="inlineStr">
        <is>
          <t>In-person</t>
        </is>
      </c>
      <c r="M24" s="96" t="inlineStr">
        <is>
          <t>N/M</t>
        </is>
      </c>
      <c r="N24" s="96" t="inlineStr">
        <is>
          <t>No-doc card — apply in branch</t>
        </is>
      </c>
      <c r="O24" s="96" t="inlineStr">
        <is>
          <t>[M] Mentioned by mentor (no detail).</t>
        </is>
      </c>
      <c r="P24" s="97" t="inlineStr">
        <is>
          <t>Corroborated by base</t>
        </is>
      </c>
      <c r="Q24" s="96" t="inlineStr">
        <is>
          <t>HIGH self/products/0%-12mo/PG-full-underwrite/CA-footprint; apply N (paper-&gt;branch). 2026-05-28</t>
        </is>
      </c>
      <c r="R24" s="96" t="inlineStr">
        <is>
          <t>bannerbank.com/.../business-platinum-mastercard + application PDF (issuer=self, PG); FDIC cert 28489</t>
        </is>
      </c>
    </row>
    <row r="25" ht="15.75" customHeight="1">
      <c r="A25" s="99" t="inlineStr">
        <is>
          <t>TIER 3  -  National self-UW that lends into CA</t>
        </is>
      </c>
      <c r="B25" s="94" t="n"/>
      <c r="C25" s="94" t="n"/>
      <c r="D25" s="94" t="n"/>
      <c r="E25" s="94" t="n"/>
      <c r="F25" s="94" t="n"/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5" t="n"/>
    </row>
    <row r="26" ht="15.75" customHeight="1">
      <c r="A26" s="96" t="n"/>
      <c r="B26" s="96" t="inlineStr">
        <is>
          <t>PNC Bank</t>
        </is>
      </c>
      <c r="C26" s="96" t="inlineStr">
        <is>
          <t>National</t>
        </is>
      </c>
      <c r="D26" s="96" t="inlineStr">
        <is>
          <t>National — CA presence via 2021 BBVA acquisition (thinner)</t>
        </is>
      </c>
      <c r="E26" s="96" t="inlineStr">
        <is>
          <t>Pittsburgh, PA</t>
        </is>
      </c>
      <c r="F26" s="96" t="inlineStr">
        <is>
          <t>~$574B</t>
        </is>
      </c>
      <c r="G26" s="96" t="inlineStr">
        <is>
          <t>Yes</t>
        </is>
      </c>
      <c r="H26" s="96" t="inlineStr">
        <is>
          <t>Self (PNC Bank NA)</t>
        </is>
      </c>
      <c r="I26" s="96" t="inlineStr">
        <is>
          <t>Hard-pull cards: Experian. BusinessOptions: SOFT pull, Equifax (NO hard inquiry!)</t>
        </is>
      </c>
      <c r="J26" s="96" t="inlineStr">
        <is>
          <t>Personal: never (normal use). Business: D&amp;B + Experian-Biz + Equifax-Biz + SBFE</t>
        </is>
      </c>
      <c r="K26" s="96" t="inlineStr">
        <is>
          <t>BusinessOptions/LOC $25K–$100K (soft-pull, no tax returns)  [myFICO #6589727]</t>
        </is>
      </c>
      <c r="L26" s="96" t="inlineStr">
        <is>
          <t>Online</t>
        </is>
      </c>
      <c r="M26" s="96" t="inlineStr">
        <is>
          <t>No (cards); functionally helps BusinessOptions/LOC</t>
        </is>
      </c>
      <c r="N26" s="96" t="inlineStr">
        <is>
          <t>★ ⚠ Needs CA branch/account — soft-pull no-doc LOC if reachable</t>
        </is>
      </c>
      <c r="O26" s="96" t="inlineStr">
        <is>
          <t>[M] Self underwritten. Pulls EQ, TU, // EX.</t>
        </is>
      </c>
      <c r="P26" s="97" t="inlineStr">
        <is>
          <t>Corroborated by base</t>
        </is>
      </c>
      <c r="Q26" s="96" t="inlineStr">
        <is>
          <t>HIGH self/lineup/SOFT-pull-BusinessOptions/no-doc-LOC/soft-CLI/business-bureaus; MED CA branch density. 2026-05-28</t>
        </is>
      </c>
      <c r="R26" s="96" t="inlineStr">
        <is>
          <t>pnc.com business credit cards + rate PDFs; myfico.com #6589727 / #6509179 (soft-pull no-doc); creditsuite.com</t>
        </is>
      </c>
    </row>
    <row r="27" ht="15.75" customHeight="1">
      <c r="A27" s="96" t="n"/>
      <c r="B27" s="96" t="inlineStr">
        <is>
          <t>First Citizens Bank</t>
        </is>
      </c>
      <c r="C27" s="96" t="inlineStr">
        <is>
          <t>Regional</t>
        </is>
      </c>
      <c r="D27" s="96" t="inlineStr">
        <is>
          <t>National — major CA via SVB acquisition (2023)</t>
        </is>
      </c>
      <c r="E27" s="96" t="inlineStr">
        <is>
          <t>Raleigh, NC</t>
        </is>
      </c>
      <c r="F27" s="96" t="inlineStr">
        <is>
          <t>~$236B</t>
        </is>
      </c>
      <c r="G27" s="96" t="inlineStr">
        <is>
          <t>Yes</t>
        </is>
      </c>
      <c r="H27" s="96" t="inlineStr">
        <is>
          <t>Self (First-Citizens Bank &amp; Trust)</t>
        </is>
      </c>
      <c r="I27" s="96" t="inlineStr">
        <is>
          <t>All 3 bureaus (EX+EQ+TU) blended w/ business data</t>
        </is>
      </c>
      <c r="J27" s="96" t="inlineStr">
        <is>
          <t>Pulls D&amp;B/EX-Biz/EQ-Biz; personal N/M (likely default-only)</t>
        </is>
      </c>
      <c r="K27" s="96" t="inlineStr">
        <is>
          <t>$20K SL (Low-Interest Biz, branch + biz checking)  [myFICO #6704468]</t>
        </is>
      </c>
      <c r="L27" s="96" t="inlineStr">
        <is>
          <t>In-person</t>
        </is>
      </c>
      <c r="M27" s="96" t="inlineStr">
        <is>
          <t>Yes (business checking relationship, opened in-branch)</t>
        </is>
      </c>
      <c r="N27" s="96" t="inlineStr">
        <is>
          <t>SVB Innovator = no personal guarantee</t>
        </is>
      </c>
      <c r="O27" s="96" t="inlineStr">
        <is>
          <t>[M] Self underwritten. Pulls EX. (Mentor listed twice.)</t>
        </is>
      </c>
      <c r="P27" s="97" t="inlineStr">
        <is>
          <t>Corroborated by base</t>
        </is>
      </c>
      <c r="Q27" s="96" t="inlineStr">
        <is>
          <t>HIGH self (cardholder agreement)/lineup/PG/no-tax; branch-only + deposit-relationship gated. SVB Innovator = no-PG. 2026-05-28</t>
        </is>
      </c>
      <c r="R27" s="96" t="inlineStr">
        <is>
          <t>firstcitizens.com/small-business/credit-financing/credit-cards + cardholder agreement PDF (no agent issuer); svb.com/.../svb-innovator-card; myfico.com #6704468</t>
        </is>
      </c>
    </row>
    <row r="28" ht="15.75" customHeight="1">
      <c r="A28" s="96" t="n"/>
      <c r="B28" s="96" t="inlineStr">
        <is>
          <t>Fremont Bank</t>
        </is>
      </c>
      <c r="C28" s="96" t="inlineStr">
        <is>
          <t>CA Bank</t>
        </is>
      </c>
      <c r="D28" s="96" t="inlineStr">
        <is>
          <t>NorCal / SF-East Bay</t>
        </is>
      </c>
      <c r="E28" s="96" t="inlineStr">
        <is>
          <t>Fremont</t>
        </is>
      </c>
      <c r="F28" s="96" t="inlineStr">
        <is>
          <t>$5.92B</t>
        </is>
      </c>
      <c r="G28" s="96" t="inlineStr">
        <is>
          <t>Partial (CorServ self-issue)</t>
        </is>
      </c>
      <c r="H28" s="96" t="inlineStr">
        <is>
          <t>Self (CorServ 'Apex' platform)</t>
        </is>
      </c>
      <c r="I28" s="96" t="inlineStr">
        <is>
          <t>Experian (inferred from sister personal card)</t>
        </is>
      </c>
      <c r="J28" s="96" t="inlineStr">
        <is>
          <t>N/M</t>
        </is>
      </c>
      <c r="K28" s="96" t="inlineStr">
        <is>
          <t>N/M (no bank-specific data point found)</t>
        </is>
      </c>
      <c r="L28" s="96" t="inlineStr">
        <is>
          <t>Online</t>
        </is>
      </c>
      <c r="M28" s="96" t="inlineStr">
        <is>
          <t>Yes ('Exclusively for Fremont Bank customers')</t>
        </is>
      </c>
      <c r="N28" s="96" t="inlineStr">
        <is>
          <t>★ No-doc 0% card — apply online</t>
        </is>
      </c>
      <c r="O28" s="96" t="inlineStr">
        <is>
          <t>[M+A] [M] Pinnacle Bank underwriting; EX; ALLOWS DOUBLE DIP. [A] CorServ/Apex platform; ~$5B; apply online, interest-bearing.</t>
        </is>
      </c>
      <c r="P28" s="97" t="inlineStr">
        <is>
          <t>Corroborated by base</t>
        </is>
      </c>
      <c r="Q28" s="96" t="inlineStr">
        <is>
          <t>MED-HIGH products/terms/online/CorServ; MED issuer=self; LOW HP/PG. 2026-05-28</t>
        </is>
      </c>
      <c r="R28" s="96" t="inlineStr">
        <is>
          <t>fremontbank.com/business/credit (4 product pages); fremontbank.myapexcard.com; corservsolutions.com</t>
        </is>
      </c>
    </row>
    <row r="29" ht="15.75" customHeight="1">
      <c r="A29" s="96" t="n"/>
      <c r="B29" s="96" t="inlineStr">
        <is>
          <t>First Bank (FNBO)</t>
        </is>
      </c>
      <c r="C29" s="96" t="inlineStr">
        <is>
          <t>N/M</t>
        </is>
      </c>
      <c r="D29" s="96" t="inlineStr">
        <is>
          <t>N/M</t>
        </is>
      </c>
      <c r="E29" s="96" t="inlineStr">
        <is>
          <t>N/M</t>
        </is>
      </c>
      <c r="F29" s="96" t="inlineStr">
        <is>
          <t>N/M</t>
        </is>
      </c>
      <c r="G29" s="96" t="inlineStr">
        <is>
          <t>N/M</t>
        </is>
      </c>
      <c r="H29" s="96" t="inlineStr">
        <is>
          <t>N/M</t>
        </is>
      </c>
      <c r="I29" s="96" t="inlineStr">
        <is>
          <t>N/M</t>
        </is>
      </c>
      <c r="J29" s="96" t="inlineStr">
        <is>
          <t>N/M</t>
        </is>
      </c>
      <c r="K29" s="96" t="inlineStr">
        <is>
          <t>N/M</t>
        </is>
      </c>
      <c r="L29" s="96" t="inlineStr">
        <is>
          <t>N/M</t>
        </is>
      </c>
      <c r="M29" s="96" t="inlineStr">
        <is>
          <t>N/M</t>
        </is>
      </c>
      <c r="N29" s="96" t="inlineStr">
        <is>
          <t>N/M</t>
        </is>
      </c>
      <c r="O29" s="96" t="inlineStr">
        <is>
          <t>[M] FNBO underwritten. Pulls EX. (CALL BANK.)</t>
        </is>
      </c>
      <c r="P29" s="97" t="inlineStr">
        <is>
          <t>Corroborated by base</t>
        </is>
      </c>
      <c r="Q29" s="96" t="inlineStr">
        <is>
          <t>N/M</t>
        </is>
      </c>
      <c r="R29" s="96" t="inlineStr">
        <is>
          <t>N/M</t>
        </is>
      </c>
    </row>
    <row r="30" ht="15.75" customHeight="1">
      <c r="A30" s="96" t="n"/>
      <c r="B30" s="96" t="inlineStr">
        <is>
          <t>First Foundation Bank</t>
        </is>
      </c>
      <c r="C30" s="96" t="inlineStr">
        <is>
          <t>N/M</t>
        </is>
      </c>
      <c r="D30" s="96" t="inlineStr">
        <is>
          <t>N/M</t>
        </is>
      </c>
      <c r="E30" s="96" t="inlineStr">
        <is>
          <t>N/M</t>
        </is>
      </c>
      <c r="F30" s="96" t="inlineStr">
        <is>
          <t>N/M</t>
        </is>
      </c>
      <c r="G30" s="96" t="inlineStr">
        <is>
          <t>N/M</t>
        </is>
      </c>
      <c r="H30" s="96" t="inlineStr">
        <is>
          <t>N/M</t>
        </is>
      </c>
      <c r="I30" s="96" t="inlineStr">
        <is>
          <t>N/M</t>
        </is>
      </c>
      <c r="J30" s="96" t="inlineStr">
        <is>
          <t>N/M</t>
        </is>
      </c>
      <c r="K30" s="96" t="inlineStr">
        <is>
          <t>N/M</t>
        </is>
      </c>
      <c r="L30" s="96" t="inlineStr">
        <is>
          <t>N/M</t>
        </is>
      </c>
      <c r="M30" s="96" t="inlineStr">
        <is>
          <t>N/M</t>
        </is>
      </c>
      <c r="N30" s="96" t="inlineStr">
        <is>
          <t>N/M</t>
        </is>
      </c>
      <c r="O30" s="96" t="inlineStr">
        <is>
          <t>[M] 'Card Assets' underwriting. Pulls Equifax.</t>
        </is>
      </c>
      <c r="P30" s="97" t="inlineStr">
        <is>
          <t>Corroborated by base</t>
        </is>
      </c>
      <c r="Q30" s="96" t="inlineStr">
        <is>
          <t>N/M</t>
        </is>
      </c>
      <c r="R30" s="96" t="inlineStr">
        <is>
          <t>N/M</t>
        </is>
      </c>
    </row>
    <row r="31" ht="15.75" customHeight="1">
      <c r="A31" s="100" t="inlineStr">
        <is>
          <t>TIER 4  -  NorCal / Central Valley / lower SoCal priority / card unconfirmed</t>
        </is>
      </c>
      <c r="B31" s="94" t="n"/>
      <c r="C31" s="94" t="n"/>
      <c r="D31" s="94" t="n"/>
      <c r="E31" s="94" t="n"/>
      <c r="F31" s="94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  <c r="Q31" s="94" t="n"/>
      <c r="R31" s="95" t="n"/>
    </row>
    <row r="32" ht="15.75" customHeight="1">
      <c r="A32" s="96" t="n"/>
      <c r="B32" s="96" t="inlineStr">
        <is>
          <t>Travis Credit Union</t>
        </is>
      </c>
      <c r="C32" s="96" t="inlineStr">
        <is>
          <t>Credit Union</t>
        </is>
      </c>
      <c r="D32" s="96" t="inlineStr">
        <is>
          <t>NorCal / Vacaville (12 NorCal counties)</t>
        </is>
      </c>
      <c r="E32" s="96" t="inlineStr">
        <is>
          <t>Vacaville, CA</t>
        </is>
      </c>
      <c r="F32" s="96" t="inlineStr">
        <is>
          <t>~$5.4B</t>
        </is>
      </c>
      <c r="G32" s="96" t="inlineStr">
        <is>
          <t>UNCONFIRMED (issuer not disclosed)</t>
        </is>
      </c>
      <c r="H32" s="96" t="inlineStr">
        <is>
          <t>UNCONFIRMED (self vs white-label)</t>
        </is>
      </c>
      <c r="I32" s="96" t="inlineStr">
        <is>
          <t>UNVERIFIED (mentor said all 3)</t>
        </is>
      </c>
      <c r="J32" s="96" t="inlineStr">
        <is>
          <t>N/M</t>
        </is>
      </c>
      <c r="K32" s="96" t="inlineStr">
        <is>
          <t>N/M (not advertised); $0 AF</t>
        </is>
      </c>
      <c r="L32" s="96" t="inlineStr">
        <is>
          <t>No online biz-card app (call 800-877-8328 / appointment)</t>
        </is>
      </c>
      <c r="M32" s="96" t="inlineStr">
        <is>
          <t>Membership share (nominal); amount N/M</t>
        </is>
      </c>
      <c r="N32" s="96" t="inlineStr">
        <is>
          <t>FOM: 12 NorCal counties; NO open/nationwide path</t>
        </is>
      </c>
      <c r="O32" s="96" t="inlineStr">
        <is>
          <t>[M] Self underwritten. Pulls all 3.</t>
        </is>
      </c>
      <c r="P32" s="97" t="inlineStr">
        <is>
          <t>Corroborated by base</t>
        </is>
      </c>
      <c r="Q32" s="96" t="inlineStr">
        <is>
          <t>Identity HIGH; card terms LOW / 2026-05-29</t>
        </is>
      </c>
      <c r="R32" s="96" t="inlineStr">
        <is>
          <t>https://www.traviscu.org/business/lending/business-visa/</t>
        </is>
      </c>
    </row>
    <row r="33" ht="15.75" customHeight="1">
      <c r="A33" s="96" t="n"/>
      <c r="B33" s="96" t="inlineStr">
        <is>
          <t>Tri Counties Bank</t>
        </is>
      </c>
      <c r="C33" s="96" t="inlineStr">
        <is>
          <t>Bank</t>
        </is>
      </c>
      <c r="D33" s="96" t="inlineStr">
        <is>
          <t>NorCal / Chico</t>
        </is>
      </c>
      <c r="E33" s="96" t="inlineStr">
        <is>
          <t>Chico, CA</t>
        </is>
      </c>
      <c r="F33" s="96" t="inlineStr">
        <is>
          <t>~$9.8B</t>
        </is>
      </c>
      <c r="G33" s="96" t="inlineStr">
        <is>
          <t>Yes - SELF-ISSUED</t>
        </is>
      </c>
      <c r="H33" s="96" t="inlineStr">
        <is>
          <t>Tri Counties Bank (business card disclosure: 'issued by Tri Counties Bank')</t>
        </is>
      </c>
      <c r="I33" s="96" t="inlineStr">
        <is>
          <t>N/M (guarantor pull inferred)</t>
        </is>
      </c>
      <c r="J33" s="96" t="inlineStr">
        <is>
          <t>N/M</t>
        </is>
      </c>
      <c r="K33" s="96" t="inlineStr">
        <is>
          <t>N/M (not advertised); $0 AF (Platinum)</t>
        </is>
      </c>
      <c r="L33" s="96" t="inlineStr">
        <is>
          <t>No online app (branch / Banker)</t>
        </is>
      </c>
      <c r="M33" s="96" t="inlineStr">
        <is>
          <t>N/M (routes through your Banker)</t>
        </is>
      </c>
      <c r="N33" s="96" t="inlineStr">
        <is>
          <t>n/a</t>
        </is>
      </c>
      <c r="O33" s="96" t="inlineStr">
        <is>
          <t>[A] ~$9B; card exists, NO online app.</t>
        </is>
      </c>
      <c r="P33" s="97" t="inlineStr">
        <is>
          <t>Corroborated by base</t>
        </is>
      </c>
      <c r="Q33" s="96" t="inlineStr">
        <is>
          <t>Self-issued HIGH; terms LOW / 2026-05-29</t>
        </is>
      </c>
      <c r="R33" s="96" t="inlineStr">
        <is>
          <t>https://www.tcbk.com/business/credit-cards</t>
        </is>
      </c>
    </row>
    <row r="34" ht="15.75" customHeight="1">
      <c r="A34" s="96" t="n"/>
      <c r="B34" s="96" t="inlineStr">
        <is>
          <t>Farmers &amp; Merchants Bank of Central California (fmbonline)</t>
        </is>
      </c>
      <c r="C34" s="96" t="inlineStr">
        <is>
          <t>Bank</t>
        </is>
      </c>
      <c r="D34" s="96" t="inlineStr">
        <is>
          <t>NorCal / Central Valley (Lodi)</t>
        </is>
      </c>
      <c r="E34" s="96" t="inlineStr">
        <is>
          <t>Lodi, CA</t>
        </is>
      </c>
      <c r="F34" s="96" t="inlineStr">
        <is>
          <t>~$5.7B</t>
        </is>
      </c>
      <c r="G34" s="96" t="inlineStr">
        <is>
          <t>NO - white-label</t>
        </is>
      </c>
      <c r="H34" s="96" t="inlineStr">
        <is>
          <t>UMB Bank, N.A.</t>
        </is>
      </c>
      <c r="I34" s="96" t="inlineStr">
        <is>
          <t>N/M</t>
        </is>
      </c>
      <c r="J34" s="96" t="inlineStr">
        <is>
          <t>N/M (UMB biz cards usually not personal unless default; inferred)</t>
        </is>
      </c>
      <c r="K34" s="96" t="inlineStr">
        <is>
          <t>Visa Signature for lines &gt;=$5,000; Platinum for &lt;$5,000 (no published max)</t>
        </is>
      </c>
      <c r="L34" s="96" t="inlineStr">
        <is>
          <t>No online app (Request Info button)</t>
        </is>
      </c>
      <c r="M34" s="96" t="inlineStr">
        <is>
          <t>N/M</t>
        </is>
      </c>
      <c r="N34" s="96" t="inlineStr">
        <is>
          <t>n/a</t>
        </is>
      </c>
      <c r="O34" s="96" t="inlineStr">
        <is>
          <t>[A] fmbonline.com; UMB-issued; no public app; ~$5B.</t>
        </is>
      </c>
      <c r="P34" s="97" t="inlineStr">
        <is>
          <t>Corroborated by base</t>
        </is>
      </c>
      <c r="Q34" s="96" t="inlineStr">
        <is>
          <t>UMB issuance HIGH; terms LOW / 2026-05-29</t>
        </is>
      </c>
      <c r="R34" s="96" t="inlineStr">
        <is>
          <t>https://www.fmbonline.com/loans/credit-cards/business-credit-cards.html</t>
        </is>
      </c>
    </row>
    <row r="35" ht="15.75" customHeight="1">
      <c r="A35" s="96" t="n"/>
      <c r="B35" s="96" t="inlineStr">
        <is>
          <t>West Coast Community Bank (wccb.com)</t>
        </is>
      </c>
      <c r="C35" s="96" t="inlineStr">
        <is>
          <t>Bank</t>
        </is>
      </c>
      <c r="D35" s="96" t="inlineStr">
        <is>
          <t>NorCal / Central Coast (Santa Cruz, Monterey, SLO, Silicon Valley)</t>
        </is>
      </c>
      <c r="E35" s="96" t="inlineStr">
        <is>
          <t>Santa Cruz, CA</t>
        </is>
      </c>
      <c r="F35" s="96" t="inlineStr">
        <is>
          <t>~$2.66B</t>
        </is>
      </c>
      <c r="G35" s="96" t="inlineStr">
        <is>
          <t>Yes - bank-issued (CorServ platform)</t>
        </is>
      </c>
      <c r="H35" s="96" t="inlineStr">
        <is>
          <t>West Coast Community Bank (CorServ platform; Mastercard) - NOT TIB</t>
        </is>
      </c>
      <c r="I35" s="96" t="inlineStr">
        <is>
          <t>N/M (commercial underwriting; inferred)</t>
        </is>
      </c>
      <c r="J35" s="96" t="inlineStr">
        <is>
          <t>N/M (likely corporate-liability)</t>
        </is>
      </c>
      <c r="K35" s="96" t="inlineStr">
        <is>
          <t>N/M (customized employee limits); $0 AF</t>
        </is>
      </c>
      <c r="L35" s="96" t="inlineStr">
        <is>
          <t>No online app (call RM 831-457-5000)</t>
        </is>
      </c>
      <c r="M35" s="96" t="inlineStr">
        <is>
          <t>N/M (relationship expected)</t>
        </is>
      </c>
      <c r="N35" s="96" t="inlineStr">
        <is>
          <t>n/a</t>
        </is>
      </c>
      <c r="O35" s="96" t="inlineStr">
        <is>
          <t>[A] wccb.com ~$2.5B; corporate cards; NO online app likely.</t>
        </is>
      </c>
      <c r="P35" s="97" t="inlineStr">
        <is>
          <t>Corroborated by base</t>
        </is>
      </c>
      <c r="Q35" s="96" t="inlineStr">
        <is>
          <t>Identity HIGH; CorServ HIGH; terms LOW / 2026-05-29</t>
        </is>
      </c>
      <c r="R35" s="96" t="inlineStr">
        <is>
          <t>https://wccb.com/corporate_cards</t>
        </is>
      </c>
    </row>
    <row r="36" ht="15.75" customHeight="1">
      <c r="A36" s="96" t="n"/>
      <c r="B36" s="96" t="inlineStr">
        <is>
          <t>Plumas Bank</t>
        </is>
      </c>
      <c r="C36" s="96" t="inlineStr">
        <is>
          <t>CA Bank</t>
        </is>
      </c>
      <c r="D36" s="96" t="inlineStr">
        <is>
          <t>NorCal / Sacramento (NE California)</t>
        </is>
      </c>
      <c r="E36" s="96" t="inlineStr">
        <is>
          <t>Quincy</t>
        </is>
      </c>
      <c r="F36" s="96" t="inlineStr">
        <is>
          <t>$2.20B</t>
        </is>
      </c>
      <c r="G36" s="96" t="inlineStr">
        <is>
          <t>No</t>
        </is>
      </c>
      <c r="H36" s="96" t="inlineStr">
        <is>
          <t>TIB</t>
        </is>
      </c>
      <c r="I36" s="96" t="inlineStr">
        <is>
          <t>Personal HP on guarantor; bureau not named</t>
        </is>
      </c>
      <c r="J36" s="96" t="inlineStr">
        <is>
          <t>N/M (reports personal + business; bureaus unnamed)</t>
        </is>
      </c>
      <c r="K36" s="96" t="inlineStr">
        <is>
          <t>N/M (TIB; financials typically required $10K+)</t>
        </is>
      </c>
      <c r="L36" s="96" t="inlineStr">
        <is>
          <t>In-person</t>
        </is>
      </c>
      <c r="M36" s="96" t="inlineStr">
        <is>
          <t>N/M</t>
        </is>
      </c>
      <c r="N36" s="96" t="inlineStr">
        <is>
          <t>Full-doc — requires tax returns</t>
        </is>
      </c>
      <c r="O36" s="96" t="inlineStr">
        <is>
          <t>[A] ~$2B; NorCal.</t>
        </is>
      </c>
      <c r="P36" s="97" t="inlineStr">
        <is>
          <t>Corroborated by base</t>
        </is>
      </c>
      <c r="Q36" s="96" t="inlineStr">
        <is>
          <t>HIGH products/issuer (TIB)/terms/PG+tax-returns. NOTE: tax returns required = NOT no-doc. 2026-05-28</t>
        </is>
      </c>
      <c r="R36" s="96" t="inlineStr">
        <is>
          <t>plumasbank.com/business-banking/business-card-services; card-application-2024-01-business.pdf</t>
        </is>
      </c>
    </row>
    <row r="37" ht="15.75" customHeight="1">
      <c r="A37" s="96" t="n"/>
      <c r="B37" s="96" t="inlineStr">
        <is>
          <t>FFB Bank</t>
        </is>
      </c>
      <c r="C37" s="96" t="inlineStr">
        <is>
          <t>CA Bank</t>
        </is>
      </c>
      <c r="D37" s="96" t="inlineStr">
        <is>
          <t>Central Valley</t>
        </is>
      </c>
      <c r="E37" s="96" t="inlineStr">
        <is>
          <t>Fresno</t>
        </is>
      </c>
      <c r="F37" s="96" t="inlineStr">
        <is>
          <t>$1.57B</t>
        </is>
      </c>
      <c r="G37" s="96" t="inlineStr">
        <is>
          <t>No</t>
        </is>
      </c>
      <c r="H37" s="96" t="inlineStr">
        <is>
          <t>TIB</t>
        </is>
      </c>
      <c r="I37" s="96" t="inlineStr">
        <is>
          <t>Experian (infer; single 2021 DP; TIB variable)</t>
        </is>
      </c>
      <c r="J37" s="96" t="inlineStr">
        <is>
          <t>N/M</t>
        </is>
      </c>
      <c r="K37" s="96" t="inlineStr">
        <is>
          <t>N/M (TIB; financials typically required $10K+)</t>
        </is>
      </c>
      <c r="L37" s="96" t="inlineStr">
        <is>
          <t>Online</t>
        </is>
      </c>
      <c r="M37" s="96" t="inlineStr">
        <is>
          <t>N/M</t>
        </is>
      </c>
      <c r="N37" s="96" t="inlineStr">
        <is>
          <t>★ No-doc card — apply online</t>
        </is>
      </c>
      <c r="O37" s="96" t="inlineStr">
        <is>
          <t>[A] ffb.bank, Fresno; ~$1.5B; call to apply.</t>
        </is>
      </c>
      <c r="P37" s="97" t="inlineStr">
        <is>
          <t>Corroborated by base</t>
        </is>
      </c>
      <c r="Q37" s="96" t="inlineStr">
        <is>
          <t>HIGH products/no-AF/SBA; MED-HIGH issuer=TIB (ecosystem); LOW HP, APR. 2026-05-28</t>
        </is>
      </c>
      <c r="R37" s="96" t="inlineStr">
        <is>
          <t>ffb.bank/home/business/loans-credit/credit-cards; mypreferredpoints.com; myfico.com #6303273</t>
        </is>
      </c>
    </row>
    <row r="38" ht="15.75" customHeight="1">
      <c r="A38" s="96" t="n"/>
      <c r="B38" s="96" t="inlineStr">
        <is>
          <t>Fresno First Bank</t>
        </is>
      </c>
      <c r="C38" s="96" t="inlineStr">
        <is>
          <t>N/M</t>
        </is>
      </c>
      <c r="D38" s="96" t="inlineStr">
        <is>
          <t>N/M</t>
        </is>
      </c>
      <c r="E38" s="96" t="inlineStr">
        <is>
          <t>N/M</t>
        </is>
      </c>
      <c r="F38" s="96" t="inlineStr">
        <is>
          <t>N/M</t>
        </is>
      </c>
      <c r="G38" s="96" t="inlineStr">
        <is>
          <t>N/M</t>
        </is>
      </c>
      <c r="H38" s="96" t="inlineStr">
        <is>
          <t>N/M</t>
        </is>
      </c>
      <c r="I38" s="96" t="inlineStr">
        <is>
          <t>N/M</t>
        </is>
      </c>
      <c r="J38" s="96" t="inlineStr">
        <is>
          <t>N/M</t>
        </is>
      </c>
      <c r="K38" s="96" t="inlineStr">
        <is>
          <t>N/M</t>
        </is>
      </c>
      <c r="L38" s="96" t="inlineStr">
        <is>
          <t>N/M</t>
        </is>
      </c>
      <c r="M38" s="96" t="inlineStr">
        <is>
          <t>N/M</t>
        </is>
      </c>
      <c r="N38" s="96" t="inlineStr">
        <is>
          <t>N/M</t>
        </is>
      </c>
      <c r="O38" s="96" t="inlineStr">
        <is>
          <t>[A] Fresno; call to apply.</t>
        </is>
      </c>
      <c r="P38" s="97" t="inlineStr">
        <is>
          <t>Corroborated by base</t>
        </is>
      </c>
      <c r="Q38" s="96" t="inlineStr">
        <is>
          <t>N/M</t>
        </is>
      </c>
      <c r="R38" s="96" t="inlineStr">
        <is>
          <t>N/M</t>
        </is>
      </c>
    </row>
    <row r="39" ht="15.75" customHeight="1">
      <c r="A39" s="96" t="n"/>
      <c r="B39" s="96" t="inlineStr">
        <is>
          <t>Global Credit Union</t>
        </is>
      </c>
      <c r="C39" s="96" t="inlineStr">
        <is>
          <t>N/M</t>
        </is>
      </c>
      <c r="D39" s="96" t="inlineStr">
        <is>
          <t>N/M</t>
        </is>
      </c>
      <c r="E39" s="96" t="inlineStr">
        <is>
          <t>N/M</t>
        </is>
      </c>
      <c r="F39" s="96" t="inlineStr">
        <is>
          <t>N/M</t>
        </is>
      </c>
      <c r="G39" s="96" t="inlineStr">
        <is>
          <t>N/M</t>
        </is>
      </c>
      <c r="H39" s="96" t="inlineStr">
        <is>
          <t>N/M</t>
        </is>
      </c>
      <c r="I39" s="96" t="inlineStr">
        <is>
          <t>N/M</t>
        </is>
      </c>
      <c r="J39" s="96" t="inlineStr">
        <is>
          <t>N/M</t>
        </is>
      </c>
      <c r="K39" s="96" t="inlineStr">
        <is>
          <t>N/M</t>
        </is>
      </c>
      <c r="L39" s="96" t="inlineStr">
        <is>
          <t>N/M</t>
        </is>
      </c>
      <c r="M39" s="96" t="inlineStr">
        <is>
          <t>N/M</t>
        </is>
      </c>
      <c r="N39" s="96" t="inlineStr">
        <is>
          <t>N/M</t>
        </is>
      </c>
      <c r="O39" s="96" t="inlineStr">
        <is>
          <t>[M] Mentioned by mentor. ('San Bern only now' note - ambiguous.)</t>
        </is>
      </c>
      <c r="P39" s="97" t="inlineStr">
        <is>
          <t>Corroborated by base</t>
        </is>
      </c>
      <c r="Q39" s="96" t="inlineStr">
        <is>
          <t>N/M</t>
        </is>
      </c>
      <c r="R39" s="96" t="inlineStr">
        <is>
          <t>N/M</t>
        </is>
      </c>
    </row>
    <row r="40" ht="15.75" customHeight="1">
      <c r="A40" s="101" t="inlineStr">
        <is>
          <t>CAUTION  -  NO-GO BY EXTENSION (Elan/U.S. Bank issuer) or brand retired</t>
        </is>
      </c>
      <c r="B40" s="94" t="n"/>
      <c r="C40" s="94" t="n"/>
      <c r="D40" s="94" t="n"/>
      <c r="E40" s="94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5" t="n"/>
    </row>
    <row r="41" ht="15.75" customHeight="1">
      <c r="A41" s="96" t="n"/>
      <c r="B41" s="102" t="inlineStr">
        <is>
          <t>Hanmi Bank (=Elan)</t>
        </is>
      </c>
      <c r="C41" s="102" t="inlineStr">
        <is>
          <t>Bank</t>
        </is>
      </c>
      <c r="D41" s="102" t="inlineStr">
        <is>
          <t>SoCal / LA (Koreatown)</t>
        </is>
      </c>
      <c r="E41" s="102" t="inlineStr">
        <is>
          <t>Los Angeles, CA</t>
        </is>
      </c>
      <c r="F41" s="102" t="inlineStr">
        <is>
          <t>~$7.87B</t>
        </is>
      </c>
      <c r="G41" s="102" t="inlineStr">
        <is>
          <t>NO - white-label</t>
        </is>
      </c>
      <c r="H41" s="102" t="inlineStr">
        <is>
          <t>Elan Financial Services (U.S. Bank)  ** NO-GO by extension **</t>
        </is>
      </c>
      <c r="I41" s="102" t="inlineStr">
        <is>
          <t>Elan: ONE bureau, often TU (mentor said all 3 -&gt; REFUTED)</t>
        </is>
      </c>
      <c r="J41" s="102" t="inlineStr">
        <is>
          <t>No in good standing (Elan delinquency-only; inferred)</t>
        </is>
      </c>
      <c r="K41" s="102" t="inlineStr">
        <is>
          <t>N/M (unpublished)</t>
        </is>
      </c>
      <c r="L41" s="102" t="inlineStr">
        <is>
          <t>Yes - apply online via mycardapply.com (Elan)</t>
        </is>
      </c>
      <c r="M41" s="102" t="inlineStr">
        <is>
          <t>No Hanmi deposit acct required to apply (inferred)</t>
        </is>
      </c>
      <c r="N41" s="102" t="inlineStr">
        <is>
          <t>n/a</t>
        </is>
      </c>
      <c r="O41" s="102" t="inlineStr">
        <is>
          <t>[M] Fifth Third underwriting; pulls all 3.  ** REFUTED: actually Elan-issued. **</t>
        </is>
      </c>
      <c r="P41" s="102" t="inlineStr">
        <is>
          <t>REFUTED / NO-GO</t>
        </is>
      </c>
      <c r="Q41" s="102" t="inlineStr">
        <is>
          <t>Issuer=Elan HIGH; bureau/PG MED / 2026-05-29</t>
        </is>
      </c>
      <c r="R41" s="102" t="inlineStr">
        <is>
          <t>https://www.hanmi.com/business/business-credit-cards/</t>
        </is>
      </c>
    </row>
    <row r="42" ht="15.75" customHeight="1">
      <c r="A42" s="96" t="n"/>
      <c r="B42" s="102" t="inlineStr">
        <is>
          <t>Poppy Bank (=Elan)</t>
        </is>
      </c>
      <c r="C42" s="102" t="inlineStr">
        <is>
          <t>Bank</t>
        </is>
      </c>
      <c r="D42" s="102" t="inlineStr">
        <is>
          <t>NorCal / Santa Rosa (expanding to San Diego)</t>
        </is>
      </c>
      <c r="E42" s="102" t="inlineStr">
        <is>
          <t>Santa Rosa, CA</t>
        </is>
      </c>
      <c r="F42" s="102" t="inlineStr">
        <is>
          <t>~$7.3B</t>
        </is>
      </c>
      <c r="G42" s="102" t="inlineStr">
        <is>
          <t>NO - white-label</t>
        </is>
      </c>
      <c r="H42" s="102" t="inlineStr">
        <is>
          <t>Elan Financial Services (U.S. Bank)  ** NO-GO by extension **</t>
        </is>
      </c>
      <c r="I42" s="102" t="inlineStr">
        <is>
          <t>Elan: ONE bureau, often TU</t>
        </is>
      </c>
      <c r="J42" s="102" t="inlineStr">
        <is>
          <t>No in good standing (Elan; inferred)</t>
        </is>
      </c>
      <c r="K42" s="102" t="inlineStr">
        <is>
          <t>N/M. No '$25K-$50K' published (those = Poppy checking-tier minimums, misattributed)</t>
        </is>
      </c>
      <c r="L42" s="102" t="inlineStr">
        <is>
          <t>Yes - apply online via creditcardlearnmore.com (Elan)</t>
        </is>
      </c>
      <c r="M42" s="102" t="inlineStr">
        <is>
          <t>NONE for the card (unsecured). The '$2,500' is the business SAVINGS/MMA min-balance - NOT a card deposit (REFUTED)</t>
        </is>
      </c>
      <c r="N42" s="102" t="inlineStr">
        <is>
          <t>n/a</t>
        </is>
      </c>
      <c r="O42" s="102" t="inlineStr">
        <is>
          <t>[M] $2,500 deposit -&gt; $25K-$50K target.  ** REFUTED: $2,500 = biz savings min balance, not card. **</t>
        </is>
      </c>
      <c r="P42" s="102" t="inlineStr">
        <is>
          <t>REFUTED / NO-GO</t>
        </is>
      </c>
      <c r="Q42" s="102" t="inlineStr">
        <is>
          <t>Issuer=Elan HIGH; $2,500-is-savings HIGH (refutation) / 2026-05-29</t>
        </is>
      </c>
      <c r="R42" s="102" t="inlineStr">
        <is>
          <t>https://www.poppy.bank/business-checking-accounts/</t>
        </is>
      </c>
    </row>
    <row r="43" ht="15.75" customHeight="1">
      <c r="A43" s="96" t="n"/>
      <c r="B43" s="102" t="inlineStr">
        <is>
          <t>First Entertainment CU (=Elan)</t>
        </is>
      </c>
      <c r="C43" s="102" t="inlineStr">
        <is>
          <t>Credit Union</t>
        </is>
      </c>
      <c r="D43" s="102" t="inlineStr">
        <is>
          <t>SoCal / Hollywood-LA</t>
        </is>
      </c>
      <c r="E43" s="102" t="inlineStr">
        <is>
          <t>Hollywood, CA</t>
        </is>
      </c>
      <c r="F43" s="102" t="inlineStr">
        <is>
          <t>~$2.06B</t>
        </is>
      </c>
      <c r="G43" s="102" t="inlineStr">
        <is>
          <t>NO - white-label</t>
        </is>
      </c>
      <c r="H43" s="102" t="inlineStr">
        <is>
          <t>Elan Financial Services (U.S. Bank)  ** NO-GO by extension **</t>
        </is>
      </c>
      <c r="I43" s="102" t="inlineStr">
        <is>
          <t>forum: EX; Elan usually TU (UNVERIFIED)</t>
        </is>
      </c>
      <c r="J43" s="102" t="inlineStr">
        <is>
          <t>No in good standing (Elan delinquency-only; inferred)</t>
        </is>
      </c>
      <c r="K43" s="102" t="inlineStr">
        <is>
          <t>$500-$30,000 (advertised); 0% 12mo; $0 AF</t>
        </is>
      </c>
      <c r="L43" s="102" t="inlineStr">
        <is>
          <t>No online biz-card app (email BusinessBanking@firstent.org / 323-436-4362)</t>
        </is>
      </c>
      <c r="M43" s="102" t="inlineStr">
        <is>
          <t>Membership share; biz-card-specific dep N/M</t>
        </is>
      </c>
      <c r="N43" s="102" t="inlineStr">
        <is>
          <t>FOM: LA County or entertainment employers + family; NO open path</t>
        </is>
      </c>
      <c r="O43" s="102" t="inlineStr">
        <is>
          <t>[M] Self underwritten. Pulls EX.</t>
        </is>
      </c>
      <c r="P43" s="102" t="inlineStr">
        <is>
          <t>REFUTED / NO-GO</t>
        </is>
      </c>
      <c r="Q43" s="102" t="inlineStr">
        <is>
          <t>Identity HIGH; Elan issuer MED-HIGH / 2026-05-29</t>
        </is>
      </c>
      <c r="R43" s="102" t="inlineStr">
        <is>
          <t>https://www.firstent.org/business/credit-cards/</t>
        </is>
      </c>
    </row>
    <row r="44" ht="15.75" customHeight="1">
      <c r="A44" s="96" t="n"/>
      <c r="B44" s="102" t="inlineStr">
        <is>
          <t>Valley National Bank (=Elan)</t>
        </is>
      </c>
      <c r="C44" s="102" t="inlineStr">
        <is>
          <t>N/M</t>
        </is>
      </c>
      <c r="D44" s="102" t="inlineStr">
        <is>
          <t>N/M</t>
        </is>
      </c>
      <c r="E44" s="102" t="inlineStr">
        <is>
          <t>N/M</t>
        </is>
      </c>
      <c r="F44" s="102" t="inlineStr">
        <is>
          <t>N/M</t>
        </is>
      </c>
      <c r="G44" s="102" t="inlineStr">
        <is>
          <t>N/M</t>
        </is>
      </c>
      <c r="H44" s="102" t="inlineStr">
        <is>
          <t>N/M</t>
        </is>
      </c>
      <c r="I44" s="102" t="inlineStr">
        <is>
          <t>N/M</t>
        </is>
      </c>
      <c r="J44" s="102" t="inlineStr">
        <is>
          <t>N/M</t>
        </is>
      </c>
      <c r="K44" s="102" t="inlineStr">
        <is>
          <t>N/M</t>
        </is>
      </c>
      <c r="L44" s="102" t="inlineStr">
        <is>
          <t>N/M</t>
        </is>
      </c>
      <c r="M44" s="102" t="inlineStr">
        <is>
          <t>N/M</t>
        </is>
      </c>
      <c r="N44" s="102" t="inlineStr">
        <is>
          <t>N/M</t>
        </is>
      </c>
      <c r="O44" s="102" t="inlineStr">
        <is>
          <t>[M] 'ELAN now?' Pulls TU.  ** ELAN is on NO-GO list -&gt; Valley = NO-GO by extension. **</t>
        </is>
      </c>
      <c r="P44" s="102" t="inlineStr">
        <is>
          <t>REFUTED / NO-GO</t>
        </is>
      </c>
      <c r="Q44" s="102" t="inlineStr">
        <is>
          <t>N/M</t>
        </is>
      </c>
      <c r="R44" s="102" t="inlineStr">
        <is>
          <t>N/M</t>
        </is>
      </c>
    </row>
    <row r="45" ht="15.75" customHeight="1">
      <c r="A45" s="96" t="n"/>
      <c r="B45" s="102" t="inlineStr">
        <is>
          <t>Bank of the West (=BMO now)</t>
        </is>
      </c>
      <c r="C45" s="102" t="inlineStr">
        <is>
          <t>N/M</t>
        </is>
      </c>
      <c r="D45" s="102" t="inlineStr">
        <is>
          <t>N/M</t>
        </is>
      </c>
      <c r="E45" s="102" t="inlineStr">
        <is>
          <t>N/M</t>
        </is>
      </c>
      <c r="F45" s="102" t="inlineStr">
        <is>
          <t>N/M</t>
        </is>
      </c>
      <c r="G45" s="102" t="inlineStr">
        <is>
          <t>N/M</t>
        </is>
      </c>
      <c r="H45" s="102" t="inlineStr">
        <is>
          <t>N/M</t>
        </is>
      </c>
      <c r="I45" s="102" t="inlineStr">
        <is>
          <t>N/M</t>
        </is>
      </c>
      <c r="J45" s="102" t="inlineStr">
        <is>
          <t>N/M</t>
        </is>
      </c>
      <c r="K45" s="102" t="inlineStr">
        <is>
          <t>N/M</t>
        </is>
      </c>
      <c r="L45" s="102" t="inlineStr">
        <is>
          <t>N/M</t>
        </is>
      </c>
      <c r="M45" s="102" t="inlineStr">
        <is>
          <t>N/M</t>
        </is>
      </c>
      <c r="N45" s="102" t="inlineStr">
        <is>
          <t>N/M</t>
        </is>
      </c>
      <c r="O45" s="102" t="inlineStr">
        <is>
          <t>[M] Self underwritten. Pulls TU.  ** Now BMO; brand retired. **</t>
        </is>
      </c>
      <c r="P45" s="102" t="inlineStr">
        <is>
          <t>Corroborated by base</t>
        </is>
      </c>
      <c r="Q45" s="102" t="inlineStr">
        <is>
          <t>N/M</t>
        </is>
      </c>
      <c r="R45" s="102" t="inlineStr">
        <is>
          <t>N/M</t>
        </is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5:R25"/>
    <mergeCell ref="A2:R2"/>
    <mergeCell ref="A1:R1"/>
    <mergeCell ref="A5:R5"/>
    <mergeCell ref="A17:R17"/>
    <mergeCell ref="A31:R31"/>
    <mergeCell ref="A40:R40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</cols>
  <sheetData>
    <row r="1">
      <c r="A1" s="90" t="inlineStr">
        <is>
          <t>FULL RESEARCH MASTER - 164 CA institutions (Alan's base research, pre-sourced ~2026-05-28). Sort by 'SoCal Priority'.</t>
        </is>
      </c>
    </row>
    <row r="3">
      <c r="A3" s="92" t="inlineStr">
        <is>
          <t>Rec Rank</t>
        </is>
      </c>
      <c r="B3" s="92" t="inlineStr">
        <is>
          <t>Rec Pick #</t>
        </is>
      </c>
      <c r="C3" s="92" t="inlineStr">
        <is>
          <t>Bank</t>
        </is>
      </c>
      <c r="D3" s="92" t="inlineStr">
        <is>
          <t>Type</t>
        </is>
      </c>
      <c r="E3" s="92" t="inlineStr">
        <is>
          <t>SoCal Priority</t>
        </is>
      </c>
      <c r="F3" s="92" t="inlineStr">
        <is>
          <t>Meets Gold?</t>
        </is>
      </c>
      <c r="G3" s="92" t="inlineStr">
        <is>
          <t>Est. Credit Limit</t>
        </is>
      </c>
      <c r="H3" s="92" t="inlineStr">
        <is>
          <t>Assets</t>
        </is>
      </c>
      <c r="I3" s="92" t="inlineStr">
        <is>
          <t>Deposits</t>
        </is>
      </c>
      <c r="J3" s="92" t="inlineStr">
        <is>
          <t>CA Footprint</t>
        </is>
      </c>
      <c r="K3" s="92" t="inlineStr">
        <is>
          <t>CA Presence</t>
        </is>
      </c>
      <c r="L3" s="92" t="inlineStr">
        <is>
          <t>Self-UW?</t>
        </is>
      </c>
      <c r="M3" s="92" t="inlineStr">
        <is>
          <t>Business Card?</t>
        </is>
      </c>
      <c r="N3" s="92" t="inlineStr">
        <is>
          <t>Underwriter</t>
        </is>
      </c>
      <c r="O3" s="92" t="inlineStr">
        <is>
          <t>Apply</t>
        </is>
      </c>
      <c r="P3" s="92" t="inlineStr">
        <is>
          <t>How to Apply</t>
        </is>
      </c>
      <c r="Q3" s="92" t="inlineStr">
        <is>
          <t>Website</t>
        </is>
      </c>
      <c r="R3" s="92" t="inlineStr">
        <is>
          <t>Biz Card Link</t>
        </is>
      </c>
      <c r="S3" s="92" t="inlineStr">
        <is>
          <t>HP Bureau</t>
        </is>
      </c>
      <c r="T3" s="92" t="inlineStr">
        <is>
          <t>Reports To (biz bureaus)</t>
        </is>
      </c>
      <c r="U3" s="92" t="inlineStr">
        <is>
          <t>Approval Info &amp; Limits (+link)</t>
        </is>
      </c>
      <c r="V3" s="92" t="inlineStr">
        <is>
          <t>No-Doc Fit (/5)</t>
        </is>
      </c>
      <c r="W3" s="92" t="inlineStr">
        <is>
          <t>Tier</t>
        </is>
      </c>
      <c r="X3" s="92" t="inlineStr">
        <is>
          <t>PG / Tax Returns</t>
        </is>
      </c>
      <c r="Y3" s="92" t="inlineStr">
        <is>
          <t>Other No-Doc Funding</t>
        </is>
      </c>
      <c r="Z3" s="92" t="inlineStr">
        <is>
          <t>Deposit Acct?</t>
        </is>
      </c>
      <c r="AA3" s="92" t="inlineStr">
        <is>
          <t>Best For</t>
        </is>
      </c>
      <c r="AB3" s="92" t="inlineStr">
        <is>
          <t>Card Products</t>
        </is>
      </c>
      <c r="AC3" s="92" t="inlineStr">
        <is>
          <t>Region / Metro</t>
        </is>
      </c>
      <c r="AD3" s="92" t="inlineStr">
        <is>
          <t>City (HQ)</t>
        </is>
      </c>
      <c r="AE3" s="92" t="inlineStr">
        <is>
          <t>Asset Rank</t>
        </is>
      </c>
      <c r="AF3" s="92" t="inlineStr">
        <is>
          <t>Confidence / Date</t>
        </is>
      </c>
      <c r="AG3" s="92" t="inlineStr">
        <is>
          <t>Sources</t>
        </is>
      </c>
    </row>
    <row r="4">
      <c r="A4" s="96" t="inlineStr">
        <is>
          <t>1</t>
        </is>
      </c>
      <c r="B4" s="96" t="inlineStr">
        <is>
          <t>1</t>
        </is>
      </c>
      <c r="C4" s="103" t="inlineStr">
        <is>
          <t>Chase (JPMorgan Chase)</t>
        </is>
      </c>
      <c r="D4" s="96" t="inlineStr">
        <is>
          <t>National</t>
        </is>
      </c>
      <c r="E4" s="96" t="inlineStr">
        <is>
          <t>National (lends in CA)</t>
        </is>
      </c>
      <c r="F4" s="96" t="inlineStr">
        <is>
          <t>3/4  ✓SUW ✓Onl ✗SoCal ✓Card</t>
        </is>
      </c>
      <c r="G4" s="96" t="inlineStr">
        <is>
          <t>$5K–$36K (2mo biz→$5K; $500K rev→$16K)  [myFICO #6803261]</t>
        </is>
      </c>
      <c r="H4" s="96" t="inlineStr">
        <is>
          <t>~$4.9T (largest US bank)</t>
        </is>
      </c>
      <c r="I4" s="96" t="inlineStr">
        <is>
          <t>~$2.7T</t>
        </is>
      </c>
      <c r="J4" s="96" t="inlineStr">
        <is>
          <t>National; extensive CA retail + business presence</t>
        </is>
      </c>
      <c r="K4" s="96" t="inlineStr">
        <is>
          <t>Major CA (branches + lending)</t>
        </is>
      </c>
      <c r="L4" s="96" t="inlineStr">
        <is>
          <t>Yes</t>
        </is>
      </c>
      <c r="M4" s="96" t="inlineStr">
        <is>
          <t>✅ Ink Cash/Unlimited: 0% 12 mo, $0 AF; Ink Preferred $95; Ink Premier $195</t>
        </is>
      </c>
      <c r="N4" s="96" t="inlineStr">
        <is>
          <t>Self (JPMorgan Chase Bank NA)</t>
        </is>
      </c>
      <c r="O4" s="96" t="inlineStr">
        <is>
          <t>Online</t>
        </is>
      </c>
      <c r="P4" s="96" t="inlineStr">
        <is>
          <t>Online — apply at https://creditcards.chase.com/business-credit-cards/ink/cash</t>
        </is>
      </c>
      <c r="Q4" s="96" t="inlineStr">
        <is>
          <t>https://creditcards.chase.com/business-credit-cards</t>
        </is>
      </c>
      <c r="R4" s="96" t="inlineStr">
        <is>
          <t>https://creditcards.chase.com/business-credit-cards/ink/cash</t>
        </is>
      </c>
      <c r="S4" s="96" t="inlineStr">
        <is>
          <t>Experian-lean (CA mixed EX/EQ; verify)</t>
        </is>
      </c>
      <c r="T4" s="96" t="inlineStr">
        <is>
          <t>Personal: only on default (Ink doesn't ADD to 5/24). Business: per-product, conflicting -&gt; N/M</t>
        </is>
      </c>
      <c r="U4" s="96" t="inlineStr">
        <is>
          <t>5/24 GATE: 5+ new personal cards/24mo = denied; but Ink doesn't add to the count. 'Ink train': ~1 Ink per 90 days (wait 4-6mo); 4 open Inks -&gt; ~0% odds. Limits $5K-$36K; 2mo-old biz-&gt;$5K, $500K rev-&gt;$16K. myfico.com #6803261 / #6823313</t>
        </is>
      </c>
      <c r="V4" s="96" t="inlineStr">
        <is>
          <t>3</t>
        </is>
      </c>
      <c r="W4" s="96" t="inlineStr">
        <is>
          <t>A — Self-UW, apply online</t>
        </is>
      </c>
      <c r="X4" s="96" t="inlineStr">
        <is>
          <t>PG yes; NO tax returns (cards)</t>
        </is>
      </c>
      <c r="Y4" s="96" t="inlineStr">
        <is>
          <t>Chase Business Line of Credit (existing customers; data-only path ~$100K+ rev, FICO 660+)</t>
        </is>
      </c>
      <c r="Z4" s="96" t="inlineStr">
        <is>
          <t>No (Business LOC path needs Chase deposit acct)</t>
        </is>
      </c>
      <c r="AA4" s="96" t="inlineStr">
        <is>
          <t>★ The 'Ink train' — stack multiple Inks</t>
        </is>
      </c>
      <c r="AB4" s="96" t="inlineStr">
        <is>
          <t>Ink Business Cash, Ink Business Unlimited, Ink Business Preferred ($95), Ink Business Premier ($195)</t>
        </is>
      </c>
      <c r="AC4" s="96" t="inlineStr">
        <is>
          <t>National — branches + biz banking statewide in CA</t>
        </is>
      </c>
      <c r="AD4" s="96" t="inlineStr">
        <is>
          <t>New York, NY</t>
        </is>
      </c>
      <c r="AE4" s="96" t="inlineStr">
        <is>
          <t>Natl</t>
        </is>
      </c>
      <c r="AF4" s="96" t="inlineStr">
        <is>
          <t>HIGH self/lineup/terms/5-24/Ink-train/personal-default-only; N/M per-product business reporting. 2026-05-28</t>
        </is>
      </c>
      <c r="AG4" s="96" t="inlineStr">
        <is>
          <t>creditcards.chase.com/business-credit-cards/ink; doctorofcredit.com (5/24, Chase pull); thepointsguy.com; myfico.com #6803261</t>
        </is>
      </c>
    </row>
    <row r="5">
      <c r="A5" s="96" t="inlineStr">
        <is>
          <t>2</t>
        </is>
      </c>
      <c r="B5" s="96" t="inlineStr">
        <is>
          <t>2</t>
        </is>
      </c>
      <c r="C5" s="103" t="inlineStr">
        <is>
          <t>Bank of America</t>
        </is>
      </c>
      <c r="D5" s="96" t="inlineStr">
        <is>
          <t>National</t>
        </is>
      </c>
      <c r="E5" s="96" t="inlineStr">
        <is>
          <t>National (lends in CA)</t>
        </is>
      </c>
      <c r="F5" s="96" t="inlineStr">
        <is>
          <t>3/4  ✓SUW ✓Onl ✗SoCal ✓Card</t>
        </is>
      </c>
      <c r="G5" s="96" t="inlineStr">
        <is>
          <t>$8K–$16K typ.; up to $39.5K instant  [myFICO #6510094]</t>
        </is>
      </c>
      <c r="H5" s="96" t="inlineStr">
        <is>
          <t>~$3.41T</t>
        </is>
      </c>
      <c r="I5" s="96" t="inlineStr">
        <is>
          <t>—</t>
        </is>
      </c>
      <c r="J5" s="96" t="inlineStr">
        <is>
          <t>~1,065 CA financial centers (most of any state)</t>
        </is>
      </c>
      <c r="K5" s="96" t="inlineStr">
        <is>
          <t>Major CA (branches + lending)</t>
        </is>
      </c>
      <c r="L5" s="96" t="inlineStr">
        <is>
          <t>Yes</t>
        </is>
      </c>
      <c r="M5" s="96" t="inlineStr">
        <is>
          <t>✅ Business Advantage Cash/Travel: 0% 7-9 cyc, $0 AF; + secured</t>
        </is>
      </c>
      <c r="N5" s="96" t="inlineStr">
        <is>
          <t>Self (Bank of America NA)</t>
        </is>
      </c>
      <c r="O5" s="96" t="inlineStr">
        <is>
          <t>Online</t>
        </is>
      </c>
      <c r="P5" s="96" t="inlineStr">
        <is>
          <t>Online — apply at https://business.bankofamerica.com/en/credit-cards/business-advantage-unlimited-cash-rewards</t>
        </is>
      </c>
      <c r="Q5" s="96" t="inlineStr">
        <is>
          <t>https://business.bankofamerica.com/en/credit-cards</t>
        </is>
      </c>
      <c r="R5" s="96" t="inlineStr">
        <is>
          <t>https://business.bankofamerica.com/en/credit-cards/business-advantage-unlimited-cash-rewards</t>
        </is>
      </c>
      <c r="S5" s="96" t="inlineStr">
        <is>
          <t>Experian-dominant in CA (DoC CA: 15 EX / 6 TU / 4 EQ)</t>
        </is>
      </c>
      <c r="T5" s="96" t="inlineStr">
        <is>
          <t>Personal: only on serious delinquency. Business: SBFE (D&amp;B indirect)</t>
        </is>
      </c>
      <c r="U5" s="96" t="inlineStr">
        <is>
          <t>7/12 rule (personal); BUSINESS cards largely EXEMPT + don't add to personal 5/24 -&gt; known workaround. Limits $8-16K typical, up to $39.5K instant. Existing BofA/Merrill relationship is the big lever. Preferred Rewards for Business +25/50/75% rewards. CLI request = hard pull. myfico.com #6510094 / #6816689</t>
        </is>
      </c>
      <c r="V5" s="96" t="inlineStr">
        <is>
          <t>3</t>
        </is>
      </c>
      <c r="W5" s="96" t="inlineStr">
        <is>
          <t>A — Self-UW, apply online</t>
        </is>
      </c>
      <c r="X5" s="96" t="inlineStr">
        <is>
          <t>PG yes (SSN); NO tax returns for cards (large/recon requests may ask 2yr returns)</t>
        </is>
      </c>
      <c r="Y5" s="96" t="inlineStr">
        <is>
          <t>Unsecured Business LOC (2yr, $100K rev — full-doc, NOT no-doc); Cash-Secured LOC easier</t>
        </is>
      </c>
      <c r="Z5" s="96" t="inlineStr">
        <is>
          <t>No (unsecured)</t>
        </is>
      </c>
      <c r="AA5" s="96" t="inlineStr">
        <is>
          <t>★ No-doc 0% card — apply online</t>
        </is>
      </c>
      <c r="AB5" s="96" t="inlineStr">
        <is>
          <t>Business Advantage Customized Cash Rewards, Unlimited Cash Rewards, Travel Rewards, + Secured</t>
        </is>
      </c>
      <c r="AC5" s="96" t="inlineStr">
        <is>
          <t>National — LARGEST CA branch network</t>
        </is>
      </c>
      <c r="AD5" s="96" t="inlineStr">
        <is>
          <t>Charlotte, NC</t>
        </is>
      </c>
      <c r="AE5" s="96" t="inlineStr">
        <is>
          <t>Natl</t>
        </is>
      </c>
      <c r="AF5" s="96" t="inlineStr">
        <is>
          <t>HIGH self/lineup/SBFE/personal-default-only/CA-footprint/7-12-exempt; MED exact 0% length (7 vs 9). 2026-05-28</t>
        </is>
      </c>
      <c r="AG5" s="96" t="inlineStr">
        <is>
          <t>business.bankofamerica.com cards; doctorofcredit.com (BofA pull CA, 7/12); wallethub.com; myfico.com #6510094</t>
        </is>
      </c>
    </row>
    <row r="6">
      <c r="A6" s="96" t="inlineStr">
        <is>
          <t>3</t>
        </is>
      </c>
      <c r="B6" s="96" t="inlineStr">
        <is>
          <t>3</t>
        </is>
      </c>
      <c r="C6" s="103" t="inlineStr">
        <is>
          <t>Wells Fargo</t>
        </is>
      </c>
      <c r="D6" s="96" t="inlineStr">
        <is>
          <t>National</t>
        </is>
      </c>
      <c r="E6" s="96" t="inlineStr">
        <is>
          <t>National (lends in CA)</t>
        </is>
      </c>
      <c r="F6" s="96" t="inlineStr">
        <is>
          <t>3/4  ✓SUW ✓Onl ✗SoCal ✓Card</t>
        </is>
      </c>
      <c r="G6" s="96" t="inlineStr">
        <is>
          <t>Signify $15K–$60K ($2.5K min guaranteed)  [myFICO #6773132]</t>
        </is>
      </c>
      <c r="H6" s="96" t="inlineStr">
        <is>
          <t>~$2.21T</t>
        </is>
      </c>
      <c r="I6" s="96" t="inlineStr">
        <is>
          <t>—</t>
        </is>
      </c>
      <c r="J6" s="96" t="inlineStr">
        <is>
          <t>HQ San Francisco; extensive statewide CA branches</t>
        </is>
      </c>
      <c r="K6" s="96" t="inlineStr">
        <is>
          <t>Major CA (branches + lending)</t>
        </is>
      </c>
      <c r="L6" s="96" t="inlineStr">
        <is>
          <t>Yes</t>
        </is>
      </c>
      <c r="M6" s="96" t="inlineStr">
        <is>
          <t>✅ Signify Business Cash: 0% 12 mo, $0 AF, 2% (ONLY card open to new apps)</t>
        </is>
      </c>
      <c r="N6" s="96" t="inlineStr">
        <is>
          <t>Self (Wells Fargo Bank NA)</t>
        </is>
      </c>
      <c r="O6" s="96" t="inlineStr">
        <is>
          <t>Online</t>
        </is>
      </c>
      <c r="P6" s="96" t="inlineStr">
        <is>
          <t>Online — apply at https://www.wellsfargo.com/biz/business-credit/credit-cards/signify-business-cash-credit-card-terms-conditions/</t>
        </is>
      </c>
      <c r="Q6" s="96" t="inlineStr">
        <is>
          <t>https://www.wellsfargo.com/biz/business-credit/credit-cards/</t>
        </is>
      </c>
      <c r="R6" s="96" t="inlineStr">
        <is>
          <t>https://www.wellsfargo.com/biz/business-credit/credit-cards/signify-business-cash-credit-card-terms-conditions/</t>
        </is>
      </c>
      <c r="S6" s="96" t="inlineStr">
        <is>
          <t>CA = Experian-dominant (DoC CA: 9 EX / 2 TU / 1 EQ)</t>
        </is>
      </c>
      <c r="T6" s="96" t="inlineStr">
        <is>
          <t>Personal: NEVER (does not report to consumer bureaus). Business: SBFE</t>
        </is>
      </c>
      <c r="U6" s="96" t="inlineStr">
        <is>
          <t>1/6 rule (loosely enforced w/ relationship); biz cards separate track, don't count to 5/24. Signify limits $15K-$60K ($2,500 min guaranteed). Online path favors existing WF customers (~60-day acct DP). myfico.com #6773132 / #6756650</t>
        </is>
      </c>
      <c r="V6" s="96" t="inlineStr">
        <is>
          <t>4</t>
        </is>
      </c>
      <c r="W6" s="96" t="inlineStr">
        <is>
          <t>A — Self-UW, apply online</t>
        </is>
      </c>
      <c r="X6" s="96" t="inlineStr">
        <is>
          <t>PG yes (Account Guarantor); NO tax returns (cards)</t>
        </is>
      </c>
      <c r="Y6" s="96" t="inlineStr">
        <is>
          <t>BusinessLine LOC (Prime+1.75-9.75%; usually 2yr returns — not no-doc by default)</t>
        </is>
      </c>
      <c r="Z6" s="96" t="inlineStr">
        <is>
          <t>No (WF account optional, for overdraft)</t>
        </is>
      </c>
      <c r="AA6" s="96" t="inlineStr">
        <is>
          <t>★ Never reports to personal (CA-HQ)</t>
        </is>
      </c>
      <c r="AB6" s="96" t="inlineStr">
        <is>
          <t>Signify Business Cash (OPEN); Business Elite Signature + Business Platinum (CLOSED to new apps)</t>
        </is>
      </c>
      <c r="AC6" s="96" t="inlineStr">
        <is>
          <t>National — HQ in CA; huge CA branch network</t>
        </is>
      </c>
      <c r="AD6" s="96" t="inlineStr">
        <is>
          <t>San Francisco, CA</t>
        </is>
      </c>
      <c r="AE6" s="96" t="inlineStr">
        <is>
          <t>Natl</t>
        </is>
      </c>
      <c r="AF6" s="96" t="inlineStr">
        <is>
          <t>HIGH self/Signify-terms/SBFE/personal-NEVER/CA-HQ; MED only-Signify-open. 2026-05-28</t>
        </is>
      </c>
      <c r="AG6" s="96" t="inlineStr">
        <is>
          <t>wellsfargo.com Signify T&amp;C + agreement (SBFE, PG); doctorofcredit.com (WF pull CA); myfico.com #6773132</t>
        </is>
      </c>
    </row>
    <row r="7">
      <c r="A7" s="96" t="inlineStr">
        <is>
          <t>4</t>
        </is>
      </c>
      <c r="B7" s="96" t="inlineStr">
        <is>
          <t>4</t>
        </is>
      </c>
      <c r="C7" s="103" t="inlineStr">
        <is>
          <t>U.S. Bank (direct)</t>
        </is>
      </c>
      <c r="D7" s="96" t="inlineStr">
        <is>
          <t>National</t>
        </is>
      </c>
      <c r="E7" s="96" t="inlineStr">
        <is>
          <t>National (lends in CA)</t>
        </is>
      </c>
      <c r="F7" s="96" t="inlineStr">
        <is>
          <t>3/4  ✓SUW ✓Onl ✗SoCal ✓Card</t>
        </is>
      </c>
      <c r="G7" s="96" t="inlineStr">
        <is>
          <t>$3K–$10K typ.; $20K–$35K strong/long-relationship  [myFICO #6845780]</t>
        </is>
      </c>
      <c r="H7" s="96" t="inlineStr">
        <is>
          <t>~$695B (5th-largest US bank)</t>
        </is>
      </c>
      <c r="I7" s="96" t="inlineStr">
        <is>
          <t>—</t>
        </is>
      </c>
      <c r="J7" s="96" t="inlineStr">
        <is>
          <t>National; large West/CA branch network</t>
        </is>
      </c>
      <c r="K7" s="96" t="inlineStr">
        <is>
          <t>Major CA (branches + lending)</t>
        </is>
      </c>
      <c r="L7" s="96" t="inlineStr">
        <is>
          <t>Yes</t>
        </is>
      </c>
      <c r="M7" s="96" t="inlineStr">
        <is>
          <t>✅ Triple Cash: 0% 12 cyc, $0 AF, 3% cats; Business Shield/Platinum: 0% UP TO 18 cyc (in-branch) / 12 (online)</t>
        </is>
      </c>
      <c r="N7" s="96" t="inlineStr">
        <is>
          <t>Self (U.S. Bank NA)</t>
        </is>
      </c>
      <c r="O7" s="96" t="inlineStr">
        <is>
          <t>Online</t>
        </is>
      </c>
      <c r="P7" s="96" t="inlineStr">
        <is>
          <t>Online — apply at https://www.usbank.com/business-banking/business-credit-cards/business-triple-cash-back-credit-card.html</t>
        </is>
      </c>
      <c r="Q7" s="96" t="inlineStr">
        <is>
          <t>https://www.usbank.com/business-banking/business-credit-cards.html</t>
        </is>
      </c>
      <c r="R7" s="96" t="inlineStr">
        <is>
          <t>https://www.usbank.com/business-banking/business-credit-cards/business-triple-cash-back-credit-card.html</t>
        </is>
      </c>
      <c r="S7" s="96" t="inlineStr">
        <is>
          <t>TransUnion-dominant (varies by state)</t>
        </is>
      </c>
      <c r="T7" s="96" t="inlineStr">
        <is>
          <t>Personal: NEVER in good standing. Business: D&amp;B + SBFE only (NOT Experian-Biz/Equifax-Biz)</t>
        </is>
      </c>
      <c r="U7" s="96" t="inlineStr">
        <is>
          <t>DISTINCT from Elan (US Bank's agent arm) — counted as SEPARATE issuers (one applicant: US Bank-direct $20K + Elan SouthState $15K same profile). Limits $3-10K typical, $20-35K strong/long-relationship. Soft-pull CLIs reported. myfico.com #6845780 / #6608888</t>
        </is>
      </c>
      <c r="V7" s="96" t="inlineStr">
        <is>
          <t>4</t>
        </is>
      </c>
      <c r="W7" s="96" t="inlineStr">
        <is>
          <t>A — Self-UW, apply online</t>
        </is>
      </c>
      <c r="X7" s="96" t="inlineStr">
        <is>
          <t>PG yes; NO tax returns (cards)</t>
        </is>
      </c>
      <c r="Y7" s="96" t="inlineStr">
        <is>
          <t>Cash Flow Manager LOC &lt;=$250K (may request returns — not truly no-doc)</t>
        </is>
      </c>
      <c r="Z7" s="96" t="inlineStr">
        <is>
          <t>No</t>
        </is>
      </c>
      <c r="AA7" s="96" t="inlineStr">
        <is>
          <t>★ 0% up to 18 cyc + never reports personal</t>
        </is>
      </c>
      <c r="AB7" s="96" t="inlineStr">
        <is>
          <t>Triple Cash Rewards, Business Leverage ($95), Business Altitude Connect/Power, Business Platinum/Shield</t>
        </is>
      </c>
      <c r="AC7" s="96" t="inlineStr">
        <is>
          <t>National — branches + biz banking in CA</t>
        </is>
      </c>
      <c r="AD7" s="96" t="inlineStr">
        <is>
          <t>Minneapolis, MN</t>
        </is>
      </c>
      <c r="AE7" s="96" t="inlineStr">
        <is>
          <t>Natl</t>
        </is>
      </c>
      <c r="AF7" s="96" t="inlineStr">
        <is>
          <t>HIGH self/disclosures/terms/D&amp;B+SBFE/personal-NEVER; MED HP-map. DISTINCT from Elan agent program. 2026-05-28</t>
        </is>
      </c>
      <c r="AG7" s="96" t="inlineStr">
        <is>
          <t>usbank.com business cards (creditor disclosures) + KB0096233 (D&amp;B+SBFE); ir.usbank.com (18-cyc); myfico.com #6845780</t>
        </is>
      </c>
    </row>
    <row r="8">
      <c r="A8" s="96" t="inlineStr">
        <is>
          <t>5</t>
        </is>
      </c>
      <c r="B8" s="96" t="inlineStr">
        <is>
          <t>5</t>
        </is>
      </c>
      <c r="C8" s="103" t="inlineStr">
        <is>
          <t>American Express</t>
        </is>
      </c>
      <c r="D8" s="96" t="inlineStr">
        <is>
          <t>National</t>
        </is>
      </c>
      <c r="E8" s="96" t="inlineStr">
        <is>
          <t>National (lends in CA)</t>
        </is>
      </c>
      <c r="F8" s="96" t="inlineStr">
        <is>
          <t>3/4  ✓SUW ✓Onl ✗SoCal ✓Card</t>
        </is>
      </c>
      <c r="G8" s="96" t="inlineStr">
        <is>
          <t>$6K–$20K (Blue Business); charge NPSL $10K–$250K  [myFICO #6507116]</t>
        </is>
      </c>
      <c r="H8" s="96" t="inlineStr">
        <is>
          <t>~$300B (Amex Co.)</t>
        </is>
      </c>
      <c r="I8" s="96" t="inlineStr">
        <is>
          <t>—</t>
        </is>
      </c>
      <c r="J8" s="96" t="inlineStr">
        <is>
          <t>National online issuer; no branch needed</t>
        </is>
      </c>
      <c r="K8" s="96" t="inlineStr">
        <is>
          <t>Online to CA (pure card issuer, no branch needed)</t>
        </is>
      </c>
      <c r="L8" s="96" t="inlineStr">
        <is>
          <t>Yes</t>
        </is>
      </c>
      <c r="M8" s="96" t="inlineStr">
        <is>
          <t>✅ Blue Business Plus/Cash: 0% 12 mo, $0 AF, 2x/2%; Business Platinum/Gold = charge (No Preset Limit)</t>
        </is>
      </c>
      <c r="N8" s="96" t="inlineStr">
        <is>
          <t>Self (American Express NB)</t>
        </is>
      </c>
      <c r="O8" s="96" t="inlineStr">
        <is>
          <t>Online</t>
        </is>
      </c>
      <c r="P8" s="96" t="inlineStr">
        <is>
          <t>Online — apply at https://www.americanexpress.com/us/credit-cards/business/business-credit-cards/american-express-blue-business-plus-credit-card-amex/</t>
        </is>
      </c>
      <c r="Q8" s="96" t="inlineStr">
        <is>
          <t>https://www.americanexpress.com/us/credit-cards/business/business-credit-cards/</t>
        </is>
      </c>
      <c r="R8" s="96" t="inlineStr">
        <is>
          <t>https://www.americanexpress.com/us/credit-cards/business/business-credit-cards/american-express-blue-business-plus-credit-card-amex/</t>
        </is>
      </c>
      <c r="S8" s="96" t="inlineStr">
        <is>
          <t>Experian (~90% of apps; rare TU/EQ)</t>
        </is>
      </c>
      <c r="T8" s="96" t="inlineStr">
        <is>
          <t>Personal: only on default (60+ days). Business: weak — SBFE/derogatory; positive D&amp;B/EX-Biz NOT reliable</t>
        </is>
      </c>
      <c r="U8" s="96" t="inlineStr">
        <is>
          <t>VELOCITY: 1-in-5-days, 2-in-90 (CHARGE cards EXEMPT), 5-credit-card limit (charge cards don't count) -&gt; stack charge cards. Blue Business limits ~$6-20K (750 FICO-&gt;$3K, ~3x grows in ~3mo). Business Platinum NPSL spend-power $10K-$250K by profile. myfico.com #6507116 / #4995093</t>
        </is>
      </c>
      <c r="V8" s="96" t="inlineStr">
        <is>
          <t>3</t>
        </is>
      </c>
      <c r="W8" s="96" t="inlineStr">
        <is>
          <t>A — Self-UW, apply online</t>
        </is>
      </c>
      <c r="X8" s="96" t="inlineStr">
        <is>
          <t>PG yes; NO tax returns (cards). Business LOC verifies via bank-link (no returns)</t>
        </is>
      </c>
      <c r="Y8" s="96" t="inlineStr">
        <is>
          <t>Amex Business Line of Credit $2K-$250K — doc-free via bank-account link (FICO 660+, 12mo, $3K/mo rev)</t>
        </is>
      </c>
      <c r="Z8" s="96" t="inlineStr">
        <is>
          <t>No</t>
        </is>
      </c>
      <c r="AA8" s="96" t="inlineStr">
        <is>
          <t>★ Highest limits + charge-card velocity</t>
        </is>
      </c>
      <c r="AB8" s="96" t="inlineStr">
        <is>
          <t>Business Platinum, Business Gold, Business Green (charge/NPSL); Blue Business Plus, Blue Business Cash (credit)</t>
        </is>
      </c>
      <c r="AC8" s="96" t="inlineStr">
        <is>
          <t>National — issues/lends in CA</t>
        </is>
      </c>
      <c r="AD8" s="96" t="inlineStr">
        <is>
          <t>New York, NY (issuing bank: Salt Lake City, UT)</t>
        </is>
      </c>
      <c r="AE8" s="96" t="inlineStr">
        <is>
          <t>Natl</t>
        </is>
      </c>
      <c r="AF8" s="96" t="inlineStr">
        <is>
          <t>HIGH self/lineup/velocity/HP=Experian/personal-default-only; MED business-bureau (weak positive). 2026-05-28</t>
        </is>
      </c>
      <c r="AG8" s="96" t="inlineStr">
        <is>
          <t>americanexpress.com business cards + Blueprint BLOC; doctorofcredit.com; FDIC cert 27471; myfico.com #6507116</t>
        </is>
      </c>
    </row>
    <row r="9">
      <c r="A9" s="96" t="inlineStr">
        <is>
          <t>6</t>
        </is>
      </c>
      <c r="B9" s="96" t="inlineStr">
        <is>
          <t>6</t>
        </is>
      </c>
      <c r="C9" s="103" t="inlineStr">
        <is>
          <t>Citi (Citibank)</t>
        </is>
      </c>
      <c r="D9" s="96" t="inlineStr">
        <is>
          <t>National</t>
        </is>
      </c>
      <c r="E9" s="96" t="inlineStr">
        <is>
          <t>National (lends in CA)</t>
        </is>
      </c>
      <c r="F9" s="96" t="inlineStr">
        <is>
          <t>3/4  ✓SUW ✓Onl ✗SoCal ✓Card</t>
        </is>
      </c>
      <c r="G9" s="96" t="inlineStr">
        <is>
          <t>$1.5K–$20K (instant $20K seen)  [myFICO #6155387]</t>
        </is>
      </c>
      <c r="H9" s="96" t="inlineStr">
        <is>
          <t>~$1.76T (Citibank NA)</t>
        </is>
      </c>
      <c r="I9" s="96" t="inlineStr">
        <is>
          <t>—</t>
        </is>
      </c>
      <c r="J9" s="96" t="inlineStr">
        <is>
          <t>~270 CA branches / 171 cities (LA, SF, San Diego, Sacramento)</t>
        </is>
      </c>
      <c r="K9" s="96" t="inlineStr">
        <is>
          <t>Major CA (branches + lending)</t>
        </is>
      </c>
      <c r="L9" s="96" t="inlineStr">
        <is>
          <t>Yes</t>
        </is>
      </c>
      <c r="M9" s="96" t="inlineStr">
        <is>
          <t>⚠️ One biz card (AAdvantage Business); NO 0% intro; 19.49-28.49%; $99 AF (waived yr1)</t>
        </is>
      </c>
      <c r="N9" s="96" t="inlineStr">
        <is>
          <t>Self (Citibank NA)</t>
        </is>
      </c>
      <c r="O9" s="96" t="inlineStr">
        <is>
          <t>Online</t>
        </is>
      </c>
      <c r="P9" s="96" t="inlineStr">
        <is>
          <t>Online — apply at https://www.citi.com/credit-cards/citi-aadvantage-business-credit-card</t>
        </is>
      </c>
      <c r="Q9" s="96" t="inlineStr">
        <is>
          <t>https://www.citi.com/credit-cards/citi-aadvantage-business-credit-card</t>
        </is>
      </c>
      <c r="R9" s="96" t="inlineStr">
        <is>
          <t>https://www.citi.com/credit-cards/citi-aadvantage-business-credit-card</t>
        </is>
      </c>
      <c r="S9" s="96" t="inlineStr">
        <is>
          <t>Experian-primary (anecdotal TU/EQ)</t>
        </is>
      </c>
      <c r="T9" s="96" t="inlineStr">
        <is>
          <t>Personal: no (except default). Business: D&amp;B + Experian-Biz + Equifax-Biz + SBFE, monthly</t>
        </is>
      </c>
      <c r="U9" s="96" t="inlineStr">
        <is>
          <t>8/65 rule (1 Citi card/8 days, 2 per 65 days; personal + biz combined). Doesn't count to Chase 5/24; doesn't report to personal. Limits $1.5K-$20K (instant $20K seen). 700+ FICO. myfico.com #6155387 / #6560887</t>
        </is>
      </c>
      <c r="V9" s="96" t="inlineStr">
        <is>
          <t>3</t>
        </is>
      </c>
      <c r="W9" s="96" t="inlineStr">
        <is>
          <t>A — Self-UW, apply online</t>
        </is>
      </c>
      <c r="X9" s="96" t="inlineStr">
        <is>
          <t>PG yes for small biz (Joint &amp; Several); no-PG 'Corporate Liability' only for $5M+ rev / 2yr firms; NO tax returns</t>
        </is>
      </c>
      <c r="Y9" s="96" t="inlineStr">
        <is>
          <t>None no-doc (SBA/commercial full-doc). The AAdvantage card is the only no-doc-feeling product</t>
        </is>
      </c>
      <c r="Z9" s="96" t="inlineStr">
        <is>
          <t>No</t>
        </is>
      </c>
      <c r="AA9" s="96" t="inlineStr">
        <is>
          <t>★ Doesn't report to personal; no 0%</t>
        </is>
      </c>
      <c r="AB9" s="96" t="inlineStr">
        <is>
          <t>Citi / AAdvantage Business World Elite Mastercard (CitiBusiness ThankYou DISCONTINUED)</t>
        </is>
      </c>
      <c r="AC9" s="96" t="inlineStr">
        <is>
          <t>National — ~270 CA branches</t>
        </is>
      </c>
      <c r="AD9" s="96" t="inlineStr">
        <is>
          <t>Sioux Falls, SD (Citibank NA) / NY (Citigroup)</t>
        </is>
      </c>
      <c r="AE9" s="96" t="inlineStr">
        <is>
          <t>Natl</t>
        </is>
      </c>
      <c r="AF9" s="96" t="inlineStr">
        <is>
          <t>HIGH self/single-card/no-0%/business-bureaus/8-65; MED no-tax-return inference. 2026-05-28</t>
        </is>
      </c>
      <c r="AG9" s="96" t="inlineStr">
        <is>
          <t>citi.com AAdvantage business; creditcards.aa.com (corporate guarantee); doctorofcredit.com (8/65); myfico.com #6155387</t>
        </is>
      </c>
    </row>
    <row r="10">
      <c r="A10" s="96" t="inlineStr">
        <is>
          <t>7</t>
        </is>
      </c>
      <c r="B10" s="96" t="inlineStr">
        <is>
          <t>7</t>
        </is>
      </c>
      <c r="C10" s="103" t="inlineStr">
        <is>
          <t>Capital One</t>
        </is>
      </c>
      <c r="D10" s="96" t="inlineStr">
        <is>
          <t>National</t>
        </is>
      </c>
      <c r="E10" s="96" t="inlineStr">
        <is>
          <t>National (lends in CA)</t>
        </is>
      </c>
      <c r="F10" s="96" t="inlineStr">
        <is>
          <t>3/4  ✓SUW ✓Onl ✗SoCal ✓Card</t>
        </is>
      </c>
      <c r="G10" s="96" t="inlineStr">
        <is>
          <t>$5K–$15K new; $20K–$50K est.; $75K–$100K+ strong  [myFICO #5427942]</t>
        </is>
      </c>
      <c r="H10" s="96" t="inlineStr">
        <is>
          <t>~$669B (post-Discover)</t>
        </is>
      </c>
      <c r="I10" s="96" t="inlineStr">
        <is>
          <t>—</t>
        </is>
      </c>
      <c r="J10" s="96" t="inlineStr">
        <is>
          <t>National card issuer; ~7-state branches (NOT CA); lends nationwide</t>
        </is>
      </c>
      <c r="K10" s="96" t="inlineStr">
        <is>
          <t>Online to CA (pure card issuer, no branch needed)</t>
        </is>
      </c>
      <c r="L10" s="96" t="inlineStr">
        <is>
          <t>Yes</t>
        </is>
      </c>
      <c r="M10" s="96" t="inlineStr">
        <is>
          <t>⚠️ Spark Cash Plus (charge, 2%); Spark Cash (2%, $95); Spark Cash Select (1.5%, $0). NO 0% on main cards. REPORTS TO PERSONAL CREDIT</t>
        </is>
      </c>
      <c r="N10" s="96" t="inlineStr">
        <is>
          <t>Self (Capital One NA / Bank USA NA)</t>
        </is>
      </c>
      <c r="O10" s="96" t="inlineStr">
        <is>
          <t>Online</t>
        </is>
      </c>
      <c r="P10" s="96" t="inlineStr">
        <is>
          <t>Online — apply at https://www.capitalone.com/small-business/credit-cards/spark-cash-plus/</t>
        </is>
      </c>
      <c r="Q10" s="96" t="inlineStr">
        <is>
          <t>https://www.capitalone.com/small-business/credit-cards/</t>
        </is>
      </c>
      <c r="R10" s="96" t="inlineStr">
        <is>
          <t>https://www.capitalone.com/small-business/credit-cards/spark-cash-plus/</t>
        </is>
      </c>
      <c r="S10" s="96" t="inlineStr">
        <is>
          <t>ALL THREE bureaus (EX + EQ + TU triple pull)</t>
        </is>
      </c>
      <c r="T10" s="96" t="inlineStr">
        <is>
          <t>Personal: YES, ALWAYS (Spark Cash/Select report ongoing balances) — EXCEPT Spark Cash Plus / Venture X (default-only). Business: weak/none</t>
        </is>
      </c>
      <c r="U10" s="96" t="inlineStr">
        <is>
          <t>VELOCITY: 1 Capital One card per 6 MONTHS (all personal + biz combined; else auto-deny, no HP). Soft-pull pre-qual available. Limits $5-15K new, $20-50K established, $75-100K+ strong. CLI usually SOFT pull. myfico.com #5427942 / #6822160</t>
        </is>
      </c>
      <c r="V10" s="96" t="inlineStr">
        <is>
          <t>1</t>
        </is>
      </c>
      <c r="W10" s="96" t="inlineStr">
        <is>
          <t>A — Self-UW, apply online</t>
        </is>
      </c>
      <c r="X10" s="96" t="inlineStr">
        <is>
          <t>PG yes; NO tax returns (stated revenue)</t>
        </is>
      </c>
      <c r="Y10" s="96" t="inlineStr">
        <is>
          <t>None separate (Spark cards ARE the no-doc vehicle — but they report to personal credit)</t>
        </is>
      </c>
      <c r="Z10" s="96" t="inlineStr">
        <is>
          <t>No</t>
        </is>
      </c>
      <c r="AA10" s="96" t="inlineStr">
        <is>
          <t>★ AVOID for no-doc — reports to personal</t>
        </is>
      </c>
      <c r="AB10" s="96" t="inlineStr">
        <is>
          <t>Spark Cash Plus (charge), Spark Cash, Spark Cash Select, Spark Classic; Spark Miles -&gt; now Venture Business</t>
        </is>
      </c>
      <c r="AC10" s="96" t="inlineStr">
        <is>
          <t>National — issues in CA (no CA branches)</t>
        </is>
      </c>
      <c r="AD10" s="96" t="inlineStr">
        <is>
          <t>McLean, VA (bank: Glen Allen, VA)</t>
        </is>
      </c>
      <c r="AE10" s="96" t="inlineStr">
        <is>
          <t>Natl</t>
        </is>
      </c>
      <c r="AF10" s="96" t="inlineStr">
        <is>
          <t>HIGH self/triple-pull/REPORTS-TO-PERSONAL/6mo-velocity; MED legal entity, biz-bureau. 2026-05-28</t>
        </is>
      </c>
      <c r="AG10" s="96" t="inlineStr">
        <is>
          <t>capitalone.com/small-business/credit-cards; uscreditcardguide.com (triple pull); ramp.com (personal reporting); doctorofcredit.com (6mo rule)</t>
        </is>
      </c>
    </row>
    <row r="11">
      <c r="A11" s="96" t="inlineStr">
        <is>
          <t>8</t>
        </is>
      </c>
      <c r="B11" s="96" t="inlineStr">
        <is>
          <t>8</t>
        </is>
      </c>
      <c r="C11" s="104" t="inlineStr">
        <is>
          <t>BMO Bank</t>
        </is>
      </c>
      <c r="D11" s="96" t="inlineStr">
        <is>
          <t>Regional</t>
        </is>
      </c>
      <c r="E11" s="96" t="inlineStr">
        <is>
          <t>National (lends in CA)</t>
        </is>
      </c>
      <c r="F11" s="96" t="inlineStr">
        <is>
          <t>3/4  ✓SUW ✓Onl ✗SoCal ✓Card</t>
        </is>
      </c>
      <c r="G11" s="96" t="inlineStr">
        <is>
          <t>Modest: DPs $1,300–$7,500; grows via CLI  [myFICO #6773916]</t>
        </is>
      </c>
      <c r="H11" s="96" t="inlineStr">
        <is>
          <t>~$265B (BMO Bank NA)</t>
        </is>
      </c>
      <c r="I11" s="96" t="inlineStr">
        <is>
          <t>—</t>
        </is>
      </c>
      <c r="J11" s="96" t="inlineStr">
        <is>
          <t>600+ branches/10 states incl. CA; ~130 new CA branches planned; 15th-largest US bank</t>
        </is>
      </c>
      <c r="K11" s="96" t="inlineStr">
        <is>
          <t>Major CA (branches + lending)</t>
        </is>
      </c>
      <c r="L11" s="96" t="inlineStr">
        <is>
          <t>Yes</t>
        </is>
      </c>
      <c r="M11" s="96" t="inlineStr">
        <is>
          <t>✅ Business Platinum: 0% 18 mo, $0 AF; Business Platinum Rewards: 0% 9mo, tiered 5/4/3/2%</t>
        </is>
      </c>
      <c r="N11" s="96" t="inlineStr">
        <is>
          <t>Self (BMO Bank NA; ex-Bank of the West)</t>
        </is>
      </c>
      <c r="O11" s="96" t="inlineStr">
        <is>
          <t>Online</t>
        </is>
      </c>
      <c r="P11" s="96" t="inlineStr">
        <is>
          <t>Online — apply at https://www.bmo.com/en-us/main/business-banking/credit-cards/platinum/</t>
        </is>
      </c>
      <c r="Q11" s="96" t="inlineStr">
        <is>
          <t>https://www.bmo.com/en-us/main/business-banking/credit-cards/</t>
        </is>
      </c>
      <c r="R11" s="96" t="inlineStr">
        <is>
          <t>https://www.bmo.com/en-us/main/business-banking/credit-cards/platinum/</t>
        </is>
      </c>
      <c r="S11" s="96" t="inlineStr">
        <is>
          <t>TransUnion (varies)</t>
        </is>
      </c>
      <c r="T11" s="96" t="inlineStr">
        <is>
          <t>N/M (BMO-specific; likely default-only)</t>
        </is>
      </c>
      <c r="U11" s="96" t="inlineStr">
        <is>
          <t>Limits modest (DPs $1,300-$7,500); TransUnion hard pull, no prequal; CLIs over time. myfico.com #6773916</t>
        </is>
      </c>
      <c r="V11" s="96" t="inlineStr">
        <is>
          <t>3</t>
        </is>
      </c>
      <c r="W11" s="96" t="inlineStr">
        <is>
          <t>A — Self-UW, apply online</t>
        </is>
      </c>
      <c r="X11" s="96" t="inlineStr">
        <is>
          <t>PG yes (INFERENCE); no income docs typical</t>
        </is>
      </c>
      <c r="Y11" s="96" t="inlineStr">
        <is>
          <t>Business Line of Credit (relationship-underwritten, not no-doc)</t>
        </is>
      </c>
      <c r="Z11" s="96" t="inlineStr">
        <is>
          <t>N/M</t>
        </is>
      </c>
      <c r="AA11" s="96" t="inlineStr">
        <is>
          <t>★ 0% 18 mo + large CA footprint</t>
        </is>
      </c>
      <c r="AB11" s="96" t="inlineStr">
        <is>
          <t>BMO Business Platinum (0% 18mo); BMO Business Platinum Rewards</t>
        </is>
      </c>
      <c r="AC11" s="96" t="inlineStr">
        <is>
          <t>National — LARGE CA branches (ex-Bank of the West)</t>
        </is>
      </c>
      <c r="AD11" s="96" t="inlineStr">
        <is>
          <t>Chicago, IL</t>
        </is>
      </c>
      <c r="AE11" s="96" t="inlineStr">
        <is>
          <t>Reg</t>
        </is>
      </c>
      <c r="AF11" s="96" t="inlineStr">
        <is>
          <t>HIGH self/lineup/18mo-0%; MED rewards, HP; N/M reporting. 2026-05-28</t>
        </is>
      </c>
      <c r="AG11" s="96" t="inlineStr">
        <is>
          <t>bmo.com/en-us/main/business-banking/credit-cards; supermoney.com; hustlermoneyblog.com; en.wikipedia.org/wiki/BMO_Bank; myfico.com #6773916</t>
        </is>
      </c>
    </row>
    <row r="12">
      <c r="A12" s="96" t="inlineStr">
        <is>
          <t>9</t>
        </is>
      </c>
      <c r="B12" s="96" t="inlineStr">
        <is>
          <t>9</t>
        </is>
      </c>
      <c r="C12" s="96" t="inlineStr">
        <is>
          <t>California Bank &amp; Trust</t>
        </is>
      </c>
      <c r="D12" s="96" t="inlineStr">
        <is>
          <t>Regional</t>
        </is>
      </c>
      <c r="E12" s="96" t="inlineStr">
        <is>
          <t>★ Core SoCal</t>
        </is>
      </c>
      <c r="F12" s="96" t="inlineStr">
        <is>
          <t>🥇 GOLD (4/4)</t>
        </is>
      </c>
      <c r="G12" s="96" t="inlineStr">
        <is>
          <t>Advertised up to $250K (AmaZing Rate min $500)</t>
        </is>
      </c>
      <c r="H12" s="96" t="inlineStr">
        <is>
          <t>~$90B (Zions Bancorporation, N.A. — shared charter)</t>
        </is>
      </c>
      <c r="I12" s="96" t="inlineStr">
        <is>
          <t>—</t>
        </is>
      </c>
      <c r="J12" s="96" t="inlineStr">
        <is>
          <t>80+ CA branches; California-only (Zions division)</t>
        </is>
      </c>
      <c r="K12" s="96" t="inlineStr">
        <is>
          <t>N/M</t>
        </is>
      </c>
      <c r="L12" s="96" t="inlineStr">
        <is>
          <t>Yes</t>
        </is>
      </c>
      <c r="M12" s="96" t="inlineStr">
        <is>
          <t>✅ AmaZing Cash/Rewards/Rate for Business: 0% 6mo; $0 AF (+$25 rewards-program fee); up to $250K limit</t>
        </is>
      </c>
      <c r="N12" s="96" t="inlineStr">
        <is>
          <t>Self (Zions Bancorporation, N.A.)</t>
        </is>
      </c>
      <c r="O12" s="96" t="inlineStr">
        <is>
          <t>Online</t>
        </is>
      </c>
      <c r="P12" s="96" t="inlineStr">
        <is>
          <t>Online — apply at https://www.calbanktrust.com/business/business-credit-cards/</t>
        </is>
      </c>
      <c r="Q12" s="96" t="inlineStr">
        <is>
          <t>https://www.calbanktrust.com</t>
        </is>
      </c>
      <c r="R12" s="96" t="inlineStr">
        <is>
          <t>https://www.calbanktrust.com/business/business-credit-cards/</t>
        </is>
      </c>
      <c r="S12" s="96" t="inlineStr">
        <is>
          <t>Experian (most-cited; varies by state)</t>
        </is>
      </c>
      <c r="T12" s="96" t="inlineStr">
        <is>
          <t>N/M (reporting not confirmed)</t>
        </is>
      </c>
      <c r="U12" s="96" t="inlineStr">
        <is>
          <t>Advertised limits up to $250K; AmaZing Rate min $500. State-gated: CB&amp;T = California only. Member-reported business DPs N/M.</t>
        </is>
      </c>
      <c r="V12" s="96" t="inlineStr">
        <is>
          <t>3</t>
        </is>
      </c>
      <c r="W12" s="96" t="inlineStr">
        <is>
          <t>A — Self-UW, apply online</t>
        </is>
      </c>
      <c r="X12" s="96" t="inlineStr">
        <is>
          <t>PG likely (INFERENCE); no tax-return requirement advertised for cards</t>
        </is>
      </c>
      <c r="Y12" s="96" t="inlineStr">
        <is>
          <t>Cards = no-income-doc PG-based; Commercial Card separate. No no-doc loan.</t>
        </is>
      </c>
      <c r="Z12" s="96" t="inlineStr">
        <is>
          <t>N/M</t>
        </is>
      </c>
      <c r="AA12" s="96" t="inlineStr">
        <is>
          <t>★ No-doc 0% card — apply online</t>
        </is>
      </c>
      <c r="AB12" s="96" t="inlineStr">
        <is>
          <t>AmaZing Cash for Business, AmaZing Rewards for Business, AmaZing Rate for Business</t>
        </is>
      </c>
      <c r="AC12" s="96" t="inlineStr">
        <is>
          <t>SoCal / San Diego (CA-only bank)</t>
        </is>
      </c>
      <c r="AD12" s="96" t="inlineStr">
        <is>
          <t>San Diego, CA</t>
        </is>
      </c>
      <c r="AE12" s="96" t="inlineStr">
        <is>
          <t>Reg</t>
        </is>
      </c>
      <c r="AF12" s="96" t="inlineStr">
        <is>
          <t>HIGH self (agreement)/products/terms/online/CA-only; MED HP; N/M reporting, PG. 2026-05-28</t>
        </is>
      </c>
      <c r="AG12" s="96" t="inlineStr">
        <is>
          <t>calbanktrust.com/business/business-credit-cards + agreement PDFs (issuer=Zions); doctorofcredit.com (state gating); en.wikipedia.org/wiki/California_Bank_and_Trust</t>
        </is>
      </c>
    </row>
    <row r="13">
      <c r="A13" s="96" t="inlineStr">
        <is>
          <t>10</t>
        </is>
      </c>
      <c r="B13" s="96" t="inlineStr">
        <is>
          <t>10</t>
        </is>
      </c>
      <c r="C13" s="96" t="inlineStr">
        <is>
          <t>San Diego County Credit Union (SDCCU)</t>
        </is>
      </c>
      <c r="D13" s="96" t="inlineStr">
        <is>
          <t>Credit Union</t>
        </is>
      </c>
      <c r="E13" s="96" t="inlineStr">
        <is>
          <t>★ Core SoCal</t>
        </is>
      </c>
      <c r="F13" s="96" t="inlineStr">
        <is>
          <t>🥇 GOLD (4/4)</t>
        </is>
      </c>
      <c r="G13" s="96" t="inlineStr">
        <is>
          <t>$5K–$20K  [myFICO #6761567]</t>
        </is>
      </c>
      <c r="H13" s="96" t="inlineStr">
        <is>
          <t>~$9.26B</t>
        </is>
      </c>
      <c r="I13" s="96" t="inlineStr">
        <is>
          <t>—</t>
        </is>
      </c>
      <c r="J13" s="96" t="inlineStr">
        <is>
          <t>All SoCal counties + FFA nationwide; ~37 branches</t>
        </is>
      </c>
      <c r="K13" s="96" t="inlineStr">
        <is>
          <t>CA-HQ'd</t>
        </is>
      </c>
      <c r="L13" s="96" t="inlineStr">
        <is>
          <t>Yes</t>
        </is>
      </c>
      <c r="M13" s="96" t="inlineStr">
        <is>
          <t>✅ SDCCU Visa Business: NO 0% intro; 11.74% (low); $25 AF (waived $10K spend); NO rewards; $5K-$20K limits</t>
        </is>
      </c>
      <c r="N13" s="96" t="inlineStr">
        <is>
          <t>Self (San Diego County Credit Union)</t>
        </is>
      </c>
      <c r="O13" s="96" t="inlineStr">
        <is>
          <t>Online</t>
        </is>
      </c>
      <c r="P13" s="96" t="inlineStr">
        <is>
          <t>Online — apply at https://www.sdccu.com/business/business-credit-card/</t>
        </is>
      </c>
      <c r="Q13" s="96" t="inlineStr">
        <is>
          <t>https://www.sdccu.com/business/business-credit-card/</t>
        </is>
      </c>
      <c r="R13" s="96" t="inlineStr">
        <is>
          <t>https://www.sdccu.com/business/business-credit-card/</t>
        </is>
      </c>
      <c r="S13" s="96" t="inlineStr">
        <is>
          <t>Experian (forum DP; membership HP may be reused)</t>
        </is>
      </c>
      <c r="T13" s="96" t="inlineStr">
        <is>
          <t>Negative/default (personal); business bureaus N/M</t>
        </is>
      </c>
      <c r="U13" s="96" t="inlineStr">
        <is>
          <t>2-step (membership first). Conservative: denied a NEW corp despite excellent credit + $55K deposit. Income reviewed. CLI likely hard pull. myfico.com #6761567</t>
        </is>
      </c>
      <c r="V13" s="96" t="inlineStr">
        <is>
          <t>3</t>
        </is>
      </c>
      <c r="W13" s="96" t="inlineStr">
        <is>
          <t>A — Self-UW, apply online</t>
        </is>
      </c>
      <c r="X13" s="96" t="inlineStr">
        <is>
          <t>PG (INFERENCE); income reviewed</t>
        </is>
      </c>
      <c r="Y13" s="96" t="inlineStr">
        <is>
          <t>None (conservative underwriting; no no-doc)</t>
        </is>
      </c>
      <c r="Z13" s="96" t="inlineStr">
        <is>
          <t>Membership required (all SoCal counties + nationwide via Financial Fitness Assoc $8)</t>
        </is>
      </c>
      <c r="AA13" s="96" t="inlineStr">
        <is>
          <t>★ No-doc card — apply online</t>
        </is>
      </c>
      <c r="AB13" s="96" t="inlineStr">
        <is>
          <t>SDCCU Visa Business Credit Card (low-rate, no rewards)</t>
        </is>
      </c>
      <c r="AC13" s="96" t="inlineStr">
        <is>
          <t>SoCal / San Diego (all-SoCal FOM)</t>
        </is>
      </c>
      <c r="AD13" s="96" t="inlineStr">
        <is>
          <t>San Diego, CA</t>
        </is>
      </c>
      <c r="AE13" s="96" t="inlineStr">
        <is>
          <t>CU</t>
        </is>
      </c>
      <c r="AF13" s="96" t="inlineStr">
        <is>
          <t>HIGH self/terms/low-APR/membership; conservative underwriting (new-biz denials). 2026-05-28</t>
        </is>
      </c>
      <c r="AG13" s="96" t="inlineStr">
        <is>
          <t>sdccu.com/business/business-credit-card + rates PDF + consumer agreement; myfico.com #6761567; wallethub.com</t>
        </is>
      </c>
    </row>
    <row r="14">
      <c r="A14" s="96" t="inlineStr">
        <is>
          <t>11</t>
        </is>
      </c>
      <c r="B14" s="96" t="inlineStr">
        <is>
          <t>11</t>
        </is>
      </c>
      <c r="C14" s="96" t="inlineStr">
        <is>
          <t>Nuvision Credit Union</t>
        </is>
      </c>
      <c r="D14" s="96" t="inlineStr">
        <is>
          <t>Credit Union</t>
        </is>
      </c>
      <c r="E14" s="96" t="inlineStr">
        <is>
          <t>★ Core SoCal</t>
        </is>
      </c>
      <c r="F14" s="96" t="inlineStr">
        <is>
          <t>🥇 GOLD (4/4)</t>
        </is>
      </c>
      <c r="G14" s="96" t="inlineStr">
        <is>
          <t>N/M (no bank-specific data point found)</t>
        </is>
      </c>
      <c r="H14" s="96" t="inlineStr">
        <is>
          <t>~$3.93B</t>
        </is>
      </c>
      <c r="I14" s="96" t="inlineStr">
        <is>
          <t>—</t>
        </is>
      </c>
      <c r="J14" s="96" t="inlineStr">
        <is>
          <t>HQ Huntington Beach (OC); ~$3.9B; ~27-36 branches CA/AK/AZ/WY/WA; FOM 5 SoCal counties + nationwide via ACC</t>
        </is>
      </c>
      <c r="K14" s="96" t="inlineStr">
        <is>
          <t>CA-HQ'd</t>
        </is>
      </c>
      <c r="L14" s="96" t="inlineStr">
        <is>
          <t>Yes</t>
        </is>
      </c>
      <c r="M14" s="96" t="inlineStr">
        <is>
          <t>✅ Business Visa Rewards: NO 0% intro; APR N/M ('low rates'); $0 AF; 1pt/$1; free employee cards</t>
        </is>
      </c>
      <c r="N14" s="96" t="inlineStr">
        <is>
          <t>Self (Nuvision FCU)</t>
        </is>
      </c>
      <c r="O14" s="96" t="inlineStr">
        <is>
          <t>Online</t>
        </is>
      </c>
      <c r="P14" s="96" t="inlineStr">
        <is>
          <t>Online — apply at https://nuvisionfederal.com/business-banking/credit-cards</t>
        </is>
      </c>
      <c r="Q14" s="96" t="inlineStr">
        <is>
          <t>https://nuvisionfederal.com/business-banking/credit-cards</t>
        </is>
      </c>
      <c r="R14" s="96" t="inlineStr">
        <is>
          <t>https://nuvisionfederal.com/business-banking/credit-cards</t>
        </is>
      </c>
      <c r="S14" s="96" t="inlineStr">
        <is>
          <t>N/M (agreement names EX/EQ/TU generically)</t>
        </is>
      </c>
      <c r="T14" s="96" t="inlineStr">
        <is>
          <t>N/M (personal vs business unspecified)</t>
        </is>
      </c>
      <c r="U14" s="96" t="inlineStr">
        <is>
          <t>Apply via LoansPQ online portal (app.loanspq.com) or paper. PG likely (N/M). No business-card forum DPs.</t>
        </is>
      </c>
      <c r="V14" s="96" t="inlineStr">
        <is>
          <t>3</t>
        </is>
      </c>
      <c r="W14" s="96" t="inlineStr">
        <is>
          <t>A — Self-UW, apply online</t>
        </is>
      </c>
      <c r="X14" s="96" t="inlineStr">
        <is>
          <t>PG likely (INFERENCE); no income docs stated</t>
        </is>
      </c>
      <c r="Y14" s="96" t="inlineStr">
        <is>
          <t>None (business loans via Business Member rep; no no-doc product)</t>
        </is>
      </c>
      <c r="Z14" s="96" t="inlineStr">
        <is>
          <t>Membership required (LA/Orange/San Diego/Ventura/Santa Barbara counties + Boeing/SEGs + family; OPEN nationwide via American Consumer Council)</t>
        </is>
      </c>
      <c r="AA14" s="96" t="inlineStr">
        <is>
          <t>★ No-doc card — apply online</t>
        </is>
      </c>
      <c r="AB14" s="96" t="inlineStr">
        <is>
          <t>Nuvision Business Visa Rewards Card (self-issued, $0 AF, 1pt/$1)</t>
        </is>
      </c>
      <c r="AC14" s="96" t="inlineStr">
        <is>
          <t>SoCal / Orange County</t>
        </is>
      </c>
      <c r="AD14" s="96" t="inlineStr">
        <is>
          <t>Huntington Beach</t>
        </is>
      </c>
      <c r="AE14" s="96" t="inlineStr">
        <is>
          <t>CU</t>
        </is>
      </c>
      <c r="AF14" s="96" t="inlineStr">
        <is>
          <t>HIGH self (agreement 'WE=NUVISION FCU', no agent issuer)/apply-online/SoCal/open-membership; N/M APR, HP, PG. 2026-05-29</t>
        </is>
      </c>
      <c r="AG14" s="96" t="inlineStr">
        <is>
          <t>nuvisionfederal.com/business-banking/credit-cards + visa agreement PDF (self-issued); /about-us/am-i-eligible (ACC path)</t>
        </is>
      </c>
    </row>
    <row r="15">
      <c r="A15" s="96" t="inlineStr">
        <is>
          <t>12</t>
        </is>
      </c>
      <c r="B15" s="96" t="inlineStr">
        <is>
          <t>12</t>
        </is>
      </c>
      <c r="C15" s="96" t="inlineStr">
        <is>
          <t>First Citizens Bank</t>
        </is>
      </c>
      <c r="D15" s="96" t="inlineStr">
        <is>
          <t>Regional</t>
        </is>
      </c>
      <c r="E15" s="96" t="inlineStr">
        <is>
          <t>National (lends in CA)</t>
        </is>
      </c>
      <c r="F15" s="96" t="inlineStr">
        <is>
          <t>2/4  ✓SUW ✗Onl ✗SoCal ✓Card</t>
        </is>
      </c>
      <c r="G15" s="96" t="inlineStr">
        <is>
          <t>$20K SL (Low-Interest Biz, branch + biz checking)  [myFICO #6704468]</t>
        </is>
      </c>
      <c r="H15" s="96" t="inlineStr">
        <is>
          <t>~$236B</t>
        </is>
      </c>
      <c r="I15" s="96" t="inlineStr">
        <is>
          <t>—</t>
        </is>
      </c>
      <c r="J15" s="96" t="inlineStr">
        <is>
          <t>500+ branches/23 states; major CA (ex-SVB, Santa Clara); SVB-&gt;First Citizens rebrand Q4 2026</t>
        </is>
      </c>
      <c r="K15" s="96" t="inlineStr">
        <is>
          <t>Major CA (branches + lending)</t>
        </is>
      </c>
      <c r="L15" s="96" t="inlineStr">
        <is>
          <t>Yes</t>
        </is>
      </c>
      <c r="M15" s="96" t="inlineStr">
        <is>
          <t>✅ 4 Business Visa (Cash Rewards, Rewards, Premium $95, Low-Interest 0% 12mo). Branch-apply only. + SVB Innovator (NO PG, commercial charge)</t>
        </is>
      </c>
      <c r="N15" s="96" t="inlineStr">
        <is>
          <t>Self (First-Citizens Bank &amp; Trust)</t>
        </is>
      </c>
      <c r="O15" s="96" t="inlineStr">
        <is>
          <t>In-person</t>
        </is>
      </c>
      <c r="P15" s="96" t="inlineStr">
        <is>
          <t>Visit branch / contact a banker (no online application)</t>
        </is>
      </c>
      <c r="Q15" s="96" t="inlineStr">
        <is>
          <t>https://www.firstcitizens.com/small-business/credit-financing/credit-cards</t>
        </is>
      </c>
      <c r="R15" s="96" t="inlineStr">
        <is>
          <t>https://www.firstcitizens.com/small-business/credit-financing/credit-cards</t>
        </is>
      </c>
      <c r="S15" s="96" t="inlineStr">
        <is>
          <t>All 3 bureaus (EX+EQ+TU) blended w/ business data</t>
        </is>
      </c>
      <c r="T15" s="96" t="inlineStr">
        <is>
          <t>Pulls D&amp;B/EX-Biz/EQ-Biz; personal N/M (likely default-only)</t>
        </is>
      </c>
      <c r="U15" s="96" t="inlineStr">
        <is>
          <t>DP: Low-Interest Business $20K SL, auto-approved after opening biz checking in-branch (FICO ~750, D&amp;B 80). Branch + deposit relationship required. myfico.com #6704468</t>
        </is>
      </c>
      <c r="V15" s="96" t="inlineStr">
        <is>
          <t>2</t>
        </is>
      </c>
      <c r="W15" s="96" t="inlineStr">
        <is>
          <t>B — Self-UW (apply offline)</t>
        </is>
      </c>
      <c r="X15" s="96" t="inlineStr">
        <is>
          <t>PG yes; NO tax returns (states income) — but branch + relationship gated</t>
        </is>
      </c>
      <c r="Y15" s="96" t="inlineStr">
        <is>
          <t>SVB Innovator Card = NO personal guarantee (commercial charge, for funded companies) — notable no-PG option</t>
        </is>
      </c>
      <c r="Z15" s="96" t="inlineStr">
        <is>
          <t>Yes (business checking relationship, opened in-branch)</t>
        </is>
      </c>
      <c r="AA15" s="96" t="inlineStr">
        <is>
          <t>SVB Innovator = no personal guarantee</t>
        </is>
      </c>
      <c r="AB15" s="96" t="inlineStr">
        <is>
          <t>First Citizens Business Visa: Cash Rewards, Rewards, Premium Rewards ($95), Low-Interest; SVB Innovator (no-PG charge)</t>
        </is>
      </c>
      <c r="AC15" s="96" t="inlineStr">
        <is>
          <t>National — major CA via SVB acquisition (2023)</t>
        </is>
      </c>
      <c r="AD15" s="96" t="inlineStr">
        <is>
          <t>Raleigh, NC</t>
        </is>
      </c>
      <c r="AE15" s="96" t="inlineStr">
        <is>
          <t>Reg</t>
        </is>
      </c>
      <c r="AF15" s="96" t="inlineStr">
        <is>
          <t>HIGH self (cardholder agreement)/lineup/PG/no-tax; branch-only + deposit-relationship gated. SVB Innovator = no-PG. 2026-05-28</t>
        </is>
      </c>
      <c r="AG15" s="96" t="inlineStr">
        <is>
          <t>firstcitizens.com/small-business/credit-financing/credit-cards + cardholder agreement PDF (no agent issuer); svb.com/.../svb-innovator-card; myfico.com #6704468</t>
        </is>
      </c>
    </row>
    <row r="16">
      <c r="A16" s="96" t="inlineStr">
        <is>
          <t>13</t>
        </is>
      </c>
      <c r="B16" s="96" t="inlineStr">
        <is>
          <t>13</t>
        </is>
      </c>
      <c r="C16" s="96" t="inlineStr">
        <is>
          <t>Western Alliance Bank</t>
        </is>
      </c>
      <c r="D16" s="96" t="inlineStr">
        <is>
          <t>Regional</t>
        </is>
      </c>
      <c r="E16" s="96" t="inlineStr">
        <is>
          <t>★ Core SoCal</t>
        </is>
      </c>
      <c r="F16" s="96" t="inlineStr">
        <is>
          <t>3/4  ✓SUW ✗Onl ✓SoCal ✓Card</t>
        </is>
      </c>
      <c r="G16" s="96" t="inlineStr">
        <is>
          <t>N/M (no bank-specific data point found)</t>
        </is>
      </c>
      <c r="H16" s="96" t="inlineStr">
        <is>
          <t>~$98.8B</t>
        </is>
      </c>
      <c r="I16" s="96" t="inlineStr">
        <is>
          <t>—</t>
        </is>
      </c>
      <c r="J16" s="96" t="inlineStr">
        <is>
          <t>HQ Phoenix; CA divisions Torrey Pines Bank (San Diego) + Bridge Bank (Silicon Valley); ~10 CA branches</t>
        </is>
      </c>
      <c r="K16" s="96" t="inlineStr">
        <is>
          <t>Major CA (branches + lending)</t>
        </is>
      </c>
      <c r="L16" s="96" t="inlineStr">
        <is>
          <t>Yes</t>
        </is>
      </c>
      <c r="M16" s="96" t="inlineStr">
        <is>
          <t>✅ Business Plus Visa (revolving, 1pt, $0 AF); NO 0% intro; ~Prime+10% (~17.5%)</t>
        </is>
      </c>
      <c r="N16" s="96" t="inlineStr">
        <is>
          <t>Self (Western Alliance Bank)</t>
        </is>
      </c>
      <c r="O16" s="96" t="inlineStr">
        <is>
          <t>In-person</t>
        </is>
      </c>
      <c r="P16" s="96" t="inlineStr">
        <is>
          <t>Lead form → banker contacts in 2–3 days (RM-driven)</t>
        </is>
      </c>
      <c r="Q16" s="96" t="inlineStr">
        <is>
          <t>https://www.westernalliancebancorporation.com/small-business/business-credit-cards</t>
        </is>
      </c>
      <c r="R16" s="96" t="inlineStr">
        <is>
          <t>https://www.westernalliancebancorporation.com/small-business/credit-cards/business-plus-credit-card</t>
        </is>
      </c>
      <c r="S16" s="96" t="inlineStr">
        <is>
          <t>N/M (personal pull; bureau not disclosed)</t>
        </is>
      </c>
      <c r="T16" s="96" t="inlineStr">
        <is>
          <t>N/M (reporting authorized; bureaus unspecified)</t>
        </is>
      </c>
      <c r="U16" s="96" t="inlineStr">
        <is>
          <t>Relationship/RM-driven; lead form ('banker contacts in 2-3 days'), balance transfers via RM. No forum data.</t>
        </is>
      </c>
      <c r="V16" s="96" t="inlineStr">
        <is>
          <t>2</t>
        </is>
      </c>
      <c r="W16" s="96" t="inlineStr">
        <is>
          <t>B — Self-UW (apply offline)</t>
        </is>
      </c>
      <c r="X16" s="96" t="inlineStr">
        <is>
          <t>PG conditional ('if Bank requires'); financials at banker discretion</t>
        </is>
      </c>
      <c r="Y16" s="96" t="inlineStr">
        <is>
          <t>None (SBA/C&amp;I/CRE relationship-underwritten)</t>
        </is>
      </c>
      <c r="Z16" s="96" t="inlineStr">
        <is>
          <t>N/M (banking relationship expected)</t>
        </is>
      </c>
      <c r="AA16" s="96" t="inlineStr">
        <is>
          <t>No-doc card — apply in branch</t>
        </is>
      </c>
      <c r="AB16" s="96" t="inlineStr">
        <is>
          <t>Visa Business Plus; Visa Commercial / Commercial Plus / ONE Card</t>
        </is>
      </c>
      <c r="AC16" s="96" t="inlineStr">
        <is>
          <t>SoCal / San Diego + Silicon Valley (Torrey Pines / Bridge Bank)</t>
        </is>
      </c>
      <c r="AD16" s="96" t="inlineStr">
        <is>
          <t>Phoenix, AZ</t>
        </is>
      </c>
      <c r="AE16" s="96" t="inlineStr">
        <is>
          <t>Reg</t>
        </is>
      </c>
      <c r="AF16" s="96" t="inlineStr">
        <is>
          <t>HIGH self/products/no-0%/footprint; apply N (RM/lead form); N/M HP, reports. 2026-05-28</t>
        </is>
      </c>
      <c r="AG16" s="96" t="inlineStr">
        <is>
          <t>westernalliancebancorporation.com/small-business/credit-cards + commercial-credit-card-agreement (issuer=self); torrey-pines-bank + bridge-bank pages; FDIC cert 57512</t>
        </is>
      </c>
    </row>
    <row r="17">
      <c r="A17" s="96" t="inlineStr">
        <is>
          <t>14</t>
        </is>
      </c>
      <c r="B17" s="96" t="inlineStr">
        <is>
          <t>14</t>
        </is>
      </c>
      <c r="C17" s="96" t="inlineStr">
        <is>
          <t>Redwood Credit Union</t>
        </is>
      </c>
      <c r="D17" s="96" t="inlineStr">
        <is>
          <t>Credit Union</t>
        </is>
      </c>
      <c r="E17" s="96" t="inlineStr">
        <is>
          <t>Other — NorCal</t>
        </is>
      </c>
      <c r="F17" s="96" t="inlineStr">
        <is>
          <t>3/4  ✓SUW ✓Onl ✗SoCal ✓Card</t>
        </is>
      </c>
      <c r="G17" s="96" t="inlineStr">
        <is>
          <t>N/M (no bank-specific data point found)</t>
        </is>
      </c>
      <c r="H17" s="96" t="inlineStr">
        <is>
          <t>~$9.76B</t>
        </is>
      </c>
      <c r="I17" s="96" t="inlineStr">
        <is>
          <t>—</t>
        </is>
      </c>
      <c r="J17" s="96" t="inlineStr">
        <is>
          <t>8 North Bay counties; ~23 branches</t>
        </is>
      </c>
      <c r="K17" s="96" t="inlineStr">
        <is>
          <t>CA-HQ'd</t>
        </is>
      </c>
      <c r="L17" s="96" t="inlineStr">
        <is>
          <t>Yes</t>
        </is>
      </c>
      <c r="M17" s="96" t="inlineStr">
        <is>
          <t>⚠️ Business Visa Platinum (Preferred/Select): $0 AF, 1pt; NO 0% intro. FULL-DOC: requires tax returns + financials</t>
        </is>
      </c>
      <c r="N17" s="96" t="inlineStr">
        <is>
          <t>Self (Redwood Credit Union)</t>
        </is>
      </c>
      <c r="O17" s="96" t="inlineStr">
        <is>
          <t>Online</t>
        </is>
      </c>
      <c r="P17" s="96" t="inlineStr">
        <is>
          <t>Online — apply at https://www.redwoodcu.org/business/cards/business-visa-platinum/</t>
        </is>
      </c>
      <c r="Q17" s="96" t="inlineStr">
        <is>
          <t>https://www.redwoodcu.org/business/cards/business-visa-platinum/</t>
        </is>
      </c>
      <c r="R17" s="96" t="inlineStr">
        <is>
          <t>https://www.redwoodcu.org/business/cards/business-visa-platinum/</t>
        </is>
      </c>
      <c r="S17" s="96" t="inlineStr">
        <is>
          <t>N/M</t>
        </is>
      </c>
      <c r="T17" s="96" t="inlineStr">
        <is>
          <t>Negative/default (personal); business bureaus N/M</t>
        </is>
      </c>
      <c r="U17" s="96" t="inlineStr">
        <is>
          <t>FULL-DOC: 'need business income statement and business federal tax returns; personal credit reviewed.' Business must be HQ'd in 8-county area. No forum data.</t>
        </is>
      </c>
      <c r="V17" s="96" t="inlineStr">
        <is>
          <t>1</t>
        </is>
      </c>
      <c r="W17" s="96" t="inlineStr">
        <is>
          <t>A — Self-UW, apply online</t>
        </is>
      </c>
      <c r="X17" s="96" t="inlineStr">
        <is>
          <t>PG (INFERENCE) + tax returns + financials REQUIRED — NOT no-doc</t>
        </is>
      </c>
      <c r="Y17" s="96" t="inlineStr">
        <is>
          <t>None (the card itself is full-doc)</t>
        </is>
      </c>
      <c r="Z17" s="96" t="inlineStr">
        <is>
          <t>Membership required (8 North Bay counties; business HQ'd there)</t>
        </is>
      </c>
      <c r="AA17" s="96" t="inlineStr">
        <is>
          <t>★ Full-doc — requires tax returns</t>
        </is>
      </c>
      <c r="AB17" s="96" t="inlineStr">
        <is>
          <t>Redwood CU Business Visa Platinum (Preferred / Select)</t>
        </is>
      </c>
      <c r="AC17" s="96" t="inlineStr">
        <is>
          <t>NorCal / SF (North Bay, 8-county FOM)</t>
        </is>
      </c>
      <c r="AD17" s="96" t="inlineStr">
        <is>
          <t>Santa Rosa, CA</t>
        </is>
      </c>
      <c r="AE17" s="96" t="inlineStr">
        <is>
          <t>CU</t>
        </is>
      </c>
      <c r="AF17" s="96" t="inlineStr">
        <is>
          <t>HIGH self/card-exists/FULL-DOC (tax returns required); MED APR. NOT a no-doc target. 2026-05-28</t>
        </is>
      </c>
      <c r="AG17" s="96" t="inlineStr">
        <is>
          <t>redwoodcu.org/business/cards/business-visa-platinum (tax returns required); CFPB agreement PDF (self); /about/press-room/fact-sheet</t>
        </is>
      </c>
    </row>
    <row r="18">
      <c r="A18" s="96" t="inlineStr">
        <is>
          <t>15</t>
        </is>
      </c>
      <c r="B18" s="96" t="inlineStr">
        <is>
          <t>15</t>
        </is>
      </c>
      <c r="C18" s="96" t="inlineStr">
        <is>
          <t>Fremont Bank</t>
        </is>
      </c>
      <c r="D18" s="96" t="inlineStr">
        <is>
          <t>CA Bank</t>
        </is>
      </c>
      <c r="E18" s="96" t="inlineStr">
        <is>
          <t>Other — NorCal</t>
        </is>
      </c>
      <c r="F18" s="96" t="inlineStr">
        <is>
          <t>2/4  ✗SUW ✓Onl ✗SoCal ✓Card</t>
        </is>
      </c>
      <c r="G18" s="96" t="inlineStr">
        <is>
          <t>N/M (no bank-specific data point found)</t>
        </is>
      </c>
      <c r="H18" s="96" t="inlineStr">
        <is>
          <t>$5.92B</t>
        </is>
      </c>
      <c r="I18" s="96" t="inlineStr">
        <is>
          <t>$5.27B</t>
        </is>
      </c>
      <c r="J18" s="96" t="inlineStr">
        <is>
          <t>CA-only; ~22 branches SF Bay Area/East Bay</t>
        </is>
      </c>
      <c r="K18" s="96" t="inlineStr">
        <is>
          <t>CA-HQ'd</t>
        </is>
      </c>
      <c r="L18" s="96" t="inlineStr">
        <is>
          <t>Partial (CorServ self-issue)</t>
        </is>
      </c>
      <c r="M18" s="96" t="inlineStr">
        <is>
          <t>✅ 0% 6 mo → 12.49-20.49% var; $0 AF (Business Platinum)</t>
        </is>
      </c>
      <c r="N18" s="96" t="inlineStr">
        <is>
          <t>Self (CorServ 'Apex' platform)</t>
        </is>
      </c>
      <c r="O18" s="96" t="inlineStr">
        <is>
          <t>Online</t>
        </is>
      </c>
      <c r="P18" s="96" t="inlineStr">
        <is>
          <t>Online — apply at https://fremontbank.myapexcard.com</t>
        </is>
      </c>
      <c r="Q18" s="96" t="inlineStr">
        <is>
          <t>https://www.fremontbank.com</t>
        </is>
      </c>
      <c r="R18" s="96" t="inlineStr">
        <is>
          <t>https://fremontbank.myapexcard.com</t>
        </is>
      </c>
      <c r="S18" s="96" t="inlineStr">
        <is>
          <t>Experian (inferred from sister personal card)</t>
        </is>
      </c>
      <c r="T18" s="96" t="inlineStr">
        <is>
          <t>N/M</t>
        </is>
      </c>
      <c r="U18" s="96" t="inlineStr">
        <is>
          <t>N/M for biz cards. Sibling personal card (DoC 2022): Experian pull; existing-relationship applicants</t>
        </is>
      </c>
      <c r="V18" s="96" t="inlineStr">
        <is>
          <t>3</t>
        </is>
      </c>
      <c r="W18" s="96" t="inlineStr">
        <is>
          <t>A — Self-UW, apply online</t>
        </is>
      </c>
      <c r="X18" s="96" t="inlineStr">
        <is>
          <t>PG likely (N/M); no income-doc evidence</t>
        </is>
      </c>
      <c r="Y18" s="96" t="inlineStr">
        <is>
          <t>N/M (business LOC $25K-$500K+, conventional)</t>
        </is>
      </c>
      <c r="Z18" s="96" t="inlineStr">
        <is>
          <t>Yes ('Exclusively for Fremont Bank customers')</t>
        </is>
      </c>
      <c r="AA18" s="96" t="inlineStr">
        <is>
          <t>★ No-doc 0% card — apply online</t>
        </is>
      </c>
      <c r="AB18" s="96" t="inlineStr">
        <is>
          <t>Business Platinum, Platinum Rewards, Platinum Low Rate ($99 AF), World Elite ($95 AF)</t>
        </is>
      </c>
      <c r="AC18" s="96" t="inlineStr">
        <is>
          <t>NorCal / SF-East Bay</t>
        </is>
      </c>
      <c r="AD18" s="96" t="inlineStr">
        <is>
          <t>Fremont</t>
        </is>
      </c>
      <c r="AE18" s="96" t="inlineStr">
        <is>
          <t>19</t>
        </is>
      </c>
      <c r="AF18" s="96" t="inlineStr">
        <is>
          <t>MED-HIGH products/terms/online/CorServ; MED issuer=self; LOW HP/PG. 2026-05-28</t>
        </is>
      </c>
      <c r="AG18" s="96" t="inlineStr">
        <is>
          <t>fremontbank.com/business/credit (4 product pages); fremontbank.myapexcard.com; corservsolutions.com</t>
        </is>
      </c>
    </row>
    <row r="19">
      <c r="A19" s="96" t="inlineStr">
        <is>
          <t>16</t>
        </is>
      </c>
      <c r="B19" s="96" t="inlineStr">
        <is>
          <t>16</t>
        </is>
      </c>
      <c r="C19" s="96" t="inlineStr">
        <is>
          <t>Kinecta Federal Credit Union</t>
        </is>
      </c>
      <c r="D19" s="96" t="inlineStr">
        <is>
          <t>Credit Union</t>
        </is>
      </c>
      <c r="E19" s="96" t="inlineStr">
        <is>
          <t>★ Core SoCal</t>
        </is>
      </c>
      <c r="F19" s="96" t="inlineStr">
        <is>
          <t>3/4  ✓SUW ✗Onl ✓SoCal ✓Card</t>
        </is>
      </c>
      <c r="G19" s="96" t="inlineStr">
        <is>
          <t>N/M (no bank-specific data point found)</t>
        </is>
      </c>
      <c r="H19" s="96" t="inlineStr">
        <is>
          <t>~$6.8B</t>
        </is>
      </c>
      <c r="I19" s="96" t="inlineStr">
        <is>
          <t>—</t>
        </is>
      </c>
      <c r="J19" s="96" t="inlineStr">
        <is>
          <t>HQ Manhattan Beach (LA County); ~23-28 branches; Greater LA + open via Innovision</t>
        </is>
      </c>
      <c r="K19" s="96" t="inlineStr">
        <is>
          <t>CA-HQ'd</t>
        </is>
      </c>
      <c r="L19" s="96" t="inlineStr">
        <is>
          <t>Yes</t>
        </is>
      </c>
      <c r="M19" s="96" t="inlineStr">
        <is>
          <t>✅ MyPro Business Mastercard: 0% 18 cyc on BALANCE TRANSFERS only; 12.24-18%; $0 AF; 3/2/1% cash back</t>
        </is>
      </c>
      <c r="N19" s="96" t="inlineStr">
        <is>
          <t>Self (Kinecta FCU; CUNA Mutual/TruStage = forms vendor only)</t>
        </is>
      </c>
      <c r="O19" s="96" t="inlineStr">
        <is>
          <t>In-person</t>
        </is>
      </c>
      <c r="P19" s="96" t="inlineStr">
        <is>
          <t>By appointment or mail PDF (no instant online)</t>
        </is>
      </c>
      <c r="Q19" s="96" t="inlineStr">
        <is>
          <t>https://www.kinecta.org/credit-card/mypro</t>
        </is>
      </c>
      <c r="R19" s="96" t="inlineStr">
        <is>
          <t>https://www.kinecta.org/credit-card/mypro</t>
        </is>
      </c>
      <c r="S19" s="96" t="inlineStr">
        <is>
          <t>N/M</t>
        </is>
      </c>
      <c r="T19" s="96" t="inlineStr">
        <is>
          <t>N/M (reports owner + business; behavior/bureaus unspecified)</t>
        </is>
      </c>
      <c r="U19" s="96" t="inlineStr">
        <is>
          <t>Apply by appointment / mail PDF (no instant online). No forum data points.</t>
        </is>
      </c>
      <c r="V19" s="96" t="inlineStr">
        <is>
          <t>2</t>
        </is>
      </c>
      <c r="W19" s="96" t="inlineStr">
        <is>
          <t>B — Self-UW (apply offline)</t>
        </is>
      </c>
      <c r="X19" s="96" t="inlineStr">
        <is>
          <t>PG yes (guaranty section); financials on request</t>
        </is>
      </c>
      <c r="Y19" s="96" t="inlineStr">
        <is>
          <t>None (SBA/CRE full-doc)</t>
        </is>
      </c>
      <c r="Z19" s="96" t="inlineStr">
        <is>
          <t>Membership required (Greater LA SoCal ZIPs; OPEN nationwide via Innovision Society $10 — Kinecta covers yr1)</t>
        </is>
      </c>
      <c r="AA19" s="96" t="inlineStr">
        <is>
          <t>No-doc card — apply in branch</t>
        </is>
      </c>
      <c r="AB19" s="96" t="inlineStr">
        <is>
          <t>MyPro Business Mastercard</t>
        </is>
      </c>
      <c r="AC19" s="96" t="inlineStr">
        <is>
          <t>SoCal / Los Angeles (Manhattan Beach)</t>
        </is>
      </c>
      <c r="AD19" s="96" t="inlineStr">
        <is>
          <t>Manhattan Beach, CA</t>
        </is>
      </c>
      <c r="AE19" s="96" t="inlineStr">
        <is>
          <t>CU</t>
        </is>
      </c>
      <c r="AF19" s="96" t="inlineStr">
        <is>
          <t>HIGH self/terms/PG/SoCal/open-membership-path; apply N (appointment); N/M HP, reports. 2026-05-28</t>
        </is>
      </c>
      <c r="AG19" s="96" t="inlineStr">
        <is>
          <t>kinecta.org/credit-card/mypro + MyPro agreement/disclosure PDFs; CFPB Kinecta MyPro agreement; join pages</t>
        </is>
      </c>
    </row>
    <row r="20">
      <c r="A20" s="96" t="inlineStr">
        <is>
          <t>17</t>
        </is>
      </c>
      <c r="B20" s="96" t="inlineStr">
        <is>
          <t>17</t>
        </is>
      </c>
      <c r="C20" s="96" t="inlineStr">
        <is>
          <t>Provident Credit Union</t>
        </is>
      </c>
      <c r="D20" s="96" t="inlineStr">
        <is>
          <t>Credit Union</t>
        </is>
      </c>
      <c r="E20" s="96" t="inlineStr">
        <is>
          <t>Other — NorCal</t>
        </is>
      </c>
      <c r="F20" s="96" t="inlineStr">
        <is>
          <t>3/4  ✓SUW ✓Onl ✗SoCal ✓Card</t>
        </is>
      </c>
      <c r="G20" s="96" t="inlineStr">
        <is>
          <t>N/M (no bank-specific data point found)</t>
        </is>
      </c>
      <c r="H20" s="96" t="inlineStr">
        <is>
          <t>~$3.5B</t>
        </is>
      </c>
      <c r="I20" s="96" t="inlineStr">
        <is>
          <t>—</t>
        </is>
      </c>
      <c r="J20" s="96" t="inlineStr">
        <is>
          <t>HQ Redwood City; ~23 Bay Area branches; FOM 10 NorCal counties + LA City</t>
        </is>
      </c>
      <c r="K20" s="96" t="inlineStr">
        <is>
          <t>CA-HQ'd</t>
        </is>
      </c>
      <c r="L20" s="96" t="inlineStr">
        <is>
          <t>Yes</t>
        </is>
      </c>
      <c r="M20" s="96" t="inlineStr">
        <is>
          <t>✅ Business Rewards Visa + Business Share Secured Visa: 6mo intro reduced rate (not 0%); $0 AF; up to $50K; 'qualify with no credit history'</t>
        </is>
      </c>
      <c r="N20" s="96" t="inlineStr">
        <is>
          <t>Self (Provident CU; Velera/PSCU processing platform)</t>
        </is>
      </c>
      <c r="O20" s="96" t="inlineStr">
        <is>
          <t>Online</t>
        </is>
      </c>
      <c r="P20" s="96" t="inlineStr">
        <is>
          <t>Online — apply at https://providentcu.org/business/business-credit-cards/apply</t>
        </is>
      </c>
      <c r="Q20" s="96" t="inlineStr">
        <is>
          <t>https://providentcu.org/business/business-credit-cards</t>
        </is>
      </c>
      <c r="R20" s="96" t="inlineStr">
        <is>
          <t>https://providentcu.org/business/business-credit-cards/apply</t>
        </is>
      </c>
      <c r="S20" s="96" t="inlineStr">
        <is>
          <t>N/M</t>
        </is>
      </c>
      <c r="T20" s="96" t="inlineStr">
        <is>
          <t>⚠️ Reports to all 3 PERSONAL bureaus (consumer secured confirmed; business inferred)</t>
        </is>
      </c>
      <c r="U20" s="96" t="inlineStr">
        <is>
          <t>Online application (member-gated). 'Qualify with no credit history.' Share Secured = savings pledge. No business-card forum data.</t>
        </is>
      </c>
      <c r="V20" s="96" t="inlineStr">
        <is>
          <t>1</t>
        </is>
      </c>
      <c r="W20" s="96" t="inlineStr">
        <is>
          <t>A — Self-UW, apply online</t>
        </is>
      </c>
      <c r="X20" s="96" t="inlineStr">
        <is>
          <t>PG N/M (inferred); account-opening docs (ID/EIN) only</t>
        </is>
      </c>
      <c r="Y20" s="96" t="inlineStr">
        <is>
          <t>Business Rewards Visa markets 'no credit history' approval; Share Secured (savings pledge). Low-barrier but not no-income-doc.</t>
        </is>
      </c>
      <c r="Z20" s="96" t="inlineStr">
        <is>
          <t>Membership required (10 NorCal counties + City of Los Angeles FOM; NO nationwide open path)</t>
        </is>
      </c>
      <c r="AA20" s="96" t="inlineStr">
        <is>
          <t>★ Reports to personal credit</t>
        </is>
      </c>
      <c r="AB20" s="96" t="inlineStr">
        <is>
          <t>Provident Business Rewards Visa; Business Share Secured Visa</t>
        </is>
      </c>
      <c r="AC20" s="96" t="inlineStr">
        <is>
          <t>NorCal / SF Bay (Redwood City)</t>
        </is>
      </c>
      <c r="AD20" s="96" t="inlineStr">
        <is>
          <t>Redwood City, CA</t>
        </is>
      </c>
      <c r="AE20" s="96" t="inlineStr">
        <is>
          <t>CU</t>
        </is>
      </c>
      <c r="AF20" s="96" t="inlineStr">
        <is>
          <t>HIGH self/products/apply-online/membership; ⚠️ reports to personal; N/M HP, PG. 2026-05-28</t>
        </is>
      </c>
      <c r="AG20" s="96" t="inlineStr">
        <is>
          <t>providentcu.org/business/business-credit-cards + /rates + /apply; CFPB share-secured; velera.com</t>
        </is>
      </c>
    </row>
    <row r="21" ht="15.75" customHeight="1">
      <c r="A21" s="96" t="inlineStr">
        <is>
          <t>18</t>
        </is>
      </c>
      <c r="B21" s="96" t="inlineStr">
        <is>
          <t>18</t>
        </is>
      </c>
      <c r="C21" s="96" t="inlineStr">
        <is>
          <t>Logix Federal Credit Union</t>
        </is>
      </c>
      <c r="D21" s="96" t="inlineStr">
        <is>
          <t>Credit Union</t>
        </is>
      </c>
      <c r="E21" s="96" t="inlineStr">
        <is>
          <t>★ Core SoCal</t>
        </is>
      </c>
      <c r="F21" s="96" t="inlineStr">
        <is>
          <t>3/4  ✓SUW ✗Onl ✓SoCal ✓Card</t>
        </is>
      </c>
      <c r="G21" s="96" t="inlineStr">
        <is>
          <t>N/M (no bank-specific data point found)</t>
        </is>
      </c>
      <c r="H21" s="96" t="inlineStr">
        <is>
          <t>~$9.73B</t>
        </is>
      </c>
      <c r="I21" s="96" t="inlineStr">
        <is>
          <t>—</t>
        </is>
      </c>
      <c r="J21" s="96" t="inlineStr">
        <is>
          <t>HQ Valencia (LA County); ~18 branches LA + Ventura; CA-only business card</t>
        </is>
      </c>
      <c r="K21" s="96" t="inlineStr">
        <is>
          <t>CA-HQ'd</t>
        </is>
      </c>
      <c r="L21" s="96" t="inlineStr">
        <is>
          <t>Yes</t>
        </is>
      </c>
      <c r="M21" s="96" t="inlineStr">
        <is>
          <t>✅ Smart Business Cashback Mastercard: 5.99% intro 6mo (NOT 0%); 17.99%; $0 AF; 1.5% cash back</t>
        </is>
      </c>
      <c r="N21" s="96" t="inlineStr">
        <is>
          <t>Self (Logix FCU)</t>
        </is>
      </c>
      <c r="O21" s="96" t="inlineStr">
        <is>
          <t>In-person</t>
        </is>
      </c>
      <c r="P21" s="96" t="inlineStr">
        <is>
          <t>By appointment (agreement allows online for members)</t>
        </is>
      </c>
      <c r="Q21" s="96" t="inlineStr">
        <is>
          <t>https://www.logixbanking.com/business/credit-card</t>
        </is>
      </c>
      <c r="R21" s="96" t="inlineStr">
        <is>
          <t>https://www.logixbanking.com/business/credit-card</t>
        </is>
      </c>
      <c r="S21" s="96" t="inlineStr">
        <is>
          <t>N/M (personal pull; a consumer lawsuit alleged EQ + TU)</t>
        </is>
      </c>
      <c r="T21" s="96" t="inlineStr">
        <is>
          <t>⚠️ Reports to PERSONAL consumer bureaus (negative + tradeline)</t>
        </is>
      </c>
      <c r="U21" s="96" t="inlineStr">
        <is>
          <t>Apply by appointment (agreement allows online for members). Conservative lender; CA-only business card. No business-card forum data.</t>
        </is>
      </c>
      <c r="V21" s="96" t="inlineStr">
        <is>
          <t>0</t>
        </is>
      </c>
      <c r="W21" s="96" t="inlineStr">
        <is>
          <t>B — Self-UW (apply offline)</t>
        </is>
      </c>
      <c r="X21" s="96" t="inlineStr">
        <is>
          <t>PG (inferred); creditworthiness-based</t>
        </is>
      </c>
      <c r="Y21" s="96" t="inlineStr">
        <is>
          <t>None</t>
        </is>
      </c>
      <c r="Z21" s="96" t="inlineStr">
        <is>
          <t>Membership required (SoCal Easy-Membership + OPEN via American Consumer Council; business within 30mi of a branch)</t>
        </is>
      </c>
      <c r="AA21" s="96" t="inlineStr">
        <is>
          <t>Reports to personal credit</t>
        </is>
      </c>
      <c r="AB21" s="96" t="inlineStr">
        <is>
          <t>Logix Smart Business Cashback Mastercard</t>
        </is>
      </c>
      <c r="AC21" s="96" t="inlineStr">
        <is>
          <t>SoCal / Los Angeles (Valencia/Burbank) + Ventura</t>
        </is>
      </c>
      <c r="AD21" s="96" t="inlineStr">
        <is>
          <t>Valencia, CA</t>
        </is>
      </c>
      <c r="AE21" s="96" t="inlineStr">
        <is>
          <t>CU</t>
        </is>
      </c>
      <c r="AF21" s="96" t="inlineStr">
        <is>
          <t>HIGH self/terms/SoCal/membership; ⚠️ reports to personal credit; apply N (appointment). 2026-05-28</t>
        </is>
      </c>
      <c r="AG21" s="96" t="inlineStr">
        <is>
          <t>logixbanking.com/business/credit-card + Smart Business Cashback agreement PDF (issuer=self); CFPB; become-a-member</t>
        </is>
      </c>
    </row>
    <row r="22" ht="15.75" customHeight="1">
      <c r="A22" s="96" t="inlineStr">
        <is>
          <t>19</t>
        </is>
      </c>
      <c r="B22" s="96" t="inlineStr">
        <is>
          <t>19</t>
        </is>
      </c>
      <c r="C22" s="96" t="inlineStr">
        <is>
          <t>HCN Bank</t>
        </is>
      </c>
      <c r="D22" s="96" t="inlineStr">
        <is>
          <t>CA Bank</t>
        </is>
      </c>
      <c r="E22" s="96" t="inlineStr">
        <is>
          <t>★ Core SoCal</t>
        </is>
      </c>
      <c r="F22" s="96" t="inlineStr">
        <is>
          <t>3/4  ✗SUW ✓Onl ✓SoCal ✓Card</t>
        </is>
      </c>
      <c r="G22" s="96" t="inlineStr">
        <is>
          <t>N/M (TIB; financials typically required $10K+)</t>
        </is>
      </c>
      <c r="H22" s="96" t="inlineStr">
        <is>
          <t>$0.97B</t>
        </is>
      </c>
      <c r="I22" s="96" t="inlineStr">
        <is>
          <t>N/M</t>
        </is>
      </c>
      <c r="J22" s="96" t="inlineStr">
        <is>
          <t>Inland Empire; Riverside HQ, Hemet, Anza, Beaumont; rebranded from Bank of Hemet (Jan 2023)</t>
        </is>
      </c>
      <c r="K22" s="96" t="inlineStr">
        <is>
          <t>CA-HQ'd</t>
        </is>
      </c>
      <c r="L22" s="96" t="inlineStr">
        <is>
          <t>No</t>
        </is>
      </c>
      <c r="M22" s="96" t="inlineStr">
        <is>
          <t>✅ no 0%; APR N/M (Prime-based); $0/$49 AF; 1pt/$1 (Preferred Points)</t>
        </is>
      </c>
      <c r="N22" s="96" t="inlineStr">
        <is>
          <t>TIB</t>
        </is>
      </c>
      <c r="O22" s="96" t="inlineStr">
        <is>
          <t>Online</t>
        </is>
      </c>
      <c r="P22" s="96" t="inlineStr">
        <is>
          <t>Online — apply at https://www.hcnbank.com/Business-Credit-Cards/</t>
        </is>
      </c>
      <c r="Q22" s="96" t="inlineStr">
        <is>
          <t>https://www.hcnbank.com</t>
        </is>
      </c>
      <c r="R22" s="96" t="inlineStr">
        <is>
          <t>https://www.hcnbank.com/Business-Credit-Cards/</t>
        </is>
      </c>
      <c r="S22" s="96" t="inlineStr">
        <is>
          <t>Experian (TIB; INFERENCE)</t>
        </is>
      </c>
      <c r="T22" s="96" t="inlineStr">
        <is>
          <t>N/M (TIB not on DoC list)</t>
        </is>
      </c>
      <c r="U22" s="96" t="inlineStr">
        <is>
          <t>TIB program (cardaccount.net): underwritten/approved/serviced by TIB; 25-day grace. No HCN-specific forum DPs.</t>
        </is>
      </c>
      <c r="V22" s="96" t="inlineStr">
        <is>
          <t>3</t>
        </is>
      </c>
      <c r="W22" s="96" t="inlineStr">
        <is>
          <t>C — White-label, apply online</t>
        </is>
      </c>
      <c r="X22" s="96" t="inlineStr">
        <is>
          <t>PG likely (TIB standard); income docs N/M</t>
        </is>
      </c>
      <c r="Y22" s="96" t="inlineStr">
        <is>
          <t>None (commercial equipment/CRE/construction/SBA + LOC full-doc)</t>
        </is>
      </c>
      <c r="Z22" s="96" t="inlineStr">
        <is>
          <t>N/M</t>
        </is>
      </c>
      <c r="AA22" s="96" t="inlineStr">
        <is>
          <t>★ No-doc card — apply online</t>
        </is>
      </c>
      <c r="AB22" s="96" t="inlineStr">
        <is>
          <t>Business Card Standard ($0 AF); Business Card Preferred Points ($49 AF, up to 10K pts/mo)</t>
        </is>
      </c>
      <c r="AC22" s="96" t="inlineStr">
        <is>
          <t>SoCal / Inland Empire</t>
        </is>
      </c>
      <c r="AD22" s="96" t="inlineStr">
        <is>
          <t>Riverside</t>
        </is>
      </c>
      <c r="AE22" s="96" t="inlineStr">
        <is>
          <t>63</t>
        </is>
      </c>
      <c r="AF22" s="96" t="inlineStr">
        <is>
          <t>HIGH issuer=TIB (own page disclosure)/online/Inland Empire/products; N/M APR, HP, reports. 2026-05-29</t>
        </is>
      </c>
      <c r="AG22" s="96" t="inlineStr">
        <is>
          <t>hcnbank.com/Business-Credit-Cards (TIB disclosure); cardaccount.net; FDIC cert 21606</t>
        </is>
      </c>
    </row>
    <row r="23" ht="15.75" customHeight="1">
      <c r="A23" s="96" t="inlineStr">
        <is>
          <t>20</t>
        </is>
      </c>
      <c r="B23" s="96" t="inlineStr">
        <is>
          <t>20</t>
        </is>
      </c>
      <c r="C23" s="96" t="inlineStr">
        <is>
          <t>American Plus Bank, N.A.</t>
        </is>
      </c>
      <c r="D23" s="96" t="inlineStr">
        <is>
          <t>CA Bank</t>
        </is>
      </c>
      <c r="E23" s="96" t="inlineStr">
        <is>
          <t>★ Core SoCal</t>
        </is>
      </c>
      <c r="F23" s="96" t="inlineStr">
        <is>
          <t>3/4  ✗SUW ✓Onl ✓SoCal ✓Card</t>
        </is>
      </c>
      <c r="G23" s="96" t="inlineStr">
        <is>
          <t>N/M (TIB; financials typically required $10K+)</t>
        </is>
      </c>
      <c r="H23" s="96" t="inlineStr">
        <is>
          <t>$0.89B</t>
        </is>
      </c>
      <c r="I23" s="96" t="inlineStr">
        <is>
          <t>N/M</t>
        </is>
      </c>
      <c r="J23" s="96" t="inlineStr">
        <is>
          <t>~4 CA branches (Arcadia HQ + SGV); CDFI; Chinese-American (founded 2007)</t>
        </is>
      </c>
      <c r="K23" s="96" t="inlineStr">
        <is>
          <t>CA-HQ'd</t>
        </is>
      </c>
      <c r="L23" s="96" t="inlineStr">
        <is>
          <t>No</t>
        </is>
      </c>
      <c r="M23" s="96" t="inlineStr">
        <is>
          <t>✅ TIB Visa (Platinum Cash Rewards consumer; Charge Company Rewards business); terms N/M</t>
        </is>
      </c>
      <c r="N23" s="96" t="inlineStr">
        <is>
          <t>TIB</t>
        </is>
      </c>
      <c r="O23" s="96" t="inlineStr">
        <is>
          <t>Online</t>
        </is>
      </c>
      <c r="P23" s="96" t="inlineStr">
        <is>
          <t>Online — apply at https://bankaplus.com/Credit-Cards</t>
        </is>
      </c>
      <c r="Q23" s="96" t="inlineStr">
        <is>
          <t>https://bankaplus.com</t>
        </is>
      </c>
      <c r="R23" s="96" t="inlineStr">
        <is>
          <t>https://bankaplus.com/Credit-Cards</t>
        </is>
      </c>
      <c r="S23" s="96" t="inlineStr">
        <is>
          <t>Experian/TU (TIB; INFERENCE)</t>
        </is>
      </c>
      <c r="T23" s="96" t="inlineStr">
        <is>
          <t>N/M (TIB; biz-only reporting per forum, unconfirmed here)</t>
        </is>
      </c>
      <c r="U23" s="96" t="inlineStr">
        <is>
          <t>TIB Community Card program (mycommunitycc.com portal); no AF typical, ~25-day grace (unverified for this program). No bank-specific DPs.</t>
        </is>
      </c>
      <c r="V23" s="96" t="inlineStr">
        <is>
          <t>3</t>
        </is>
      </c>
      <c r="W23" s="96" t="inlineStr">
        <is>
          <t>C — White-label, apply online</t>
        </is>
      </c>
      <c r="X23" s="96" t="inlineStr">
        <is>
          <t>PG likely (TIB standard); docs N/M</t>
        </is>
      </c>
      <c r="Y23" s="96" t="inlineStr">
        <is>
          <t>None (commercial LOC/CRE/construction/SBA/trade full-doc)</t>
        </is>
      </c>
      <c r="Z23" s="96" t="inlineStr">
        <is>
          <t>N/M</t>
        </is>
      </c>
      <c r="AA23" s="96" t="inlineStr">
        <is>
          <t>★ No-doc card — apply online</t>
        </is>
      </c>
      <c r="AB23" s="96" t="inlineStr">
        <is>
          <t>Visa Platinum Cash Rewards (consumer); Visa Charge Company Rewards (business) — TIB Community Card suite</t>
        </is>
      </c>
      <c r="AC23" s="96" t="inlineStr">
        <is>
          <t>SoCal / LA (San Gabriel Valley)</t>
        </is>
      </c>
      <c r="AD23" s="96" t="inlineStr">
        <is>
          <t>Arcadia</t>
        </is>
      </c>
      <c r="AE23" s="96" t="inlineStr">
        <is>
          <t>65</t>
        </is>
      </c>
      <c r="AF23" s="96" t="inlineStr">
        <is>
          <t>MED-HIGH issuer=TIB (mycommunitycc.com portal)/online/SGV; N/M terms, HP, reports. 2026-05-29</t>
        </is>
      </c>
      <c r="AG23" s="96" t="inlineStr">
        <is>
          <t>bankaplus.com/Credit-Cards; mycommunitycc.com (TIB portal); FDIC cert 58469</t>
        </is>
      </c>
    </row>
    <row r="24" ht="15.75" customHeight="1">
      <c r="A24" s="96" t="inlineStr">
        <is>
          <t>21</t>
        </is>
      </c>
      <c r="B24" s="96" t="inlineStr">
        <is>
          <t>21</t>
        </is>
      </c>
      <c r="C24" s="96" t="inlineStr">
        <is>
          <t>Mission Valley Bank</t>
        </is>
      </c>
      <c r="D24" s="96" t="inlineStr">
        <is>
          <t>CA Bank</t>
        </is>
      </c>
      <c r="E24" s="96" t="inlineStr">
        <is>
          <t>★ Core SoCal</t>
        </is>
      </c>
      <c r="F24" s="96" t="inlineStr">
        <is>
          <t>3/4  ✗SUW ✓Onl ✓SoCal ✓Card</t>
        </is>
      </c>
      <c r="G24" s="96" t="inlineStr">
        <is>
          <t>N/M (TCM; conservative, Experian-driven)</t>
        </is>
      </c>
      <c r="H24" s="96" t="inlineStr">
        <is>
          <t>$0.77B</t>
        </is>
      </c>
      <c r="I24" s="96" t="inlineStr">
        <is>
          <t>N/M</t>
        </is>
      </c>
      <c r="J24" s="96" t="inlineStr">
        <is>
          <t>LA County; Sun Valley HQ + Santa Clarita branch</t>
        </is>
      </c>
      <c r="K24" s="96" t="inlineStr">
        <is>
          <t>CA-HQ'd</t>
        </is>
      </c>
      <c r="L24" s="96" t="inlineStr">
        <is>
          <t>No</t>
        </is>
      </c>
      <c r="M24" s="96" t="inlineStr">
        <is>
          <t>✅ TCM business Visa; terms N/M (see Summary of Credit Terms at app); 1pt/$1 typical</t>
        </is>
      </c>
      <c r="N24" s="96" t="inlineStr">
        <is>
          <t>TCM Bank, N.A.</t>
        </is>
      </c>
      <c r="O24" s="96" t="inlineStr">
        <is>
          <t>Online</t>
        </is>
      </c>
      <c r="P24" s="96" t="inlineStr">
        <is>
          <t>Online — apply at https://www.mycommunitycc.com/A0oVKGkHmrYt</t>
        </is>
      </c>
      <c r="Q24" s="96" t="inlineStr">
        <is>
          <t>https://www.missionvalleybank.com</t>
        </is>
      </c>
      <c r="R24" s="96" t="inlineStr">
        <is>
          <t>https://www.mycommunitycc.com/A0oVKGkHmrYt</t>
        </is>
      </c>
      <c r="S24" s="96" t="inlineStr">
        <is>
          <t>Experian (TCM)</t>
        </is>
      </c>
      <c r="T24" s="96" t="inlineStr">
        <is>
          <t>N/M (TCM; biz bureaus/SBFE typical)</t>
        </is>
      </c>
      <c r="U24" s="96" t="inlineStr">
        <is>
          <t>TCM platform: Experian pull (apps + CLIs); SBA-eligible only; conservative. myfico.com #6303273</t>
        </is>
      </c>
      <c r="V24" s="96" t="inlineStr">
        <is>
          <t>3</t>
        </is>
      </c>
      <c r="W24" s="96" t="inlineStr">
        <is>
          <t>C — White-label, apply online</t>
        </is>
      </c>
      <c r="X24" s="96" t="inlineStr">
        <is>
          <t>PG likely; SBA-eligible only; no tax returns at app</t>
        </is>
      </c>
      <c r="Y24" s="96" t="inlineStr">
        <is>
          <t>None (SBA/AR financing/BusinessManager/LOC/term/equipment/CRE full-doc)</t>
        </is>
      </c>
      <c r="Z24" s="96" t="inlineStr">
        <is>
          <t>N/M</t>
        </is>
      </c>
      <c r="AA24" s="96" t="inlineStr">
        <is>
          <t>★ No-doc card — apply online</t>
        </is>
      </c>
      <c r="AB24" s="96" t="inlineStr">
        <is>
          <t>TCM business Visa (rewards/cash-back variants; names not enumerated)</t>
        </is>
      </c>
      <c r="AC24" s="96" t="inlineStr">
        <is>
          <t>SoCal / LA (San Fernando Valley)</t>
        </is>
      </c>
      <c r="AD24" s="96" t="inlineStr">
        <is>
          <t>Sun Valley</t>
        </is>
      </c>
      <c r="AE24" s="96" t="inlineStr">
        <is>
          <t>71</t>
        </is>
      </c>
      <c r="AF24" s="96" t="inlineStr">
        <is>
          <t>HIGH issuer=TCM (own page quote)/online/SFV; N/M terms, HP forum-only, reports. 2026-05-29</t>
        </is>
      </c>
      <c r="AG24" s="96" t="inlineStr">
        <is>
          <t>missionvalleybank.com/card-services ('issued by TCM Bank, N.A.'); mycommunitycc.com; FDIC cert 57101</t>
        </is>
      </c>
    </row>
    <row r="25" ht="15.75" customHeight="1">
      <c r="A25" s="96" t="inlineStr">
        <is>
          <t>22</t>
        </is>
      </c>
      <c r="B25" s="96" t="inlineStr">
        <is>
          <t>22</t>
        </is>
      </c>
      <c r="C25" s="96" t="inlineStr">
        <is>
          <t>GBC International Bank</t>
        </is>
      </c>
      <c r="D25" s="96" t="inlineStr">
        <is>
          <t>CA Bank</t>
        </is>
      </c>
      <c r="E25" s="96" t="inlineStr">
        <is>
          <t>★ Core SoCal</t>
        </is>
      </c>
      <c r="F25" s="96" t="inlineStr">
        <is>
          <t>3/4  ✗SUW ✓Onl ✓SoCal ✓Card</t>
        </is>
      </c>
      <c r="G25" s="96" t="inlineStr">
        <is>
          <t>N/M (TCM; conservative, Experian-driven)</t>
        </is>
      </c>
      <c r="H25" s="96" t="inlineStr">
        <is>
          <t>$0.68B</t>
        </is>
      </c>
      <c r="I25" s="96" t="inlineStr">
        <is>
          <t>N/M</t>
        </is>
      </c>
      <c r="J25" s="96" t="inlineStr">
        <is>
          <t>8 offices, all SoCal/LA; Chinese-American + trade finance; SBA Preferred Lender</t>
        </is>
      </c>
      <c r="K25" s="96" t="inlineStr">
        <is>
          <t>CA-HQ'd</t>
        </is>
      </c>
      <c r="L25" s="96" t="inlineStr">
        <is>
          <t>No</t>
        </is>
      </c>
      <c r="M25" s="96" t="inlineStr">
        <is>
          <t>✅ TCM business Visa; terms N/M; $0 AF likely</t>
        </is>
      </c>
      <c r="N25" s="96" t="inlineStr">
        <is>
          <t>TCM Bank, N.A.</t>
        </is>
      </c>
      <c r="O25" s="96" t="inlineStr">
        <is>
          <t>Online</t>
        </is>
      </c>
      <c r="P25" s="96" t="inlineStr">
        <is>
          <t>Online — apply at https://www.mycommunitycc.com/k7OgnYPt1fSE</t>
        </is>
      </c>
      <c r="Q25" s="96" t="inlineStr">
        <is>
          <t>https://www.gbcib.com</t>
        </is>
      </c>
      <c r="R25" s="96" t="inlineStr">
        <is>
          <t>https://www.mycommunitycc.com/k7OgnYPt1fSE</t>
        </is>
      </c>
      <c r="S25" s="96" t="inlineStr">
        <is>
          <t>Experian (TCM; BBB DPs)</t>
        </is>
      </c>
      <c r="T25" s="96" t="inlineStr">
        <is>
          <t>N/M (TCM; biz bureaus typical)</t>
        </is>
      </c>
      <c r="U25" s="96" t="inlineStr">
        <is>
          <t>TCM platform: Experian pull (apps + CLIs); SBA-eligible only; conservative. myfico.com #6303273</t>
        </is>
      </c>
      <c r="V25" s="96" t="inlineStr">
        <is>
          <t>3</t>
        </is>
      </c>
      <c r="W25" s="96" t="inlineStr">
        <is>
          <t>C — White-label, apply online</t>
        </is>
      </c>
      <c r="X25" s="96" t="inlineStr">
        <is>
          <t>PG likely; SBA-eligible only</t>
        </is>
      </c>
      <c r="Y25" s="96" t="inlineStr">
        <is>
          <t>None (BELOC real-estate-secured / SBA / Ex-Im / LC / CRE full-doc)</t>
        </is>
      </c>
      <c r="Z25" s="96" t="inlineStr">
        <is>
          <t>N/M</t>
        </is>
      </c>
      <c r="AA25" s="96" t="inlineStr">
        <is>
          <t>★ No-doc card — apply online</t>
        </is>
      </c>
      <c r="AB25" s="96" t="inlineStr">
        <is>
          <t>GBC-branded TCM business Visa (names not enumerated)</t>
        </is>
      </c>
      <c r="AC25" s="96" t="inlineStr">
        <is>
          <t>SoCal / LA</t>
        </is>
      </c>
      <c r="AD25" s="96" t="inlineStr">
        <is>
          <t>Los Angeles</t>
        </is>
      </c>
      <c r="AE25" s="96" t="inlineStr">
        <is>
          <t>74</t>
        </is>
      </c>
      <c r="AF25" s="96" t="inlineStr">
        <is>
          <t>MED-HIGH issuer=TCM (mycommunitycc.com portal + mycardstatement.com)/online/LA; N/M terms, reports. 2026-05-29</t>
        </is>
      </c>
      <c r="AG25" s="96" t="inlineStr">
        <is>
          <t>gbcib.com/business; mycommunitycc.com/k7OgnYPt1fSE; tcmbank.com; FDIC cert 22366</t>
        </is>
      </c>
    </row>
    <row r="26" ht="15.75" customHeight="1">
      <c r="A26" s="96" t="inlineStr">
        <is>
          <t>23</t>
        </is>
      </c>
      <c r="B26" s="96" t="inlineStr">
        <is>
          <t>23</t>
        </is>
      </c>
      <c r="C26" s="96" t="inlineStr">
        <is>
          <t>Mega Bank</t>
        </is>
      </c>
      <c r="D26" s="96" t="inlineStr">
        <is>
          <t>CA Bank</t>
        </is>
      </c>
      <c r="E26" s="96" t="inlineStr">
        <is>
          <t>★ Core SoCal</t>
        </is>
      </c>
      <c r="F26" s="96" t="inlineStr">
        <is>
          <t>3/4  ✗SUW ✓Onl ✓SoCal ✓Card</t>
        </is>
      </c>
      <c r="G26" s="96" t="inlineStr">
        <is>
          <t>N/M (TCM; conservative, Experian-driven)</t>
        </is>
      </c>
      <c r="H26" s="96" t="inlineStr">
        <is>
          <t>$0.47B</t>
        </is>
      </c>
      <c r="I26" s="96" t="inlineStr">
        <is>
          <t>N/M</t>
        </is>
      </c>
      <c r="J26" s="96" t="inlineStr">
        <is>
          <t>4 CA branches (San Gabriel HQ, Arcadia, Hacienda Heights); est 2008; Chinese-American</t>
        </is>
      </c>
      <c r="K26" s="96" t="inlineStr">
        <is>
          <t>CA-HQ'd</t>
        </is>
      </c>
      <c r="L26" s="96" t="inlineStr">
        <is>
          <t>No</t>
        </is>
      </c>
      <c r="M26" s="96" t="inlineStr">
        <is>
          <t>✅ TCM business + personal Visa; terms N/M; $0/low AF likely</t>
        </is>
      </c>
      <c r="N26" s="96" t="inlineStr">
        <is>
          <t>TCM Bank, N.A.</t>
        </is>
      </c>
      <c r="O26" s="96" t="inlineStr">
        <is>
          <t>Online</t>
        </is>
      </c>
      <c r="P26" s="96" t="inlineStr">
        <is>
          <t>Online — apply at https://www.mycommunitycc.com/vsqcwJmaxwd7</t>
        </is>
      </c>
      <c r="Q26" s="96" t="inlineStr">
        <is>
          <t>https://www.megabankusa.com</t>
        </is>
      </c>
      <c r="R26" s="96" t="inlineStr">
        <is>
          <t>https://www.mycommunitycc.com/vsqcwJmaxwd7</t>
        </is>
      </c>
      <c r="S26" s="96" t="inlineStr">
        <is>
          <t>Experian (TCM)</t>
        </is>
      </c>
      <c r="T26" s="96" t="inlineStr">
        <is>
          <t>N/M (TCM)</t>
        </is>
      </c>
      <c r="U26" s="96" t="inlineStr">
        <is>
          <t>TCM platform (mycommunitycc.com): Experian pull; SBA-eligible only; conservative. myfico.com #6303273</t>
        </is>
      </c>
      <c r="V26" s="96" t="inlineStr">
        <is>
          <t>3</t>
        </is>
      </c>
      <c r="W26" s="96" t="inlineStr">
        <is>
          <t>C — White-label, apply online</t>
        </is>
      </c>
      <c r="X26" s="96" t="inlineStr">
        <is>
          <t>PG likely; SBA-eligible only</t>
        </is>
      </c>
      <c r="Y26" s="96" t="inlineStr">
        <is>
          <t>None (CRE/construction/commercial/small-business full-doc)</t>
        </is>
      </c>
      <c r="Z26" s="96" t="inlineStr">
        <is>
          <t>N/M</t>
        </is>
      </c>
      <c r="AA26" s="96" t="inlineStr">
        <is>
          <t>★ No-doc card — apply online</t>
        </is>
      </c>
      <c r="AB26" s="96" t="inlineStr">
        <is>
          <t>TCM business Visa ('Administered by TCM Bank, N.A.'; names not enumerated)</t>
        </is>
      </c>
      <c r="AC26" s="96" t="inlineStr">
        <is>
          <t>SoCal / LA (San Gabriel Valley)</t>
        </is>
      </c>
      <c r="AD26" s="96" t="inlineStr">
        <is>
          <t>San Gabriel</t>
        </is>
      </c>
      <c r="AE26" s="96" t="inlineStr">
        <is>
          <t>80</t>
        </is>
      </c>
      <c r="AF26" s="96" t="inlineStr">
        <is>
          <t>HIGH issuer=TCM (own page 'Administered by TCM Bank')/online/SGV; N/M terms, reports. 2026-05-29</t>
        </is>
      </c>
      <c r="AG26" s="96" t="inlineStr">
        <is>
          <t>megabankusa.com/Other-Services; mycommunitycc.com/vsqcwJmaxwd7; FDIC cert 58401</t>
        </is>
      </c>
    </row>
    <row r="27" ht="15.75" customHeight="1">
      <c r="A27" s="96" t="inlineStr">
        <is>
          <t>24</t>
        </is>
      </c>
      <c r="B27" s="96" t="inlineStr">
        <is>
          <t>24</t>
        </is>
      </c>
      <c r="C27" s="96" t="inlineStr">
        <is>
          <t>Home Bank of California</t>
        </is>
      </c>
      <c r="D27" s="96" t="inlineStr">
        <is>
          <t>CA Bank</t>
        </is>
      </c>
      <c r="E27" s="96" t="inlineStr">
        <is>
          <t>★ Core SoCal</t>
        </is>
      </c>
      <c r="F27" s="96" t="inlineStr">
        <is>
          <t>3/4  ✗SUW ✓Onl ✓SoCal ✓Card</t>
        </is>
      </c>
      <c r="G27" s="96" t="inlineStr">
        <is>
          <t>N/M (TCM; conservative, Experian-driven)</t>
        </is>
      </c>
      <c r="H27" s="96" t="inlineStr">
        <is>
          <t>$0.25B</t>
        </is>
      </c>
      <c r="I27" s="96" t="inlineStr">
        <is>
          <t>N/M</t>
        </is>
      </c>
      <c r="J27" s="96" t="inlineStr">
        <is>
          <t>Single branch (San Diego, Ruffin Rd); est 1981</t>
        </is>
      </c>
      <c r="K27" s="96" t="inlineStr">
        <is>
          <t>CA-HQ'd</t>
        </is>
      </c>
      <c r="L27" s="96" t="inlineStr">
        <is>
          <t>No</t>
        </is>
      </c>
      <c r="M27" s="96" t="inlineStr">
        <is>
          <t>✅ TCM business Visa + Company Rewards Charge ($0 AF, 1pt/$1 no cap); terms N/M</t>
        </is>
      </c>
      <c r="N27" s="96" t="inlineStr">
        <is>
          <t>TCM Bank, N.A.</t>
        </is>
      </c>
      <c r="O27" s="96" t="inlineStr">
        <is>
          <t>Online</t>
        </is>
      </c>
      <c r="P27" s="96" t="inlineStr">
        <is>
          <t>Online — apply at https://www.mycommunitycc.com/uJU63OjSlxHb</t>
        </is>
      </c>
      <c r="Q27" s="96" t="inlineStr">
        <is>
          <t>https://www.hbc.bank</t>
        </is>
      </c>
      <c r="R27" s="96" t="inlineStr">
        <is>
          <t>https://www.mycommunitycc.com/uJU63OjSlxHb</t>
        </is>
      </c>
      <c r="S27" s="96" t="inlineStr">
        <is>
          <t>Experian (TCM; BBB DPs)</t>
        </is>
      </c>
      <c r="T27" s="96" t="inlineStr">
        <is>
          <t>N/M (TCM)</t>
        </is>
      </c>
      <c r="U27" s="96" t="inlineStr">
        <is>
          <t>TCM platform (mycommunitycc.com): Experian pull; SBA-eligible only; conservative. myfico.com #6303273</t>
        </is>
      </c>
      <c r="V27" s="96" t="inlineStr">
        <is>
          <t>3</t>
        </is>
      </c>
      <c r="W27" s="96" t="inlineStr">
        <is>
          <t>C — White-label, apply online</t>
        </is>
      </c>
      <c r="X27" s="96" t="inlineStr">
        <is>
          <t>PG likely; SBA-eligible only</t>
        </is>
      </c>
      <c r="Y27" s="96" t="inlineStr">
        <is>
          <t>None (SBA/CRE/term/LOC full-doc)</t>
        </is>
      </c>
      <c r="Z27" s="96" t="inlineStr">
        <is>
          <t>N/M</t>
        </is>
      </c>
      <c r="AA27" s="96" t="inlineStr">
        <is>
          <t>★ No-doc card — apply online</t>
        </is>
      </c>
      <c r="AB27" s="96" t="inlineStr">
        <is>
          <t>TCM business Visa (multiple) + Company Rewards Charge Card ($0 AF, 1pt/$1 uncapped, free employee cards)</t>
        </is>
      </c>
      <c r="AC27" s="96" t="inlineStr">
        <is>
          <t>SoCal / San Diego</t>
        </is>
      </c>
      <c r="AD27" s="96" t="inlineStr">
        <is>
          <t>San Diego</t>
        </is>
      </c>
      <c r="AE27" s="96" t="inlineStr">
        <is>
          <t>98</t>
        </is>
      </c>
      <c r="AF27" s="96" t="inlineStr">
        <is>
          <t>HIGH issuer=TCM (own page 'issued by TCM Bank, N.A.')/online/San Diego/products; N/M APR, reports. 2026-05-29</t>
        </is>
      </c>
      <c r="AG27" s="96" t="inlineStr">
        <is>
          <t>hbc.bank/business/.../business-credit-cards + /company-rewards-charge-card; mycommunitycc.com; FDIC cert 26271</t>
        </is>
      </c>
    </row>
    <row r="28" ht="15.75" customHeight="1">
      <c r="A28" s="96" t="inlineStr">
        <is>
          <t>25</t>
        </is>
      </c>
      <c r="B28" s="96" t="inlineStr">
        <is>
          <t>25</t>
        </is>
      </c>
      <c r="C28" s="96" t="inlineStr">
        <is>
          <t>Icon Business Bank</t>
        </is>
      </c>
      <c r="D28" s="96" t="inlineStr">
        <is>
          <t>CA Bank</t>
        </is>
      </c>
      <c r="E28" s="96" t="inlineStr">
        <is>
          <t>★ Core SoCal</t>
        </is>
      </c>
      <c r="F28" s="96" t="inlineStr">
        <is>
          <t>3/4  ✗SUW ✓Onl ✓SoCal ✓Card</t>
        </is>
      </c>
      <c r="G28" s="96" t="inlineStr">
        <is>
          <t>N/M (TCM; conservative, Experian-driven)</t>
        </is>
      </c>
      <c r="H28" s="96" t="inlineStr">
        <is>
          <t>$0.16B</t>
        </is>
      </c>
      <c r="I28" s="96" t="inlineStr">
        <is>
          <t>N/M</t>
        </is>
      </c>
      <c r="J28" s="96" t="inlineStr">
        <is>
          <t>Riverside HQ (IE) + Santa Ana (OC); de novo est Aug 2023; Icon Bcorp</t>
        </is>
      </c>
      <c r="K28" s="96" t="inlineStr">
        <is>
          <t>CA-HQ'd</t>
        </is>
      </c>
      <c r="L28" s="96" t="inlineStr">
        <is>
          <t>No</t>
        </is>
      </c>
      <c r="M28" s="96" t="inlineStr">
        <is>
          <t>✅ TCM business + personal Visa; terms N/M; $0/low AF likely</t>
        </is>
      </c>
      <c r="N28" s="96" t="inlineStr">
        <is>
          <t>TCM Bank, N.A.</t>
        </is>
      </c>
      <c r="O28" s="96" t="inlineStr">
        <is>
          <t>Online</t>
        </is>
      </c>
      <c r="P28" s="96" t="inlineStr">
        <is>
          <t>Online — apply at https://www.mycommunitycc.com/lSp9OsZX4zOr</t>
        </is>
      </c>
      <c r="Q28" s="96" t="inlineStr">
        <is>
          <t>https://www.iconbusinessbank.com</t>
        </is>
      </c>
      <c r="R28" s="96" t="inlineStr">
        <is>
          <t>https://www.mycommunitycc.com/lSp9OsZX4zOr</t>
        </is>
      </c>
      <c r="S28" s="96" t="inlineStr">
        <is>
          <t>Experian (TCM)</t>
        </is>
      </c>
      <c r="T28" s="96" t="inlineStr">
        <is>
          <t>N/M (TCM; biz bureaus/SBFE typical)</t>
        </is>
      </c>
      <c r="U28" s="96" t="inlineStr">
        <is>
          <t>TCM Agent Program (mycommunitycc.com): Experian pull; SBA-eligible only; PG-based. myfico.com #6303273</t>
        </is>
      </c>
      <c r="V28" s="96" t="inlineStr">
        <is>
          <t>3</t>
        </is>
      </c>
      <c r="W28" s="96" t="inlineStr">
        <is>
          <t>C — White-label, apply online</t>
        </is>
      </c>
      <c r="X28" s="96" t="inlineStr">
        <is>
          <t>PG likely; SBA-eligible only</t>
        </is>
      </c>
      <c r="Y28" s="96" t="inlineStr">
        <is>
          <t>None (unsecured LOC/term/ABL/equipment/CRE/CELOC/SBA 504/7(a) full-doc)</t>
        </is>
      </c>
      <c r="Z28" s="96" t="inlineStr">
        <is>
          <t>N/M</t>
        </is>
      </c>
      <c r="AA28" s="96" t="inlineStr">
        <is>
          <t>★ No-doc card — apply online</t>
        </is>
      </c>
      <c r="AB28" s="96" t="inlineStr">
        <is>
          <t>TCM business Visa (via mycommunitycc.com; SKUs N/M)</t>
        </is>
      </c>
      <c r="AC28" s="96" t="inlineStr">
        <is>
          <t>SoCal / Inland Empire</t>
        </is>
      </c>
      <c r="AD28" s="96" t="inlineStr">
        <is>
          <t>Riverside</t>
        </is>
      </c>
      <c r="AE28" s="96" t="inlineStr">
        <is>
          <t>109</t>
        </is>
      </c>
      <c r="AF28" s="96" t="inlineStr">
        <is>
          <t>MED-HIGH issuer=TCM (mycommunitycc.com portal)/online/Inland Empire; N/M terms, HP, reports. 2026-05-29</t>
        </is>
      </c>
      <c r="AG28" s="96" t="inlineStr">
        <is>
          <t>iconbusinessbank.com (homepage credit-cards link); mycommunitycc.com/lSp9OsZX4zOr; icba.org TCM; FDIC cert 59314</t>
        </is>
      </c>
    </row>
    <row r="29" ht="15.75" customHeight="1">
      <c r="A29" s="96" t="inlineStr">
        <is>
          <t>26</t>
        </is>
      </c>
      <c r="B29" s="96" t="inlineStr">
        <is>
          <t>26</t>
        </is>
      </c>
      <c r="C29" s="104" t="inlineStr">
        <is>
          <t>PNC Bank</t>
        </is>
      </c>
      <c r="D29" s="96" t="inlineStr">
        <is>
          <t>National</t>
        </is>
      </c>
      <c r="E29" s="96" t="inlineStr">
        <is>
          <t>National (lends in CA)</t>
        </is>
      </c>
      <c r="F29" s="96" t="inlineStr">
        <is>
          <t>3/4  ✓SUW ✓Onl ✗SoCal ✓Card</t>
        </is>
      </c>
      <c r="G29" s="96" t="inlineStr">
        <is>
          <t>BusinessOptions/LOC $25K–$100K (soft-pull, no tax returns)  [myFICO #6589727]</t>
        </is>
      </c>
      <c r="H29" s="96" t="inlineStr">
        <is>
          <t>~$574B</t>
        </is>
      </c>
      <c r="I29" s="96" t="inlineStr">
        <is>
          <t>—</t>
        </is>
      </c>
      <c r="J29" s="96" t="inlineStr">
        <is>
          <t>~2,200 branches / 27 states; CA via BBVA USA western branches</t>
        </is>
      </c>
      <c r="K29" s="96" t="inlineStr">
        <is>
          <t>⚠ Needs local branch/account — minimal/no CA retail (likely NOT reachable)</t>
        </is>
      </c>
      <c r="L29" s="96" t="inlineStr">
        <is>
          <t>Yes</t>
        </is>
      </c>
      <c r="M29" s="96" t="inlineStr">
        <is>
          <t>✅ Visa Business 0% 13 cyc (best intro); BusinessOptions = SOFT-PULL, up to $250K</t>
        </is>
      </c>
      <c r="N29" s="96" t="inlineStr">
        <is>
          <t>Self (PNC Bank NA)</t>
        </is>
      </c>
      <c r="O29" s="96" t="inlineStr">
        <is>
          <t>Online</t>
        </is>
      </c>
      <c r="P29" s="96" t="inlineStr">
        <is>
          <t>Online — apply at https://www.pnc.com/en/small-business/borrowing/business-credit-cards/pnc-businessoptions-visa-signature-credit-card.html</t>
        </is>
      </c>
      <c r="Q29" s="96" t="inlineStr">
        <is>
          <t>https://www.pnc.com/en/small-business/borrowing/business-credit-cards.html</t>
        </is>
      </c>
      <c r="R29" s="96" t="inlineStr">
        <is>
          <t>https://www.pnc.com/en/small-business/borrowing/business-credit-cards/pnc-businessoptions-visa-signature-credit-card.html</t>
        </is>
      </c>
      <c r="S29" s="96" t="inlineStr">
        <is>
          <t>Hard-pull cards: Experian. BusinessOptions: SOFT pull, Equifax (NO hard inquiry!)</t>
        </is>
      </c>
      <c r="T29" s="96" t="inlineStr">
        <is>
          <t>Personal: never (normal use). Business: D&amp;B + Experian-Biz + Equifax-Biz + SBFE</t>
        </is>
      </c>
      <c r="U29" s="96" t="inlineStr">
        <is>
          <t>STANDOUT no-doc combo: BusinessOptions card + Small Business LOC = SOFT pull, NO tax returns up to $100K, no personal reporting. Approvals $25K-$100K. SOFT-PULL CLIs every ~6mo (grown to $52.5K). (BusinessOptions card itself is phone-apply.) myfico.com #6589727 / #6509179</t>
        </is>
      </c>
      <c r="V29" s="96" t="inlineStr">
        <is>
          <t>4</t>
        </is>
      </c>
      <c r="W29" s="96" t="inlineStr">
        <is>
          <t>A — Self-UW, apply online</t>
        </is>
      </c>
      <c r="X29" s="96" t="inlineStr">
        <is>
          <t>PG yes; NO tax returns on the no-doc path</t>
        </is>
      </c>
      <c r="Y29" s="96" t="inlineStr">
        <is>
          <t>PNC Small Business LOC: SOFT pull, no financials up to $100K, ~10% of gross-revenue sizing — strong no-doc</t>
        </is>
      </c>
      <c r="Z29" s="96" t="inlineStr">
        <is>
          <t>No (cards); functionally helps BusinessOptions/LOC</t>
        </is>
      </c>
      <c r="AA29" s="96" t="inlineStr">
        <is>
          <t>★ ⚠ Needs CA branch/account — soft-pull no-doc LOC if reachable</t>
        </is>
      </c>
      <c r="AB29" s="96" t="inlineStr">
        <is>
          <t>Visa Business (0% 13cyc), Cash Rewards Visa Signature, points Visa, BusinessOptions Visa Signature (&lt;=$250K)</t>
        </is>
      </c>
      <c r="AC29" s="96" t="inlineStr">
        <is>
          <t>National — CA presence via 2021 BBVA acquisition (thinner)</t>
        </is>
      </c>
      <c r="AD29" s="96" t="inlineStr">
        <is>
          <t>Pittsburgh, PA</t>
        </is>
      </c>
      <c r="AE29" s="96" t="inlineStr">
        <is>
          <t>Natl</t>
        </is>
      </c>
      <c r="AF29" s="96" t="inlineStr">
        <is>
          <t>HIGH self/lineup/SOFT-pull-BusinessOptions/no-doc-LOC/soft-CLI/business-bureaus; MED CA branch density. 2026-05-28</t>
        </is>
      </c>
      <c r="AG29" s="96" t="inlineStr">
        <is>
          <t>pnc.com business credit cards + rate PDFs; myfico.com #6589727 / #6509179 (soft-pull no-doc); creditsuite.com</t>
        </is>
      </c>
    </row>
    <row r="30" ht="15.75" customHeight="1">
      <c r="A30" s="96" t="inlineStr">
        <is>
          <t>27</t>
        </is>
      </c>
      <c r="B30" s="96" t="inlineStr">
        <is>
          <t>27</t>
        </is>
      </c>
      <c r="C30" s="96" t="inlineStr">
        <is>
          <t>Truist</t>
        </is>
      </c>
      <c r="D30" s="96" t="inlineStr">
        <is>
          <t>National</t>
        </is>
      </c>
      <c r="E30" s="96" t="inlineStr">
        <is>
          <t>National (lends in CA)</t>
        </is>
      </c>
      <c r="F30" s="96" t="inlineStr">
        <is>
          <t>3/4  ✓SUW ✓Onl ✗SoCal ✓Card</t>
        </is>
      </c>
      <c r="G30" s="96" t="inlineStr">
        <is>
          <t>~$10K (EQ 754); $25K seen; combined stacks ~$18K–$72K  [myFICO #6741527]</t>
        </is>
      </c>
      <c r="H30" s="96" t="inlineStr">
        <is>
          <t>~$548B</t>
        </is>
      </c>
      <c r="I30" s="96" t="inlineStr">
        <is>
          <t>—</t>
        </is>
      </c>
      <c r="J30" s="96" t="inlineStr">
        <is>
          <t>SE/Mid-Atlantic + new TX (Austin/Dallas); NO California branches</t>
        </is>
      </c>
      <c r="K30" s="96" t="inlineStr">
        <is>
          <t>⚠ Needs local branch/account — minimal/no CA retail (likely NOT reachable)</t>
        </is>
      </c>
      <c r="L30" s="96" t="inlineStr">
        <is>
          <t>Yes</t>
        </is>
      </c>
      <c r="M30" s="96" t="inlineStr">
        <is>
          <t>✅ Business Card 0% 12 cyc, $0 AF (best); Cash Rewards 0% 9cyc; Visa Infinite ($299) branch-only</t>
        </is>
      </c>
      <c r="N30" s="96" t="inlineStr">
        <is>
          <t>Self (Truist Bank)</t>
        </is>
      </c>
      <c r="O30" s="96" t="inlineStr">
        <is>
          <t>Online</t>
        </is>
      </c>
      <c r="P30" s="96" t="inlineStr">
        <is>
          <t>Online — apply at https://businesscreditcard.digitalcommerce.truist.com/product/SBL</t>
        </is>
      </c>
      <c r="Q30" s="96" t="inlineStr">
        <is>
          <t>https://www.truist.com/small-business/credit-cards/compare</t>
        </is>
      </c>
      <c r="R30" s="96" t="inlineStr">
        <is>
          <t>https://businesscreditcard.digitalcommerce.truist.com/product/SBL</t>
        </is>
      </c>
      <c r="S30" s="96" t="inlineStr">
        <is>
          <t>Equifax (exclusively)</t>
        </is>
      </c>
      <c r="T30" s="96" t="inlineStr">
        <is>
          <t>Personal: N/M (Truist absent from DoC list). Business: N/M</t>
        </is>
      </c>
      <c r="U30" s="96" t="inlineStr">
        <is>
          <t>Equifax-ONLY HP, per app; SOFT-pull pre-qual path exists. Friendly velocity (approved 6yr LLC then startup LLC ~1wk later). Limits ~$10K (EQ 754), $25K seen; combined ~$18-72K stacks. myfico.com #6741527 / #6650127</t>
        </is>
      </c>
      <c r="V30" s="96" t="inlineStr">
        <is>
          <t>4</t>
        </is>
      </c>
      <c r="W30" s="96" t="inlineStr">
        <is>
          <t>A — Self-UW, apply online</t>
        </is>
      </c>
      <c r="X30" s="96" t="inlineStr">
        <is>
          <t>PG yes (Guarantor, for-profit); NO tax returns (Equifax-driven)</t>
        </is>
      </c>
      <c r="Y30" s="96" t="inlineStr">
        <is>
          <t>LOC/term/SBA = doc-based (not no-doc)</t>
        </is>
      </c>
      <c r="Z30" s="96" t="inlineStr">
        <is>
          <t>No (recommended for Loyalty Cash Bonus)</t>
        </is>
      </c>
      <c r="AA30" s="96" t="inlineStr">
        <is>
          <t>★ ⚠ No CA branches — likely not reachable from CA</t>
        </is>
      </c>
      <c r="AB30" s="96" t="inlineStr">
        <is>
          <t>Business Cash Rewards, Business Travel ($49), Business Premium Visa Infinite ($299, branch-only), Business Card (0%)</t>
        </is>
      </c>
      <c r="AC30" s="96" t="inlineStr">
        <is>
          <t>National — NO CA branches (SE/Mid-Atlantic + TX); CA online eligibility UNVERIFIED</t>
        </is>
      </c>
      <c r="AD30" s="96" t="inlineStr">
        <is>
          <t>Charlotte, NC</t>
        </is>
      </c>
      <c r="AE30" s="96" t="inlineStr">
        <is>
          <t>Natl</t>
        </is>
      </c>
      <c r="AF30" s="96" t="inlineStr">
        <is>
          <t>HIGH self/lineup/HP=Equifax/no-CA-branches; LOW CA online eligibility, personal/biz reporting (N/M). 2026-05-28</t>
        </is>
      </c>
      <c r="AG30" s="96" t="inlineStr">
        <is>
          <t>truist.com/small-business/credit-cards; businesscreditworkshop.me; myfico.com #6741527; media.truist.com (Visa Infinite)</t>
        </is>
      </c>
    </row>
    <row r="31" ht="15.75" customHeight="1">
      <c r="A31" s="96" t="inlineStr">
        <is>
          <t>28</t>
        </is>
      </c>
      <c r="B31" s="96" t="inlineStr">
        <is>
          <t>28</t>
        </is>
      </c>
      <c r="C31" s="96" t="inlineStr">
        <is>
          <t>Premier America Credit Union</t>
        </is>
      </c>
      <c r="D31" s="96" t="inlineStr">
        <is>
          <t>Credit Union</t>
        </is>
      </c>
      <c r="E31" s="96" t="inlineStr">
        <is>
          <t>★ Core SoCal</t>
        </is>
      </c>
      <c r="F31" s="96" t="inlineStr">
        <is>
          <t>3/4  ✗SUW ✓Onl ✓SoCal ✓Card</t>
        </is>
      </c>
      <c r="G31" s="96" t="inlineStr">
        <is>
          <t>N/M (no bank-specific data point found)</t>
        </is>
      </c>
      <c r="H31" s="96" t="inlineStr">
        <is>
          <t>~$3.31B</t>
        </is>
      </c>
      <c r="I31" s="96" t="inlineStr">
        <is>
          <t>—</t>
        </is>
      </c>
      <c r="J31" s="96" t="inlineStr">
        <is>
          <t>HQ Chatsworth (LA County); ~$3.31B (NCUA 9/30/25); ~112K members; LA/Ventura + Houston TX</t>
        </is>
      </c>
      <c r="K31" s="96" t="inlineStr">
        <is>
          <t>CA-HQ'd</t>
        </is>
      </c>
      <c r="L31" s="96" t="inlineStr">
        <is>
          <t>Unknown</t>
        </is>
      </c>
      <c r="M31" s="96" t="inlineStr">
        <is>
          <t>✅ Premier Business Mastercard: NO 0% intro; 14.99% var; $0 AF; no late/over-limit/BT fees; merchant rebates</t>
        </is>
      </c>
      <c r="N31" s="96" t="inlineStr">
        <is>
          <t>Self (likely; CU; issuer not confirmed)</t>
        </is>
      </c>
      <c r="O31" s="96" t="inlineStr">
        <is>
          <t>Online</t>
        </is>
      </c>
      <c r="P31" s="96" t="inlineStr">
        <is>
          <t>Online — apply at https://www.premieramerica.com/business/loans/premier-business-mastercard</t>
        </is>
      </c>
      <c r="Q31" s="96" t="inlineStr">
        <is>
          <t>https://www.premieramerica.com/business/loans/premier-business-mastercard</t>
        </is>
      </c>
      <c r="R31" s="96" t="inlineStr">
        <is>
          <t>https://www.premieramerica.com/business/loans/premier-business-mastercard</t>
        </is>
      </c>
      <c r="S31" s="96" t="inlineStr">
        <is>
          <t>N/M</t>
        </is>
      </c>
      <c r="T31" s="96" t="inlineStr">
        <is>
          <t>N/M</t>
        </is>
      </c>
      <c r="U31" s="96" t="inlineStr">
        <is>
          <t>Member-gated online apply. Tiers: 2+yr profitable biz = higher limits; new biz = lower. PG/HP N/M. No forum DPs.</t>
        </is>
      </c>
      <c r="V31" s="96" t="inlineStr">
        <is>
          <t>3</t>
        </is>
      </c>
      <c r="W31" s="96" t="inlineStr">
        <is>
          <t>C — White-label, apply online</t>
        </is>
      </c>
      <c r="X31" s="96" t="inlineStr">
        <is>
          <t>N/M (history/profit tiers imply some underwriting)</t>
        </is>
      </c>
      <c r="Y31" s="96" t="inlineStr">
        <is>
          <t>None advertised</t>
        </is>
      </c>
      <c r="Z31" s="96" t="inlineStr">
        <is>
          <t>Membership required (LA + Ventura County CA + Harris County TX + family; broader via Thousand Oaks Alliance for the Arts association path)</t>
        </is>
      </c>
      <c r="AA31" s="96" t="inlineStr">
        <is>
          <t>★ No-doc card — apply online</t>
        </is>
      </c>
      <c r="AB31" s="96" t="inlineStr">
        <is>
          <t>Premier Business Mastercard (self-issued likely; $0 AF, 14.99%, merchant rebates)</t>
        </is>
      </c>
      <c r="AC31" s="96" t="inlineStr">
        <is>
          <t>SoCal / LA (+ Ventura)</t>
        </is>
      </c>
      <c r="AD31" s="96" t="inlineStr">
        <is>
          <t>Chatsworth</t>
        </is>
      </c>
      <c r="AE31" s="96" t="inlineStr">
        <is>
          <t>CU</t>
        </is>
      </c>
      <c r="AF31" s="96" t="inlineStr">
        <is>
          <t>MED card-exists/$0AF/14.99%/apply-online/SoCal; suw=Unknown (issuer not confirmed); N/M PG, HP, reports. 2026-05-29</t>
        </is>
      </c>
      <c r="AG31" s="96" t="inlineStr">
        <is>
          <t>premieramerica.com/business/loans/premier-business-mastercard; ncuso.org; hustlermoneyblog.com (arts-assoc path)</t>
        </is>
      </c>
    </row>
    <row r="32" ht="15.75" customHeight="1">
      <c r="A32" s="96" t="inlineStr">
        <is>
          <t>29</t>
        </is>
      </c>
      <c r="B32" s="96" t="inlineStr">
        <is>
          <t>29</t>
        </is>
      </c>
      <c r="C32" s="96" t="inlineStr">
        <is>
          <t>Banner Bank</t>
        </is>
      </c>
      <c r="D32" s="96" t="inlineStr">
        <is>
          <t>Regional</t>
        </is>
      </c>
      <c r="E32" s="96" t="inlineStr">
        <is>
          <t>Other — West Coast — CA</t>
        </is>
      </c>
      <c r="F32" s="96" t="inlineStr">
        <is>
          <t>2/4  ✓SUW ✗Onl ✗SoCal ✓Card</t>
        </is>
      </c>
      <c r="G32" s="96" t="inlineStr">
        <is>
          <t>N/M (no bank-specific data point found)</t>
        </is>
      </c>
      <c r="H32" s="96" t="inlineStr">
        <is>
          <t>~$16.56B</t>
        </is>
      </c>
      <c r="I32" s="96" t="inlineStr">
        <is>
          <t>—</t>
        </is>
      </c>
      <c r="J32" s="96" t="inlineStr">
        <is>
          <t>HQ Walla Walla; ~135 branches; ~30 CA branches (ex-AmericanWest/AltaPacific acquisitions)</t>
        </is>
      </c>
      <c r="K32" s="96" t="inlineStr">
        <is>
          <t>Major CA (branches + lending)</t>
        </is>
      </c>
      <c r="L32" s="96" t="inlineStr">
        <is>
          <t>Yes</t>
        </is>
      </c>
      <c r="M32" s="96" t="inlineStr">
        <is>
          <t>✅ Business Platinum Mastercard: 0% 12mo, $0 AF; Business Cash Rewards; + commercial</t>
        </is>
      </c>
      <c r="N32" s="96" t="inlineStr">
        <is>
          <t>Self (Banner Bank)</t>
        </is>
      </c>
      <c r="O32" s="96" t="inlineStr">
        <is>
          <t>In-person</t>
        </is>
      </c>
      <c r="P32" s="96" t="inlineStr">
        <is>
          <t>Download PDF application → bring to branch (full PG underwriting)</t>
        </is>
      </c>
      <c r="Q32" s="96" t="inlineStr">
        <is>
          <t>https://www.bannerbank.com/business-solutions/services/small-business-credit-card</t>
        </is>
      </c>
      <c r="R32" s="96" t="inlineStr">
        <is>
          <t>https://www.bannerbank.com/business-solutions/services/small-business-credit-card/business-platinum-mastercard</t>
        </is>
      </c>
      <c r="S32" s="96" t="inlineStr">
        <is>
          <t>N/M (personal pull on guarantor; bureau not named)</t>
        </is>
      </c>
      <c r="T32" s="96" t="inlineStr">
        <is>
          <t>N/M</t>
        </is>
      </c>
      <c r="U32" s="96" t="inlineStr">
        <is>
          <t>Download PDF application -&gt; bring to branch. No forum data.</t>
        </is>
      </c>
      <c r="V32" s="96" t="inlineStr">
        <is>
          <t>2</t>
        </is>
      </c>
      <c r="W32" s="96" t="inlineStr">
        <is>
          <t>B — Self-UW (apply offline)</t>
        </is>
      </c>
      <c r="X32" s="96" t="inlineStr">
        <is>
          <t>PG YES (joint &amp; several) + full underwriting (Tax ID + gross revenue + guarantor SSN/income/net worth + bureau pull)</t>
        </is>
      </c>
      <c r="Y32" s="96" t="inlineStr">
        <is>
          <t>None (full-doc card; commercial lending full-doc)</t>
        </is>
      </c>
      <c r="Z32" s="96" t="inlineStr">
        <is>
          <t>N/M</t>
        </is>
      </c>
      <c r="AA32" s="96" t="inlineStr">
        <is>
          <t>No-doc card — apply in branch</t>
        </is>
      </c>
      <c r="AB32" s="96" t="inlineStr">
        <is>
          <t>Business Platinum Mastercard, Business Cash Rewards Mastercard; Commercial / Commercial Rewards</t>
        </is>
      </c>
      <c r="AC32" s="96" t="inlineStr">
        <is>
          <t>West Coast — CA/WA/OR/ID (~30 CA branches)</t>
        </is>
      </c>
      <c r="AD32" s="96" t="inlineStr">
        <is>
          <t>Walla Walla, WA</t>
        </is>
      </c>
      <c r="AE32" s="96" t="inlineStr">
        <is>
          <t>Reg</t>
        </is>
      </c>
      <c r="AF32" s="96" t="inlineStr">
        <is>
          <t>HIGH self/products/0%-12mo/PG-full-underwrite/CA-footprint; apply N (paper-&gt;branch). 2026-05-28</t>
        </is>
      </c>
      <c r="AG32" s="96" t="inlineStr">
        <is>
          <t>bannerbank.com/.../business-platinum-mastercard + application PDF (issuer=self, PG); FDIC cert 28489</t>
        </is>
      </c>
    </row>
    <row r="33" ht="15.75" customHeight="1">
      <c r="A33" s="96" t="inlineStr">
        <is>
          <t>30</t>
        </is>
      </c>
      <c r="B33" s="96" t="n"/>
      <c r="C33" s="96" t="inlineStr">
        <is>
          <t>City National Bank</t>
        </is>
      </c>
      <c r="D33" s="96" t="inlineStr">
        <is>
          <t>CA Bank</t>
        </is>
      </c>
      <c r="E33" s="96" t="inlineStr">
        <is>
          <t>★ Core SoCal</t>
        </is>
      </c>
      <c r="F33" s="96" t="inlineStr">
        <is>
          <t>2/4  ✓SUW ✗Onl ✓SoCal ✗Card</t>
        </is>
      </c>
      <c r="G33" s="96" t="inlineStr">
        <is>
          <t>—</t>
        </is>
      </c>
      <c r="H33" s="96" t="inlineStr">
        <is>
          <t>$99.95B</t>
        </is>
      </c>
      <c r="I33" s="96" t="inlineStr">
        <is>
          <t>$81.07B</t>
        </is>
      </c>
      <c r="J33" s="96" t="inlineStr">
        <is>
          <t>~75 offices SoCal + SF Bay Area; RBC-owned</t>
        </is>
      </c>
      <c r="K33" s="96" t="inlineStr">
        <is>
          <t>CA-HQ'd</t>
        </is>
      </c>
      <c r="L33" s="96" t="inlineStr">
        <is>
          <t>Yes</t>
        </is>
      </c>
      <c r="M33" s="96" t="inlineStr">
        <is>
          <t>⚠️ Commercial only — Visa Commercial/Crystal; no 0%; $50/$400 AF; branch only</t>
        </is>
      </c>
      <c r="N33" s="96" t="inlineStr">
        <is>
          <t>Self</t>
        </is>
      </c>
      <c r="O33" s="96" t="inlineStr">
        <is>
          <t>In-person</t>
        </is>
      </c>
      <c r="P33" s="96" t="inlineStr">
        <is>
          <t>Branch only (commercial Visa; relationship)</t>
        </is>
      </c>
      <c r="Q33" s="96" t="inlineStr">
        <is>
          <t>https://www.cnb.com</t>
        </is>
      </c>
      <c r="R33" s="96" t="inlineStr">
        <is>
          <t>https://www.cnb.com/business-banking/lending/credit-cards/commercial.html</t>
        </is>
      </c>
      <c r="S33" s="96" t="inlineStr">
        <is>
          <t>Experian (personal Crystal card; biz N/M)</t>
        </is>
      </c>
      <c r="T33" s="96" t="inlineStr">
        <is>
          <t>N/M</t>
        </is>
      </c>
      <c r="U33" s="96" t="inlineStr">
        <is>
          <t>N/M for biz card (forum data is for personal Crystal Visa Infinite only)</t>
        </is>
      </c>
      <c r="V33" s="96" t="inlineStr">
        <is>
          <t>0</t>
        </is>
      </c>
      <c r="W33" s="96" t="inlineStr">
        <is>
          <t>E — Commercial-only</t>
        </is>
      </c>
      <c r="X33" s="96" t="inlineStr">
        <is>
          <t>PG + Personal Financial Statement + tax returns (full-doc)</t>
        </is>
      </c>
      <c r="Y33" s="96" t="inlineStr">
        <is>
          <t>None (LOC/SBA/ABL full-doc)</t>
        </is>
      </c>
      <c r="Z33" s="96" t="inlineStr">
        <is>
          <t>N/M (relationship expected)</t>
        </is>
      </c>
      <c r="AA33" s="96" t="inlineStr">
        <is>
          <t>Commercial / full underwriting</t>
        </is>
      </c>
      <c r="AB33" s="96" t="inlineStr">
        <is>
          <t>Visa Commercial; Visa Crystal Commercial (corporate)</t>
        </is>
      </c>
      <c r="AC33" s="96" t="inlineStr">
        <is>
          <t>SoCal / LA</t>
        </is>
      </c>
      <c r="AD33" s="96" t="inlineStr">
        <is>
          <t>Los Angeles</t>
        </is>
      </c>
      <c r="AE33" s="96" t="inlineStr">
        <is>
          <t>1</t>
        </is>
      </c>
      <c r="AF33" s="96" t="inlineStr">
        <is>
          <t>HIGH self-issuer/commercial/no-online. 2026-05-28</t>
        </is>
      </c>
      <c r="AG33" s="96" t="inlineStr">
        <is>
          <t>cnb.com commercial + crystal pages; Commercial-Credit-Card Agreement PDF</t>
        </is>
      </c>
    </row>
    <row r="34" ht="15.75" customHeight="1">
      <c r="A34" s="96" t="inlineStr">
        <is>
          <t>31</t>
        </is>
      </c>
      <c r="B34" s="96" t="inlineStr">
        <is>
          <t>30</t>
        </is>
      </c>
      <c r="C34" s="96" t="inlineStr">
        <is>
          <t>KeyBank</t>
        </is>
      </c>
      <c r="D34" s="96" t="inlineStr">
        <is>
          <t>Regional</t>
        </is>
      </c>
      <c r="E34" s="96" t="inlineStr">
        <is>
          <t>National (lends in CA)</t>
        </is>
      </c>
      <c r="F34" s="96" t="inlineStr">
        <is>
          <t>3/4  ✓SUW ✓Onl ✗SoCal ✓Card</t>
        </is>
      </c>
      <c r="G34" s="96" t="inlineStr">
        <is>
          <t>Modest biz $3K–$4K DP; soft-pull EQ; CLIs after 6mo  [myFICO #5345434]</t>
        </is>
      </c>
      <c r="H34" s="96" t="inlineStr">
        <is>
          <t>~$184B</t>
        </is>
      </c>
      <c r="I34" s="96" t="inlineStr">
        <is>
          <t>—</t>
        </is>
      </c>
      <c r="J34" s="96" t="inlineStr">
        <is>
          <t>~940 branches/15 states; CA = commercial banking (LA/Newport/SD), negligible retail</t>
        </is>
      </c>
      <c r="K34" s="96" t="inlineStr">
        <is>
          <t>⚠ Needs local branch/account — minimal/no CA retail (likely NOT reachable)</t>
        </is>
      </c>
      <c r="L34" s="96" t="inlineStr">
        <is>
          <t>Yes</t>
        </is>
      </c>
      <c r="M34" s="96" t="inlineStr">
        <is>
          <t>✅ Business Rewards / Cash Rewards / Business MC: 0% 6 cycles, $0 AF</t>
        </is>
      </c>
      <c r="N34" s="96" t="inlineStr">
        <is>
          <t>Self (KeyBank NA; self-issues since 2012, ex-Elan)</t>
        </is>
      </c>
      <c r="O34" s="96" t="inlineStr">
        <is>
          <t>Online</t>
        </is>
      </c>
      <c r="P34" s="96" t="inlineStr">
        <is>
          <t>Online — apply at https://www.key.com/small-business/banking/credit-cards/card-comparison.html</t>
        </is>
      </c>
      <c r="Q34" s="96" t="inlineStr">
        <is>
          <t>https://www.key.com/small-business/banking/credit-cards/card-comparison.html</t>
        </is>
      </c>
      <c r="R34" s="96" t="inlineStr">
        <is>
          <t>https://www.key.com/small-business/banking/credit-cards/card-comparison.html</t>
        </is>
      </c>
      <c r="S34" s="96" t="inlineStr">
        <is>
          <t>Equifax (SOFT pull reported for some / existing customers)</t>
        </is>
      </c>
      <c r="T34" s="96" t="inlineStr">
        <is>
          <t>Personal: NEVER (FAQ confirmed). Business: SBFE likely (N/M)</t>
        </is>
      </c>
      <c r="U34" s="96" t="inlineStr">
        <is>
          <t>Soft-pull Equifax common (esp. existing customers); relationship-gated. Biz limits modest ($3-4K DP); consumer high ($25K+$32.5K dual). CLIs after 6mo. myfico.com #5345434 / #1073204</t>
        </is>
      </c>
      <c r="V34" s="96" t="inlineStr">
        <is>
          <t>5</t>
        </is>
      </c>
      <c r="W34" s="96" t="inlineStr">
        <is>
          <t>A — Self-UW, apply online</t>
        </is>
      </c>
      <c r="X34" s="96" t="inlineStr">
        <is>
          <t>PG likely (INFERENCE); no tax returns for cards</t>
        </is>
      </c>
      <c r="Y34" s="96" t="inlineStr">
        <is>
          <t>Business LOC/term = full-doc. Cards NEVER report to personal = strong keep-off-personal play.</t>
        </is>
      </c>
      <c r="Z34" s="96" t="inlineStr">
        <is>
          <t>No to apply (relationship helps)</t>
        </is>
      </c>
      <c r="AA34" s="96" t="inlineStr">
        <is>
          <t>★ ⚠ Minimal CA retail — great no-doc IF you have a relationship</t>
        </is>
      </c>
      <c r="AB34" s="96" t="inlineStr">
        <is>
          <t>KeyBank Business Rewards MC, Business Cash Rewards MC, Business MC</t>
        </is>
      </c>
      <c r="AC34" s="96" t="inlineStr">
        <is>
          <t>National — CA commercial presence (expanded SoCal 2024), minimal CA retail</t>
        </is>
      </c>
      <c r="AD34" s="96" t="inlineStr">
        <is>
          <t>Cleveland, OH</t>
        </is>
      </c>
      <c r="AE34" s="96" t="inlineStr">
        <is>
          <t>Reg</t>
        </is>
      </c>
      <c r="AF34" s="96" t="inlineStr">
        <is>
          <t>HIGH self/no-personal-reporting (FAQ)/soft-pull-EQ; MED apply-online (relationship-gated). 2026-05-28</t>
        </is>
      </c>
      <c r="AG34" s="96" t="inlineStr">
        <is>
          <t>key.com/small-business/.../credit-cards + business-credit-card-faq (no personal reporting); crainscleveland.com (self-issue since 2012); cardright.com (Equifax); myfico.com #5345434</t>
        </is>
      </c>
    </row>
    <row r="35" ht="15.75" customHeight="1">
      <c r="A35" s="96" t="inlineStr">
        <is>
          <t>32</t>
        </is>
      </c>
      <c r="B35" s="96" t="inlineStr">
        <is>
          <t>31</t>
        </is>
      </c>
      <c r="C35" s="96" t="inlineStr">
        <is>
          <t>Banc of California</t>
        </is>
      </c>
      <c r="D35" s="96" t="inlineStr">
        <is>
          <t>CA Bank</t>
        </is>
      </c>
      <c r="E35" s="96" t="inlineStr">
        <is>
          <t>★ Core SoCal</t>
        </is>
      </c>
      <c r="F35" s="96" t="inlineStr">
        <is>
          <t>3/4  ✗SUW ✓Onl ✓SoCal ✓Card</t>
        </is>
      </c>
      <c r="G35" s="96" t="inlineStr">
        <is>
          <t>Elan platform: ~$3K–$10K start, to ~$20K strong files (~$500 seen at 800+ FICO)  [myFICO #6658960]</t>
        </is>
      </c>
      <c r="H35" s="96" t="inlineStr">
        <is>
          <t>$34.64B</t>
        </is>
      </c>
      <c r="I35" s="96" t="inlineStr">
        <is>
          <t>$27.44B</t>
        </is>
      </c>
      <c r="J35" s="96" t="inlineStr">
        <is>
          <t>~80 CA branches; LA County, Orange County, San Diego (merged PacWest)</t>
        </is>
      </c>
      <c r="K35" s="96" t="inlineStr">
        <is>
          <t>CA-HQ'd</t>
        </is>
      </c>
      <c r="L35" s="96" t="inlineStr">
        <is>
          <t>No</t>
        </is>
      </c>
      <c r="M35" s="96" t="inlineStr">
        <is>
          <t>✅ 0% 20 cycles → ~17-26% var; $0 AF (BEST 0% in set)</t>
        </is>
      </c>
      <c r="N35" s="96" t="inlineStr">
        <is>
          <t>Elan</t>
        </is>
      </c>
      <c r="O35" s="96" t="inlineStr">
        <is>
          <t>Online</t>
        </is>
      </c>
      <c r="P35" s="96" t="inlineStr">
        <is>
          <t>Online — apply at https://bancofcal.com/payment-solutions/business-credit-card/</t>
        </is>
      </c>
      <c r="Q35" s="96" t="inlineStr">
        <is>
          <t>https://bancofcal.com</t>
        </is>
      </c>
      <c r="R35" s="96" t="inlineStr">
        <is>
          <t>https://bancofcal.com/payment-solutions/business-credit-card/</t>
        </is>
      </c>
      <c r="S35" s="96" t="inlineStr">
        <is>
          <t>TransUnion (varies EX/EQ)</t>
        </is>
      </c>
      <c r="T35" s="96" t="inlineStr">
        <is>
          <t>D&amp;B; not personal in good standing</t>
        </is>
      </c>
      <c r="U35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35" s="96" t="inlineStr">
        <is>
          <t>3</t>
        </is>
      </c>
      <c r="W35" s="96" t="inlineStr">
        <is>
          <t>C — White-label, apply online</t>
        </is>
      </c>
      <c r="X35" s="96" t="inlineStr">
        <is>
          <t>PG yes; no tax returns (&lt;$25K)</t>
        </is>
      </c>
      <c r="Y35" s="96" t="inlineStr">
        <is>
          <t>None (SBA/LOC/term full-doc)</t>
        </is>
      </c>
      <c r="Z35" s="96" t="inlineStr">
        <is>
          <t>No</t>
        </is>
      </c>
      <c r="AA35" s="96" t="inlineStr">
        <is>
          <t>Longest 0% — 20 billing cycles (Elan)</t>
        </is>
      </c>
      <c r="AB35" s="96" t="inlineStr">
        <is>
          <t>Business Card (0% 20 cyc); Business Cash Card (3/2/1%)</t>
        </is>
      </c>
      <c r="AC35" s="96" t="inlineStr">
        <is>
          <t>SoCal / LA</t>
        </is>
      </c>
      <c r="AD35" s="96" t="inlineStr">
        <is>
          <t>Los Angeles</t>
        </is>
      </c>
      <c r="AE35" s="96" t="inlineStr">
        <is>
          <t>3</t>
        </is>
      </c>
      <c r="AF35" s="96" t="inlineStr">
        <is>
          <t>HIGH issuer/PG/0%-20cyc/apply/$0AF; N/M go-to APR. 2026-05-28</t>
        </is>
      </c>
      <c r="AG35" s="96" t="inlineStr">
        <is>
          <t>bancofcal.com business credit card page; online1.elancard.com STD_BIZ.pdf; hustlermoneyblog.com</t>
        </is>
      </c>
    </row>
    <row r="36" ht="15.75" customHeight="1">
      <c r="A36" s="96" t="inlineStr">
        <is>
          <t>33</t>
        </is>
      </c>
      <c r="B36" s="96" t="inlineStr">
        <is>
          <t>32</t>
        </is>
      </c>
      <c r="C36" s="96" t="inlineStr">
        <is>
          <t>Mission Bank</t>
        </is>
      </c>
      <c r="D36" s="96" t="inlineStr">
        <is>
          <t>CA Bank</t>
        </is>
      </c>
      <c r="E36" s="96" t="inlineStr">
        <is>
          <t>Other — Central Valley (Kern)</t>
        </is>
      </c>
      <c r="F36" s="96" t="inlineStr">
        <is>
          <t>2/4  ✗SUW ✓Onl ✗SoCal ✓Card</t>
        </is>
      </c>
      <c r="G36" s="96" t="inlineStr">
        <is>
          <t>N/M (TCM; conservative, Experian-driven)</t>
        </is>
      </c>
      <c r="H36" s="96" t="inlineStr">
        <is>
          <t>$1.92B</t>
        </is>
      </c>
      <c r="I36" s="96" t="inlineStr">
        <is>
          <t>$1.68B</t>
        </is>
      </c>
      <c r="J36" s="96" t="inlineStr">
        <is>
          <t>8 offices/6 counties: Bakersfield, Shafter, Lancaster, Ventura, Stockton, SLO, Visalia</t>
        </is>
      </c>
      <c r="K36" s="96" t="inlineStr">
        <is>
          <t>CA-HQ'd</t>
        </is>
      </c>
      <c r="L36" s="96" t="inlineStr">
        <is>
          <t>No</t>
        </is>
      </c>
      <c r="M36" s="96" t="inlineStr">
        <is>
          <t>✅ 0% intro (length N/M); $0 AF; 1% cash back</t>
        </is>
      </c>
      <c r="N36" s="96" t="inlineStr">
        <is>
          <t>TCM Bank, N.A.</t>
        </is>
      </c>
      <c r="O36" s="96" t="inlineStr">
        <is>
          <t>Online</t>
        </is>
      </c>
      <c r="P36" s="96" t="inlineStr">
        <is>
          <t>Online — apply at https://www.mycommunitycc.com/sgpXj3gLGuZQ</t>
        </is>
      </c>
      <c r="Q36" s="96" t="inlineStr">
        <is>
          <t>https://www.missionbank.bank</t>
        </is>
      </c>
      <c r="R36" s="96" t="inlineStr">
        <is>
          <t>https://www.mycommunitycc.com/sgpXj3gLGuZQ</t>
        </is>
      </c>
      <c r="S36" s="96" t="inlineStr">
        <is>
          <t>Experian</t>
        </is>
      </c>
      <c r="T36" s="96" t="inlineStr">
        <is>
          <t>N/M (reports per TCM clause; bureaus unnamed)</t>
        </is>
      </c>
      <c r="U36" s="96" t="inlineStr">
        <is>
          <t>TCM: pulls Experian for apps + CLIs; conservative; partner bank has no underwriting say. myfico.com #6303273</t>
        </is>
      </c>
      <c r="V36" s="96" t="inlineStr">
        <is>
          <t>3</t>
        </is>
      </c>
      <c r="W36" s="96" t="inlineStr">
        <is>
          <t>C — White-label, apply online</t>
        </is>
      </c>
      <c r="X36" s="96" t="inlineStr">
        <is>
          <t>PG likely; SBA-eligible ONLY (excl. &gt;$7M rev or 50+ emp); no tax returns on app</t>
        </is>
      </c>
      <c r="Y36" s="96" t="inlineStr">
        <is>
          <t>None (commercial LOC/equipment/CRE/SBA full-doc)</t>
        </is>
      </c>
      <c r="Z36" s="96" t="inlineStr">
        <is>
          <t>N/M</t>
        </is>
      </c>
      <c r="AA36" s="96" t="inlineStr">
        <is>
          <t>★ No-doc 0% card — apply online</t>
        </is>
      </c>
      <c r="AB36" s="96" t="inlineStr">
        <is>
          <t>Business Rewards, Business Cash Rewards, Business Edition, Company Rewards, Purchasing (TCM Visa)</t>
        </is>
      </c>
      <c r="AC36" s="96" t="inlineStr">
        <is>
          <t>Central Valley (Kern)</t>
        </is>
      </c>
      <c r="AD36" s="96" t="inlineStr">
        <is>
          <t>Bakersfield</t>
        </is>
      </c>
      <c r="AE36" s="96" t="inlineStr">
        <is>
          <t>46</t>
        </is>
      </c>
      <c r="AF36" s="96" t="inlineStr">
        <is>
          <t>MED-HIGH relevance/issuer (TCM)/$0AF/online/HP=Experian/SBA-gate; N/M APR length. 2026-05-28</t>
        </is>
      </c>
      <c r="AG36" s="96" t="inlineStr">
        <is>
          <t>missionbank.bank/business/business-credit-cards; mycommunitycc.com/sgpXj3gLGuZQ; bbb.org TCM (Experian)</t>
        </is>
      </c>
    </row>
    <row r="37" ht="15.75" customHeight="1">
      <c r="A37" s="96" t="inlineStr">
        <is>
          <t>34</t>
        </is>
      </c>
      <c r="B37" s="96" t="inlineStr">
        <is>
          <t>33</t>
        </is>
      </c>
      <c r="C37" s="96" t="inlineStr">
        <is>
          <t>Comerica Bank</t>
        </is>
      </c>
      <c r="D37" s="96" t="inlineStr">
        <is>
          <t>National</t>
        </is>
      </c>
      <c r="E37" s="96" t="inlineStr">
        <is>
          <t>National (lends in CA)</t>
        </is>
      </c>
      <c r="F37" s="96" t="inlineStr">
        <is>
          <t>2/4  ✗SUW ✓Onl ✗SoCal ✓Card</t>
        </is>
      </c>
      <c r="G37" s="96" t="inlineStr">
        <is>
          <t>$25K starting (Elan DP); declined 3rd Elan card  [creditboards #632782]</t>
        </is>
      </c>
      <c r="H37" s="96" t="inlineStr">
        <is>
          <t>~$79B</t>
        </is>
      </c>
      <c r="I37" s="96" t="inlineStr">
        <is>
          <t>—</t>
        </is>
      </c>
      <c r="J37" s="96" t="inlineStr">
        <is>
          <t>TX/MI/CA/FL/AZ; CA core market. NOTE: acquired by Fifth Third Bank (closed Feb 1, 2026) — program in transition</t>
        </is>
      </c>
      <c r="K37" s="96" t="inlineStr">
        <is>
          <t>Major CA (branches + lending)</t>
        </is>
      </c>
      <c r="L37" s="96" t="inlineStr">
        <is>
          <t>No</t>
        </is>
      </c>
      <c r="M37" s="96" t="inlineStr">
        <is>
          <t>✅ Elan Mastercards (Business Cash 0% 12cyc; Smart Business Rewards $95 after yr1)</t>
        </is>
      </c>
      <c r="N37" s="96" t="inlineStr">
        <is>
          <t>Elan</t>
        </is>
      </c>
      <c r="O37" s="96" t="inlineStr">
        <is>
          <t>Online</t>
        </is>
      </c>
      <c r="P37" s="96" t="inlineStr">
        <is>
          <t>Online — apply at https://branchoffer.com/11t1/smart-business-rewards</t>
        </is>
      </c>
      <c r="Q37" s="96" t="inlineStr">
        <is>
          <t>https://www.comerica.com/small-business/banking-and-services/business-credit-cards.html</t>
        </is>
      </c>
      <c r="R37" s="96" t="inlineStr">
        <is>
          <t>https://branchoffer.com/11t1/smart-business-rewards</t>
        </is>
      </c>
      <c r="S37" s="96" t="inlineStr">
        <is>
          <t>TransUnion-lean (Elan; varies EX/EQ)</t>
        </is>
      </c>
      <c r="T37" s="96" t="inlineStr">
        <is>
          <t>Personal: only on default. Business: SBFE</t>
        </is>
      </c>
      <c r="U37" s="96" t="inlineStr">
        <is>
          <t>Elan platform. Comerica DP: $25K starting limit. Declined on 3rd Elan card ('sufficient available credit'); Elan rep says no hard cap (cited a customer w/ 13 Elan accounts). creditboards.com #632782 / myfico.com #6478775</t>
        </is>
      </c>
      <c r="V37" s="96" t="inlineStr">
        <is>
          <t>3</t>
        </is>
      </c>
      <c r="W37" s="96" t="inlineStr">
        <is>
          <t>C — White-label, apply online</t>
        </is>
      </c>
      <c r="X37" s="96" t="inlineStr">
        <is>
          <t>PG yes; NO tax returns</t>
        </is>
      </c>
      <c r="Y37" s="96" t="inlineStr">
        <is>
          <t>None (commercial LOC/SBA doc-based)</t>
        </is>
      </c>
      <c r="Z37" s="96" t="inlineStr">
        <is>
          <t>N/M (relationship path)</t>
        </is>
      </c>
      <c r="AA37" s="96" t="inlineStr">
        <is>
          <t>No-doc 0% card — apply online (Elan)</t>
        </is>
      </c>
      <c r="AB37" s="96" t="inlineStr">
        <is>
          <t>Mastercard Business Platinum, Real Rewards, Rewards PLUS, Smart Business Rewards; + Visa Secured</t>
        </is>
      </c>
      <c r="AC37" s="96" t="inlineStr">
        <is>
          <t>National — major CA market since 1983</t>
        </is>
      </c>
      <c r="AD37" s="96" t="inlineStr">
        <is>
          <t>Dallas, TX</t>
        </is>
      </c>
      <c r="AE37" s="96" t="inlineStr">
        <is>
          <t>Natl</t>
        </is>
      </c>
      <c r="AF37" s="96" t="inlineStr">
        <is>
          <t>HIGH issuer=Elan (NOT self)/PG/personal-default-only; MED Comerica-branded terms; flag Fifth Third acquisition. 2026-05-28</t>
        </is>
      </c>
      <c r="AG37" s="96" t="inlineStr">
        <is>
          <t>comerica.com business credit cards; online1.elancard.com COMERICA_CLIENT_SEC.pdf; creditboards.com #632782; 53.com (acquisition)</t>
        </is>
      </c>
    </row>
    <row r="38" ht="15.75" customHeight="1">
      <c r="A38" s="96" t="inlineStr">
        <is>
          <t>35</t>
        </is>
      </c>
      <c r="B38" s="96" t="inlineStr">
        <is>
          <t>34</t>
        </is>
      </c>
      <c r="C38" s="96" t="inlineStr">
        <is>
          <t>Cathay Bank</t>
        </is>
      </c>
      <c r="D38" s="96" t="inlineStr">
        <is>
          <t>CA Bank</t>
        </is>
      </c>
      <c r="E38" s="96" t="inlineStr">
        <is>
          <t>★ Core SoCal</t>
        </is>
      </c>
      <c r="F38" s="96" t="inlineStr">
        <is>
          <t>3/4  ✗SUW ✓Onl ✓SoCal ✓Card</t>
        </is>
      </c>
      <c r="G38" s="96" t="inlineStr">
        <is>
          <t>Elan platform: ~$3K–$10K start, to ~$20K strong files (~$500 seen at 800+ FICO)  [myFICO #6658960]</t>
        </is>
      </c>
      <c r="H38" s="96" t="inlineStr">
        <is>
          <t>$24.04B</t>
        </is>
      </c>
      <c r="I38" s="96" t="inlineStr">
        <is>
          <t>$20.70B</t>
        </is>
      </c>
      <c r="J38" s="96" t="inlineStr">
        <is>
          <t>~43 branches/37 cities; LA/SGV, SF Bay, Orange County</t>
        </is>
      </c>
      <c r="K38" s="96" t="inlineStr">
        <is>
          <t>CA-HQ'd</t>
        </is>
      </c>
      <c r="L38" s="96" t="inlineStr">
        <is>
          <t>No</t>
        </is>
      </c>
      <c r="M38" s="96" t="inlineStr">
        <is>
          <t>✅ 6-mo intro; 1% cash back; APR N/M</t>
        </is>
      </c>
      <c r="N38" s="96" t="inlineStr">
        <is>
          <t>Elan</t>
        </is>
      </c>
      <c r="O38" s="96" t="inlineStr">
        <is>
          <t>Online</t>
        </is>
      </c>
      <c r="P38" s="96" t="inlineStr">
        <is>
          <t>Online — apply at https://www.mycardapply.com/synindex/?ecdma-lc=36055&amp;ecid=OTHE_25940#business</t>
        </is>
      </c>
      <c r="Q38" s="96" t="inlineStr">
        <is>
          <t>https://www.cathaybank.com</t>
        </is>
      </c>
      <c r="R38" s="96" t="inlineStr">
        <is>
          <t>https://www.mycardapply.com/synindex/?ecdma-lc=36055&amp;ecid=OTHE_25940#business</t>
        </is>
      </c>
      <c r="S38" s="96" t="inlineStr">
        <is>
          <t>TransUnion (varies EX/EQ)</t>
        </is>
      </c>
      <c r="T38" s="96" t="inlineStr">
        <is>
          <t>D&amp;B; not personal in good standing</t>
        </is>
      </c>
      <c r="U38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38" s="96" t="inlineStr">
        <is>
          <t>3</t>
        </is>
      </c>
      <c r="W38" s="96" t="inlineStr">
        <is>
          <t>C — White-label, apply online</t>
        </is>
      </c>
      <c r="X38" s="96" t="inlineStr">
        <is>
          <t>PG yes; no tax returns (&lt;$25K)</t>
        </is>
      </c>
      <c r="Y38" s="96" t="inlineStr">
        <is>
          <t>Smart Loans (simplified-doc LOC) $5K-$250K by time-in-biz</t>
        </is>
      </c>
      <c r="Z38" s="96" t="inlineStr">
        <is>
          <t>N/M (not required to apply)</t>
        </is>
      </c>
      <c r="AA38" s="96" t="inlineStr">
        <is>
          <t>Smart Loans: simplified-doc LOC (Elan)</t>
        </is>
      </c>
      <c r="AB38" s="96" t="inlineStr">
        <is>
          <t>MC Business Platinum; MC Business Platinum Rewards (1% cash back)</t>
        </is>
      </c>
      <c r="AC38" s="96" t="inlineStr">
        <is>
          <t>SoCal / LA</t>
        </is>
      </c>
      <c r="AD38" s="96" t="inlineStr">
        <is>
          <t>Los Angeles</t>
        </is>
      </c>
      <c r="AE38" s="96" t="inlineStr">
        <is>
          <t>5</t>
        </is>
      </c>
      <c r="AF38" s="96" t="inlineStr">
        <is>
          <t>HIGH relevance/issuer/online/6mo-intro/1%; N/M APR, AF. 2026-05-28</t>
        </is>
      </c>
      <c r="AG38" s="96" t="inlineStr">
        <is>
          <t>cathaybank.com/business/credit-cards; mycardapply.com; cathaybank.com smart-loans</t>
        </is>
      </c>
    </row>
    <row r="39" ht="15.75" customHeight="1">
      <c r="A39" s="96" t="inlineStr">
        <is>
          <t>36</t>
        </is>
      </c>
      <c r="B39" s="96" t="inlineStr">
        <is>
          <t>35</t>
        </is>
      </c>
      <c r="C39" s="96" t="inlineStr">
        <is>
          <t>Patelco Credit Union</t>
        </is>
      </c>
      <c r="D39" s="96" t="inlineStr">
        <is>
          <t>Credit Union</t>
        </is>
      </c>
      <c r="E39" s="96" t="inlineStr">
        <is>
          <t>Other — NorCal</t>
        </is>
      </c>
      <c r="F39" s="96" t="inlineStr">
        <is>
          <t>2/4  ✓SUW ✗Onl ✗SoCal ✓Card</t>
        </is>
      </c>
      <c r="G39" s="96" t="inlineStr">
        <is>
          <t>N/M (no bank-specific data point found)</t>
        </is>
      </c>
      <c r="H39" s="96" t="inlineStr">
        <is>
          <t>~$9.52B</t>
        </is>
      </c>
      <c r="I39" s="96" t="inlineStr">
        <is>
          <t>—</t>
        </is>
      </c>
      <c r="J39" s="96" t="inlineStr">
        <is>
          <t>16 NorCal/Central counties + nationwide via FFA; ~35 branches</t>
        </is>
      </c>
      <c r="K39" s="96" t="inlineStr">
        <is>
          <t>CA-HQ'd</t>
        </is>
      </c>
      <c r="L39" s="96" t="inlineStr">
        <is>
          <t>Yes</t>
        </is>
      </c>
      <c r="M39" s="96" t="inlineStr">
        <is>
          <t>✅ Mastercard Business Rewards: NO 0% intro; 10.65-20.15% (LOW); $0 AF; 1.5pts. 2yr-in-business required</t>
        </is>
      </c>
      <c r="N39" s="96" t="inlineStr">
        <is>
          <t>Self (Patelco Credit Union)</t>
        </is>
      </c>
      <c r="O39" s="96" t="inlineStr">
        <is>
          <t>Assisted</t>
        </is>
      </c>
      <c r="P39" s="96" t="inlineStr">
        <is>
          <t>Virtual Branch (staff-assisted)</t>
        </is>
      </c>
      <c r="Q39" s="96" t="inlineStr">
        <is>
          <t>https://www.patelco.org/business-banking/business-rewards-card</t>
        </is>
      </c>
      <c r="R39" s="96" t="inlineStr">
        <is>
          <t>https://www.patelco.org/business-banking/business-rewards-card</t>
        </is>
      </c>
      <c r="S39" s="96" t="inlineStr">
        <is>
          <t>Experian (personal cards; business INFERENCE)</t>
        </is>
      </c>
      <c r="T39" s="96" t="inlineStr">
        <is>
          <t>⚠️ Personal: ALWAYS (reports to BOTH personal + business credit). Business: D&amp;B/EX-Biz/EQ-Biz</t>
        </is>
      </c>
      <c r="U39" s="96" t="inlineStr">
        <is>
          <t>Apply via Virtual Branch (staff-assisted). 2yr-business required. Personal-card DPs: $25K approvals, Experian, generous CLIs. Business-card DPs N/M.</t>
        </is>
      </c>
      <c r="V39" s="96" t="inlineStr">
        <is>
          <t>0</t>
        </is>
      </c>
      <c r="W39" s="96" t="inlineStr">
        <is>
          <t>B — Self-UW (apply offline)</t>
        </is>
      </c>
      <c r="X39" s="96" t="inlineStr">
        <is>
          <t>PG yes (INFERENCE); no tax returns</t>
        </is>
      </c>
      <c r="Y39" s="96" t="inlineStr">
        <is>
          <t>None. Card reports to personal credit (weak for keep-off-personal). Low APR is the draw.</t>
        </is>
      </c>
      <c r="Z39" s="96" t="inlineStr">
        <is>
          <t>Membership required (16 NorCal counties + family; OPEN nationwide via Financial Fitness Assoc, Patelco pays yr1)</t>
        </is>
      </c>
      <c r="AA39" s="96" t="inlineStr">
        <is>
          <t>Low APR but reports to personal</t>
        </is>
      </c>
      <c r="AB39" s="96" t="inlineStr">
        <is>
          <t>Patelco Mastercard Business Rewards (low-rate, 1.5 pts)</t>
        </is>
      </c>
      <c r="AC39" s="96" t="inlineStr">
        <is>
          <t>NorCal / SF Bay (16-county FOM)</t>
        </is>
      </c>
      <c r="AD39" s="96" t="inlineStr">
        <is>
          <t>Dublin, CA</t>
        </is>
      </c>
      <c r="AE39" s="96" t="inlineStr">
        <is>
          <t>CU</t>
        </is>
      </c>
      <c r="AF39" s="96" t="inlineStr">
        <is>
          <t>HIGH self/low-APR/membership; ⚠️ reports to PERSONAL credit always. 2026-05-28</t>
        </is>
      </c>
      <c r="AG39" s="96" t="inlineStr">
        <is>
          <t>patelco.org/business-banking/business-rewards-card + T&amp;C PDF; /how-do-business-credit-cards-work (personal+business reporting); /become-a-member (FFA); myfico.com #6585690</t>
        </is>
      </c>
    </row>
    <row r="40" ht="15.75" customHeight="1">
      <c r="A40" s="96" t="inlineStr">
        <is>
          <t>37</t>
        </is>
      </c>
      <c r="B40" s="96" t="inlineStr">
        <is>
          <t>36</t>
        </is>
      </c>
      <c r="C40" s="96" t="inlineStr">
        <is>
          <t>SAFE Credit Union</t>
        </is>
      </c>
      <c r="D40" s="96" t="inlineStr">
        <is>
          <t>Credit Union</t>
        </is>
      </c>
      <c r="E40" s="96" t="inlineStr">
        <is>
          <t>Other — NorCal</t>
        </is>
      </c>
      <c r="F40" s="96" t="inlineStr">
        <is>
          <t>2/4  ✓SUW ✗Onl ✗SoCal ✓Card</t>
        </is>
      </c>
      <c r="G40" s="96" t="inlineStr">
        <is>
          <t>N/M (no bank-specific data point found)</t>
        </is>
      </c>
      <c r="H40" s="96" t="inlineStr">
        <is>
          <t>~$5B</t>
        </is>
      </c>
      <c r="I40" s="96" t="inlineStr">
        <is>
          <t>—</t>
        </is>
      </c>
      <c r="J40" s="96" t="inlineStr">
        <is>
          <t>13 NorCal counties + family / Aerospace Museum path; ~20 branches</t>
        </is>
      </c>
      <c r="K40" s="96" t="inlineStr">
        <is>
          <t>CA-HQ'd</t>
        </is>
      </c>
      <c r="L40" s="96" t="inlineStr">
        <is>
          <t>Yes</t>
        </is>
      </c>
      <c r="M40" s="96" t="inlineStr">
        <is>
          <t>✅ SAFE Visa Business: 0% 12mo BT promo; 13.40-19.40%; $0 AF; ScoreCard points</t>
        </is>
      </c>
      <c r="N40" s="96" t="inlineStr">
        <is>
          <t>Self (SAFE Credit Union)</t>
        </is>
      </c>
      <c r="O40" s="96" t="inlineStr">
        <is>
          <t>In-person</t>
        </is>
      </c>
      <c r="P40" s="96" t="inlineStr">
        <is>
          <t>Phone appointment (no online form)</t>
        </is>
      </c>
      <c r="Q40" s="96" t="inlineStr">
        <is>
          <t>https://www.safecu.org/business/grow-your-business/visa-business</t>
        </is>
      </c>
      <c r="R40" s="96" t="inlineStr">
        <is>
          <t>https://www.safecu.org/business/grow-your-business/visa-business</t>
        </is>
      </c>
      <c r="S40" s="96" t="inlineStr">
        <is>
          <t>N/M business (TransUnion for personal/membership)</t>
        </is>
      </c>
      <c r="T40" s="96" t="inlineStr">
        <is>
          <t>Negative/default reporting (personal); business bureaus N/M</t>
        </is>
      </c>
      <c r="U40" s="96" t="inlineStr">
        <is>
          <t>Apply via phone appointment (no online form). PG explicit; financials on request (Sec 23). Membership-gated.</t>
        </is>
      </c>
      <c r="V40" s="96" t="inlineStr">
        <is>
          <t>2</t>
        </is>
      </c>
      <c r="W40" s="96" t="inlineStr">
        <is>
          <t>B — Self-UW (apply offline)</t>
        </is>
      </c>
      <c r="X40" s="96" t="inlineStr">
        <is>
          <t>PG YES (explicit guaranty) + financials on request — NOT fully no-doc</t>
        </is>
      </c>
      <c r="Y40" s="96" t="inlineStr">
        <is>
          <t>None (PG + financials-on-request clause)</t>
        </is>
      </c>
      <c r="Z40" s="96" t="inlineStr">
        <is>
          <t>Membership required (13 NorCal counties + family; Aerospace Museum 'anyone can join' path)</t>
        </is>
      </c>
      <c r="AA40" s="96" t="inlineStr">
        <is>
          <t>No-doc card — apply in branch</t>
        </is>
      </c>
      <c r="AB40" s="96" t="inlineStr">
        <is>
          <t>SAFE Visa Business Credit Card</t>
        </is>
      </c>
      <c r="AC40" s="96" t="inlineStr">
        <is>
          <t>NorCal / Sacramento (13-county FOM)</t>
        </is>
      </c>
      <c r="AD40" s="96" t="inlineStr">
        <is>
          <t>Folsom, CA (Sacramento metro)</t>
        </is>
      </c>
      <c r="AE40" s="96" t="inlineStr">
        <is>
          <t>CU</t>
        </is>
      </c>
      <c r="AF40" s="96" t="inlineStr">
        <is>
          <t>HIGH self/terms/PG-explicit/membership; MED 0%-BT-promo, HP. Financials-on-request = not pure no-doc. 2026-05-28</t>
        </is>
      </c>
      <c r="AG40" s="96" t="inlineStr">
        <is>
          <t>safecu.org/business/grow-your-business/visa-business + Business Credit Card Agreement PDF (PG, Sec 23 financials); /about/join-safe; dfpi.ca.gov</t>
        </is>
      </c>
    </row>
    <row r="41" ht="15.75" customHeight="1">
      <c r="A41" s="96" t="inlineStr">
        <is>
          <t>38</t>
        </is>
      </c>
      <c r="B41" s="96" t="inlineStr">
        <is>
          <t>37</t>
        </is>
      </c>
      <c r="C41" s="96" t="inlineStr">
        <is>
          <t>Citizens Business Bank</t>
        </is>
      </c>
      <c r="D41" s="96" t="inlineStr">
        <is>
          <t>CA Bank</t>
        </is>
      </c>
      <c r="E41" s="96" t="inlineStr">
        <is>
          <t>★ Core SoCal</t>
        </is>
      </c>
      <c r="F41" s="96" t="inlineStr">
        <is>
          <t>3/4  ✗SUW ✓Onl ✓SoCal ✓Card</t>
        </is>
      </c>
      <c r="G41" s="96" t="inlineStr">
        <is>
          <t>Elan platform: ~$3K–$10K start, to ~$20K strong files (~$500 seen at 800+ FICO)  [myFICO #6658960]</t>
        </is>
      </c>
      <c r="H41" s="96" t="inlineStr">
        <is>
          <t>$15.51B</t>
        </is>
      </c>
      <c r="I41" s="96" t="inlineStr">
        <is>
          <t>$12.00B</t>
        </is>
      </c>
      <c r="J41" s="96" t="inlineStr">
        <is>
          <t>CA-only; ~64 branches/57 cities statewide</t>
        </is>
      </c>
      <c r="K41" s="96" t="inlineStr">
        <is>
          <t>CA-HQ'd</t>
        </is>
      </c>
      <c r="L41" s="96" t="inlineStr">
        <is>
          <t>No</t>
        </is>
      </c>
      <c r="M41" s="96" t="inlineStr">
        <is>
          <t>✅ 0% 12 cycles → 17.24-26.24%; $0 AF</t>
        </is>
      </c>
      <c r="N41" s="96" t="inlineStr">
        <is>
          <t>Elan</t>
        </is>
      </c>
      <c r="O41" s="96" t="inlineStr">
        <is>
          <t>Online</t>
        </is>
      </c>
      <c r="P41" s="96" t="inlineStr">
        <is>
          <t>Online — apply at https://creditcardlearnmore.com/11t3/index?ecdma-lc=26893&amp;ecid=OTHE_25940#business</t>
        </is>
      </c>
      <c r="Q41" s="96" t="inlineStr">
        <is>
          <t>https://www.cbbank.com</t>
        </is>
      </c>
      <c r="R41" s="96" t="inlineStr">
        <is>
          <t>https://creditcardlearnmore.com/11t3/index?ecdma-lc=26893&amp;ecid=OTHE_25940#business</t>
        </is>
      </c>
      <c r="S41" s="96" t="inlineStr">
        <is>
          <t>TransUnion (varies EX/EQ)</t>
        </is>
      </c>
      <c r="T41" s="96" t="inlineStr">
        <is>
          <t>D&amp;B; not personal in good standing</t>
        </is>
      </c>
      <c r="U41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41" s="96" t="inlineStr">
        <is>
          <t>3</t>
        </is>
      </c>
      <c r="W41" s="96" t="inlineStr">
        <is>
          <t>C — White-label, apply online</t>
        </is>
      </c>
      <c r="X41" s="96" t="inlineStr">
        <is>
          <t>PG yes; no tax returns (&lt;$25K)</t>
        </is>
      </c>
      <c r="Y41" s="96" t="inlineStr">
        <is>
          <t>None (SBA/LOC need biz tax returns)</t>
        </is>
      </c>
      <c r="Z41" s="96" t="inlineStr">
        <is>
          <t>No</t>
        </is>
      </c>
      <c r="AA41" s="96" t="inlineStr">
        <is>
          <t>No-doc 0% card — apply online (Elan)</t>
        </is>
      </c>
      <c r="AB41" s="96" t="inlineStr">
        <is>
          <t>'Mastercard Business Card' = Elan suite (Cash Preferred/Smart/Real Rewards)</t>
        </is>
      </c>
      <c r="AC41" s="96" t="inlineStr">
        <is>
          <t>SoCal / Inland Empire</t>
        </is>
      </c>
      <c r="AD41" s="96" t="inlineStr">
        <is>
          <t>Ontario</t>
        </is>
      </c>
      <c r="AE41" s="96" t="inlineStr">
        <is>
          <t>8</t>
        </is>
      </c>
      <c r="AF41" s="96" t="inlineStr">
        <is>
          <t>HIGH relevance/issuer/online/PG/footprint. 2026-05-28</t>
        </is>
      </c>
      <c r="AG41" s="96" t="inlineStr">
        <is>
          <t>cbbank.com/business-cards; creditcardlearnmore.com; cbbank.com/sba-lending</t>
        </is>
      </c>
    </row>
    <row r="42" ht="15.75" customHeight="1">
      <c r="A42" s="96" t="inlineStr">
        <is>
          <t>39</t>
        </is>
      </c>
      <c r="B42" s="96" t="inlineStr">
        <is>
          <t>38</t>
        </is>
      </c>
      <c r="C42" s="96" t="inlineStr">
        <is>
          <t>Community West Bank</t>
        </is>
      </c>
      <c r="D42" s="96" t="inlineStr">
        <is>
          <t>CA Bank</t>
        </is>
      </c>
      <c r="E42" s="96" t="inlineStr">
        <is>
          <t>Other — Central Valley</t>
        </is>
      </c>
      <c r="F42" s="96" t="inlineStr">
        <is>
          <t>2/4  ✗SUW ✓Onl ✗SoCal ✓Card</t>
        </is>
      </c>
      <c r="G42" s="96" t="inlineStr">
        <is>
          <t>TIB: $10K+ needs financials (flat-priced, not FICO-risk)  [myFICO #5028638]</t>
        </is>
      </c>
      <c r="H42" s="96" t="inlineStr">
        <is>
          <t>$3.70B</t>
        </is>
      </c>
      <c r="I42" s="96" t="inlineStr">
        <is>
          <t>$3.15B</t>
        </is>
      </c>
      <c r="J42" s="96" t="inlineStr">
        <is>
          <t>Central Valley + Central Coast (Central Valley Community Bancorp merger 2024)</t>
        </is>
      </c>
      <c r="K42" s="96" t="inlineStr">
        <is>
          <t>CA-HQ'd</t>
        </is>
      </c>
      <c r="L42" s="96" t="inlineStr">
        <is>
          <t>No</t>
        </is>
      </c>
      <c r="M42" s="96" t="inlineStr">
        <is>
          <t>✅ no 0%; ~19.5% (Prime+10.99%); $0/$49 AF</t>
        </is>
      </c>
      <c r="N42" s="96" t="inlineStr">
        <is>
          <t>TIB</t>
        </is>
      </c>
      <c r="O42" s="96" t="inlineStr">
        <is>
          <t>Online</t>
        </is>
      </c>
      <c r="P42" s="96" t="inlineStr">
        <is>
          <t>Online — apply at https://www.cardaccount.net/application/f87a3255c0/business/new</t>
        </is>
      </c>
      <c r="Q42" s="96" t="inlineStr">
        <is>
          <t>https://www.communitywestbank.com</t>
        </is>
      </c>
      <c r="R42" s="96" t="inlineStr">
        <is>
          <t>https://www.cardaccount.net/application/f87a3255c0/business/new</t>
        </is>
      </c>
      <c r="S42" s="96" t="inlineStr">
        <is>
          <t>Experian</t>
        </is>
      </c>
      <c r="T42" s="96" t="inlineStr">
        <is>
          <t>N/M (TIB not on DoC list)</t>
        </is>
      </c>
      <c r="U42" s="96" t="inlineStr">
        <is>
          <t>TIB: pulls Experian incl. CLIs (CLI=hard pull); $10K+ needs financials; flat pricing (not FICO-risk-priced). myfico.com #5028638</t>
        </is>
      </c>
      <c r="V42" s="96" t="inlineStr">
        <is>
          <t>3</t>
        </is>
      </c>
      <c r="W42" s="96" t="inlineStr">
        <is>
          <t>C — White-label, apply online</t>
        </is>
      </c>
      <c r="X42" s="96" t="inlineStr">
        <is>
          <t>PG yes; financials required $10K+ (sub-$10K light-doc)</t>
        </is>
      </c>
      <c r="Y42" s="96" t="inlineStr">
        <is>
          <t>N/M (TIB card &lt;$10K is the light-doc path)</t>
        </is>
      </c>
      <c r="Z42" s="96" t="inlineStr">
        <is>
          <t>N/M</t>
        </is>
      </c>
      <c r="AA42" s="96" t="inlineStr">
        <is>
          <t>★ No-doc card — apply online</t>
        </is>
      </c>
      <c r="AB42" s="96" t="inlineStr">
        <is>
          <t>Standard Business Card ($0 AF); Preferred Points Business Rewards ($49 AF)</t>
        </is>
      </c>
      <c r="AC42" s="96" t="inlineStr">
        <is>
          <t>Central Valley / Central Coast</t>
        </is>
      </c>
      <c r="AD42" s="96" t="inlineStr">
        <is>
          <t>Fresno</t>
        </is>
      </c>
      <c r="AE42" s="96" t="inlineStr">
        <is>
          <t>31</t>
        </is>
      </c>
      <c r="AF42" s="96" t="inlineStr">
        <is>
          <t>HIGH products/issuer (TIB)/APR/fees/HP=Experian; N/M reports, deposit. 2026-05-28</t>
        </is>
      </c>
      <c r="AG42" s="96" t="inlineStr">
        <is>
          <t>communitywestbank.com/business-credit-cards; cardaccount.net/application/f87a3255c0; myfico.com #5028638</t>
        </is>
      </c>
    </row>
    <row r="43" ht="15.75" customHeight="1">
      <c r="A43" s="96" t="inlineStr">
        <is>
          <t>40</t>
        </is>
      </c>
      <c r="B43" s="96" t="inlineStr">
        <is>
          <t>39</t>
        </is>
      </c>
      <c r="C43" s="96" t="inlineStr">
        <is>
          <t>Farmers &amp; Merchants Bank of Long Beach</t>
        </is>
      </c>
      <c r="D43" s="96" t="inlineStr">
        <is>
          <t>CA Bank</t>
        </is>
      </c>
      <c r="E43" s="96" t="inlineStr">
        <is>
          <t>★ Core SoCal</t>
        </is>
      </c>
      <c r="F43" s="96" t="inlineStr">
        <is>
          <t>3/4  ✗SUW ✓Onl ✓SoCal ✓Card</t>
        </is>
      </c>
      <c r="G43" s="96" t="inlineStr">
        <is>
          <t>Elan platform: ~$3K–$10K start, to ~$20K strong files (~$500 seen at 800+ FICO)  [myFICO #6658960]</t>
        </is>
      </c>
      <c r="H43" s="96" t="inlineStr">
        <is>
          <t>$11.86B</t>
        </is>
      </c>
      <c r="I43" s="96" t="inlineStr">
        <is>
          <t>$8.94B</t>
        </is>
      </c>
      <c r="J43" s="96" t="inlineStr">
        <is>
          <t>27 branches; Long Beach, Orange County, South Bay, Santa Barbara</t>
        </is>
      </c>
      <c r="K43" s="96" t="inlineStr">
        <is>
          <t>CA-HQ'd</t>
        </is>
      </c>
      <c r="L43" s="96" t="inlineStr">
        <is>
          <t>No</t>
        </is>
      </c>
      <c r="M43" s="96" t="inlineStr">
        <is>
          <t>✅ 0% 12 cycles → 17.24-26.24%; $0 AF; $350 SUB</t>
        </is>
      </c>
      <c r="N43" s="96" t="inlineStr">
        <is>
          <t>Elan</t>
        </is>
      </c>
      <c r="O43" s="96" t="inlineStr">
        <is>
          <t>Online</t>
        </is>
      </c>
      <c r="P43" s="96" t="inlineStr">
        <is>
          <t>Online — apply at https://creditcardlearnmore.com/11t3/index?ecdma-lc=31463&amp;ecid=OTHE_25940</t>
        </is>
      </c>
      <c r="Q43" s="96" t="inlineStr">
        <is>
          <t>https://www.fmb.com</t>
        </is>
      </c>
      <c r="R43" s="96" t="inlineStr">
        <is>
          <t>https://creditcardlearnmore.com/11t3/index?ecdma-lc=31463&amp;ecid=OTHE_25940</t>
        </is>
      </c>
      <c r="S43" s="96" t="inlineStr">
        <is>
          <t>TransUnion (varies EX/EQ)</t>
        </is>
      </c>
      <c r="T43" s="96" t="inlineStr">
        <is>
          <t>D&amp;B + SBFE (infer); not personal</t>
        </is>
      </c>
      <c r="U43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43" s="96" t="inlineStr">
        <is>
          <t>3</t>
        </is>
      </c>
      <c r="W43" s="96" t="inlineStr">
        <is>
          <t>C — White-label, apply online</t>
        </is>
      </c>
      <c r="X43" s="96" t="inlineStr">
        <is>
          <t>PG yes; no tax returns (&lt;$25K)</t>
        </is>
      </c>
      <c r="Y43" s="96" t="inlineStr">
        <is>
          <t>None (CRE/C&amp;I/SBA full-doc)</t>
        </is>
      </c>
      <c r="Z43" s="96" t="inlineStr">
        <is>
          <t>No</t>
        </is>
      </c>
      <c r="AA43" s="96" t="inlineStr">
        <is>
          <t>No-doc 0% card — apply online (Elan)</t>
        </is>
      </c>
      <c r="AB43" s="96" t="inlineStr">
        <is>
          <t>6 Elan business Visa: Cash Preferred, Real Rewards, Zero+, Smart Signature, CommUNITY, Company</t>
        </is>
      </c>
      <c r="AC43" s="96" t="inlineStr">
        <is>
          <t>SoCal / LA-Long Beach</t>
        </is>
      </c>
      <c r="AD43" s="96" t="inlineStr">
        <is>
          <t>Long Beach</t>
        </is>
      </c>
      <c r="AE43" s="96" t="inlineStr">
        <is>
          <t>10</t>
        </is>
      </c>
      <c r="AF43" s="96" t="inlineStr">
        <is>
          <t>HIGH products/issuer/online/terms. Not fandm.bank (ServisFirst). 2026-05-28</t>
        </is>
      </c>
      <c r="AG43" s="96" t="inlineStr">
        <is>
          <t>fmb.com/business/business-credit-card; creditcardlearnmore.com; cdwest.fmb.com/Locations</t>
        </is>
      </c>
    </row>
    <row r="44" ht="15.75" customHeight="1">
      <c r="A44" s="96" t="inlineStr">
        <is>
          <t>41</t>
        </is>
      </c>
      <c r="B44" s="96" t="inlineStr">
        <is>
          <t>40</t>
        </is>
      </c>
      <c r="C44" s="96" t="inlineStr">
        <is>
          <t>Tri Counties Bank</t>
        </is>
      </c>
      <c r="D44" s="96" t="inlineStr">
        <is>
          <t>CA Bank</t>
        </is>
      </c>
      <c r="E44" s="96" t="inlineStr">
        <is>
          <t>Other — NorCal</t>
        </is>
      </c>
      <c r="F44" s="96" t="inlineStr">
        <is>
          <t>2/4  ✓SUW ✗Onl ✗SoCal ✓Card</t>
        </is>
      </c>
      <c r="G44" s="96" t="inlineStr">
        <is>
          <t>N/M (no bank-specific data point found)</t>
        </is>
      </c>
      <c r="H44" s="96" t="inlineStr">
        <is>
          <t>$9.95B</t>
        </is>
      </c>
      <c r="I44" s="96" t="inlineStr">
        <is>
          <t>$8.41B</t>
        </is>
      </c>
      <c r="J44" s="96" t="inlineStr">
        <is>
          <t>CA-only; NorCal/Central + SoCal</t>
        </is>
      </c>
      <c r="K44" s="96" t="inlineStr">
        <is>
          <t>CA-HQ'd</t>
        </is>
      </c>
      <c r="L44" s="96" t="inlineStr">
        <is>
          <t>Yes</t>
        </is>
      </c>
      <c r="M44" s="96" t="inlineStr">
        <is>
          <t>✅ no 0%; APR N/M; $0 AF; 1.5% cash back (Platinum)</t>
        </is>
      </c>
      <c r="N44" s="96" t="inlineStr">
        <is>
          <t>Self (Tri Counties Bank, N.A.)</t>
        </is>
      </c>
      <c r="O44" s="96" t="inlineStr">
        <is>
          <t>In-person</t>
        </is>
      </c>
      <c r="P44" s="96" t="inlineStr">
        <is>
          <t>Paper form BCC-301 (in-branch)</t>
        </is>
      </c>
      <c r="Q44" s="96" t="inlineStr">
        <is>
          <t>https://www.tcbk.com</t>
        </is>
      </c>
      <c r="R44" s="96" t="inlineStr">
        <is>
          <t>https://www.tcbk.com/business/credit-cards</t>
        </is>
      </c>
      <c r="S44" s="96" t="inlineStr">
        <is>
          <t>N/M (personal pull via PG; bureau not named)</t>
        </is>
      </c>
      <c r="T44" s="96" t="inlineStr">
        <is>
          <t>N/M ('may report'; bureaus unnamed)</t>
        </is>
      </c>
      <c r="U44" s="96" t="inlineStr">
        <is>
          <t>N/M — zero forum data points (small self-issued program)</t>
        </is>
      </c>
      <c r="V44" s="96" t="inlineStr">
        <is>
          <t>2</t>
        </is>
      </c>
      <c r="W44" s="96" t="inlineStr">
        <is>
          <t>B — Self-UW (apply offline)</t>
        </is>
      </c>
      <c r="X44" s="96" t="inlineStr">
        <is>
          <t>PG yes (mandatory guarantor); no tax returns at app (self-reported revenue)</t>
        </is>
      </c>
      <c r="Y44" s="96" t="inlineStr">
        <is>
          <t>None truly no-doc (LOC needs 3yr profitability)</t>
        </is>
      </c>
      <c r="Z44" s="96" t="inlineStr">
        <is>
          <t>N/M</t>
        </is>
      </c>
      <c r="AA44" s="96" t="inlineStr">
        <is>
          <t>No-doc card — apply in branch</t>
        </is>
      </c>
      <c r="AB44" s="96" t="inlineStr">
        <is>
          <t>Visa Business Card; Visa Business Platinum. (Personal cards = TCM — don't conflate)</t>
        </is>
      </c>
      <c r="AC44" s="96" t="inlineStr">
        <is>
          <t>NorCal / Sacramento</t>
        </is>
      </c>
      <c r="AD44" s="96" t="inlineStr">
        <is>
          <t>Chico</t>
        </is>
      </c>
      <c r="AE44" s="96" t="inlineStr">
        <is>
          <t>11</t>
        </is>
      </c>
      <c r="AF44" s="96" t="inlineStr">
        <is>
          <t>MED-HIGH self-issuer/products/PG/no-tax; N/M HP, reports, APR. 2026-05-28</t>
        </is>
      </c>
      <c r="AG44" s="96" t="inlineStr">
        <is>
          <t>tcbk.com/business/credit-cards + Business_Card_Disclosure PDF + application PDF</t>
        </is>
      </c>
    </row>
    <row r="45" ht="15.75" customHeight="1">
      <c r="A45" s="96" t="inlineStr">
        <is>
          <t>42</t>
        </is>
      </c>
      <c r="B45" s="96" t="inlineStr">
        <is>
          <t>41</t>
        </is>
      </c>
      <c r="C45" s="96" t="inlineStr">
        <is>
          <t>Hanmi Bank</t>
        </is>
      </c>
      <c r="D45" s="96" t="inlineStr">
        <is>
          <t>CA Bank</t>
        </is>
      </c>
      <c r="E45" s="96" t="inlineStr">
        <is>
          <t>★ Core SoCal</t>
        </is>
      </c>
      <c r="F45" s="96" t="inlineStr">
        <is>
          <t>3/4  ✗SUW ✓Onl ✓SoCal ✓Card</t>
        </is>
      </c>
      <c r="G45" s="96" t="inlineStr">
        <is>
          <t>Elan platform: ~$3K–$10K start, to ~$20K strong files (~$500 seen at 800+ FICO)  [myFICO #6658960]</t>
        </is>
      </c>
      <c r="H45" s="96" t="inlineStr">
        <is>
          <t>$7.79B</t>
        </is>
      </c>
      <c r="I45" s="96" t="inlineStr">
        <is>
          <t>$6.80B</t>
        </is>
      </c>
      <c r="J45" s="96" t="inlineStr">
        <is>
          <t>~21 CA branches; LA, Orange County, San Diego, Silicon Valley; Korean-American</t>
        </is>
      </c>
      <c r="K45" s="96" t="inlineStr">
        <is>
          <t>CA-HQ'd</t>
        </is>
      </c>
      <c r="L45" s="96" t="inlineStr">
        <is>
          <t>No</t>
        </is>
      </c>
      <c r="M45" s="96" t="inlineStr">
        <is>
          <t>✅ 0% 18 cycles (Business Zero+); APR/AF N/M</t>
        </is>
      </c>
      <c r="N45" s="96" t="inlineStr">
        <is>
          <t>Elan</t>
        </is>
      </c>
      <c r="O45" s="96" t="inlineStr">
        <is>
          <t>Online</t>
        </is>
      </c>
      <c r="P45" s="96" t="inlineStr">
        <is>
          <t>Online — apply at https://www.mycardapply.com/synindex/product?ecdma-lc=36069&amp;ecid=OTHE_25940&amp;offertype=132</t>
        </is>
      </c>
      <c r="Q45" s="96" t="inlineStr">
        <is>
          <t>https://www.hanmi.com</t>
        </is>
      </c>
      <c r="R45" s="96" t="inlineStr">
        <is>
          <t>https://www.mycardapply.com/synindex/product?ecdma-lc=36069&amp;ecid=OTHE_25940&amp;offertype=132</t>
        </is>
      </c>
      <c r="S45" s="96" t="inlineStr">
        <is>
          <t>TransUnion (varies EX/EQ)</t>
        </is>
      </c>
      <c r="T45" s="96" t="inlineStr">
        <is>
          <t>D&amp;B; not personal in good standing</t>
        </is>
      </c>
      <c r="U45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45" s="96" t="inlineStr">
        <is>
          <t>3</t>
        </is>
      </c>
      <c r="W45" s="96" t="inlineStr">
        <is>
          <t>C — White-label, apply online</t>
        </is>
      </c>
      <c r="X45" s="96" t="inlineStr">
        <is>
          <t>PG yes; no tax returns (&lt;$25K)</t>
        </is>
      </c>
      <c r="Y45" s="96" t="inlineStr">
        <is>
          <t>None (SBA/CRE/term/trade full-doc)</t>
        </is>
      </c>
      <c r="Z45" s="96" t="inlineStr">
        <is>
          <t>No</t>
        </is>
      </c>
      <c r="AA45" s="96" t="inlineStr">
        <is>
          <t>0% for 18 billing cycles (Elan)</t>
        </is>
      </c>
      <c r="AB45" s="96" t="inlineStr">
        <is>
          <t>Business Zero+ (0% 18 cyc), Business Real Rewards, Business Cash Preferred, Smart Business Rewards</t>
        </is>
      </c>
      <c r="AC45" s="96" t="inlineStr">
        <is>
          <t>SoCal / LA</t>
        </is>
      </c>
      <c r="AD45" s="96" t="inlineStr">
        <is>
          <t>Los Angeles</t>
        </is>
      </c>
      <c r="AE45" s="96" t="inlineStr">
        <is>
          <t>14</t>
        </is>
      </c>
      <c r="AF45" s="96" t="inlineStr">
        <is>
          <t>HIGH relevance/issuer/online/PG; MED HP. (Not 'Fifth Third' — snippet error.) 2026-05-28</t>
        </is>
      </c>
      <c r="AG45" s="96" t="inlineStr">
        <is>
          <t>hanmi.com/business/business-credit-cards; mycardapply.com; online1.elancard.com STD_BIZ.pdf</t>
        </is>
      </c>
    </row>
    <row r="46" ht="15.75" customHeight="1">
      <c r="A46" s="96" t="inlineStr">
        <is>
          <t>43</t>
        </is>
      </c>
      <c r="B46" s="96" t="inlineStr">
        <is>
          <t>42</t>
        </is>
      </c>
      <c r="C46" s="96" t="inlineStr">
        <is>
          <t>Preferred Bank</t>
        </is>
      </c>
      <c r="D46" s="96" t="inlineStr">
        <is>
          <t>CA Bank</t>
        </is>
      </c>
      <c r="E46" s="96" t="inlineStr">
        <is>
          <t>★ Core SoCal</t>
        </is>
      </c>
      <c r="F46" s="96" t="inlineStr">
        <is>
          <t>3/4  ✗SUW ✓Onl ✓SoCal ✓Card</t>
        </is>
      </c>
      <c r="G46" s="96" t="inlineStr">
        <is>
          <t>Elan platform: ~$3K–$10K start, to ~$20K strong files (~$500 seen at 800+ FICO)  [myFICO #6658960]</t>
        </is>
      </c>
      <c r="H46" s="96" t="inlineStr">
        <is>
          <t>$7.66B</t>
        </is>
      </c>
      <c r="I46" s="96" t="inlineStr">
        <is>
          <t>$6.43B</t>
        </is>
      </c>
      <c r="J46" s="96" t="inlineStr">
        <is>
          <t>13 CA branches/11 cities; LA + Orange County + SF; Chinese-American</t>
        </is>
      </c>
      <c r="K46" s="96" t="inlineStr">
        <is>
          <t>CA-HQ'd</t>
        </is>
      </c>
      <c r="L46" s="96" t="inlineStr">
        <is>
          <t>No</t>
        </is>
      </c>
      <c r="M46" s="96" t="inlineStr">
        <is>
          <t>✅ 0% 12 cycles → 17.24-26.24%; $0 AF</t>
        </is>
      </c>
      <c r="N46" s="96" t="inlineStr">
        <is>
          <t>Elan</t>
        </is>
      </c>
      <c r="O46" s="96" t="inlineStr">
        <is>
          <t>Online</t>
        </is>
      </c>
      <c r="P46" s="96" t="inlineStr">
        <is>
          <t>Online — apply at https://creditcardlearnmore.com/11t3/index?ecdma-lc=25483&amp;ecid=OTHE_25940#business</t>
        </is>
      </c>
      <c r="Q46" s="96" t="inlineStr">
        <is>
          <t>https://www.preferredbank.com</t>
        </is>
      </c>
      <c r="R46" s="96" t="inlineStr">
        <is>
          <t>https://creditcardlearnmore.com/11t3/index?ecdma-lc=25483&amp;ecid=OTHE_25940#business</t>
        </is>
      </c>
      <c r="S46" s="96" t="inlineStr">
        <is>
          <t>TransUnion (varies EX/EQ)</t>
        </is>
      </c>
      <c r="T46" s="96" t="inlineStr">
        <is>
          <t>Personal delinquency-only; biz bureaus N/M</t>
        </is>
      </c>
      <c r="U46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46" s="96" t="inlineStr">
        <is>
          <t>3</t>
        </is>
      </c>
      <c r="W46" s="96" t="inlineStr">
        <is>
          <t>C — White-label, apply online</t>
        </is>
      </c>
      <c r="X46" s="96" t="inlineStr">
        <is>
          <t>PG yes; no tax returns (&lt;$25K)</t>
        </is>
      </c>
      <c r="Y46" s="96" t="inlineStr">
        <is>
          <t>None (LOC/term/SBA full-doc)</t>
        </is>
      </c>
      <c r="Z46" s="96" t="inlineStr">
        <is>
          <t>No</t>
        </is>
      </c>
      <c r="AA46" s="96" t="inlineStr">
        <is>
          <t>No-doc 0% card — apply online (Elan)</t>
        </is>
      </c>
      <c r="AB46" s="96" t="inlineStr">
        <is>
          <t>Business Cash Preferred, Smart Business Rewards, Business Real Rewards</t>
        </is>
      </c>
      <c r="AC46" s="96" t="inlineStr">
        <is>
          <t>SoCal / LA</t>
        </is>
      </c>
      <c r="AD46" s="96" t="inlineStr">
        <is>
          <t>Los Angeles</t>
        </is>
      </c>
      <c r="AE46" s="96" t="inlineStr">
        <is>
          <t>16</t>
        </is>
      </c>
      <c r="AF46" s="96" t="inlineStr">
        <is>
          <t>HIGH issuer/products/terms/online; N/M HP, biz reporting. 2026-05-28</t>
        </is>
      </c>
      <c r="AG46" s="96" t="inlineStr">
        <is>
          <t>preferredbank.com/business/loans-and-credit/credit-cards; creditcardlearnmore.com (25483)</t>
        </is>
      </c>
    </row>
    <row r="47" ht="15.75" customHeight="1">
      <c r="A47" s="96" t="inlineStr">
        <is>
          <t>44</t>
        </is>
      </c>
      <c r="B47" s="96" t="inlineStr">
        <is>
          <t>43</t>
        </is>
      </c>
      <c r="C47" s="96" t="inlineStr">
        <is>
          <t>FFB Bank</t>
        </is>
      </c>
      <c r="D47" s="96" t="inlineStr">
        <is>
          <t>CA Bank</t>
        </is>
      </c>
      <c r="E47" s="96" t="inlineStr">
        <is>
          <t>Other — Central Valley</t>
        </is>
      </c>
      <c r="F47" s="96" t="inlineStr">
        <is>
          <t>2/4  ✗SUW ✓Onl ✗SoCal ✓Card</t>
        </is>
      </c>
      <c r="G47" s="96" t="inlineStr">
        <is>
          <t>N/M (TIB; financials typically required $10K+)</t>
        </is>
      </c>
      <c r="H47" s="96" t="inlineStr">
        <is>
          <t>$1.57B</t>
        </is>
      </c>
      <c r="I47" s="96" t="inlineStr">
        <is>
          <t>$1.35B</t>
        </is>
      </c>
      <c r="J47" s="96" t="inlineStr">
        <is>
          <t>Single Fresno branch + Irvine + ~30 states virtual; leading Central Valley SBA lender</t>
        </is>
      </c>
      <c r="K47" s="96" t="inlineStr">
        <is>
          <t>CA-HQ'd</t>
        </is>
      </c>
      <c r="L47" s="96" t="inlineStr">
        <is>
          <t>No</t>
        </is>
      </c>
      <c r="M47" s="96" t="inlineStr">
        <is>
          <t>✅ no 0%; APR N/M; no AF</t>
        </is>
      </c>
      <c r="N47" s="96" t="inlineStr">
        <is>
          <t>TIB</t>
        </is>
      </c>
      <c r="O47" s="96" t="inlineStr">
        <is>
          <t>Online</t>
        </is>
      </c>
      <c r="P47" s="96" t="inlineStr">
        <is>
          <t>Online — apply at https://www.ffb.bank/home/business/loans-credit/credit-cards/</t>
        </is>
      </c>
      <c r="Q47" s="96" t="inlineStr">
        <is>
          <t>https://www.ffb.bank</t>
        </is>
      </c>
      <c r="R47" s="96" t="inlineStr">
        <is>
          <t>https://www.ffb.bank/home/business/loans-credit/credit-cards/</t>
        </is>
      </c>
      <c r="S47" s="96" t="inlineStr">
        <is>
          <t>Experian (infer; single 2021 DP; TIB variable)</t>
        </is>
      </c>
      <c r="T47" s="96" t="inlineStr">
        <is>
          <t>N/M</t>
        </is>
      </c>
      <c r="U47" s="96" t="inlineStr">
        <is>
          <t>N/M FFB-specific; TIB-general only</t>
        </is>
      </c>
      <c r="V47" s="96" t="inlineStr">
        <is>
          <t>3</t>
        </is>
      </c>
      <c r="W47" s="96" t="inlineStr">
        <is>
          <t>C — White-label, apply online</t>
        </is>
      </c>
      <c r="X47" s="96" t="inlineStr">
        <is>
          <t>PG typical (N/M); income docs N/M</t>
        </is>
      </c>
      <c r="Y47" s="96" t="inlineStr">
        <is>
          <t>N/M (SBA-focused; conventional/SBA full-doc)</t>
        </is>
      </c>
      <c r="Z47" s="96" t="inlineStr">
        <is>
          <t>N/M</t>
        </is>
      </c>
      <c r="AA47" s="96" t="inlineStr">
        <is>
          <t>★ No-doc card — apply online</t>
        </is>
      </c>
      <c r="AB47" s="96" t="inlineStr">
        <is>
          <t>FFB Visa Business Card; FFB Visa Business Preferred Points Card</t>
        </is>
      </c>
      <c r="AC47" s="96" t="inlineStr">
        <is>
          <t>Central Valley</t>
        </is>
      </c>
      <c r="AD47" s="96" t="inlineStr">
        <is>
          <t>Fresno</t>
        </is>
      </c>
      <c r="AE47" s="96" t="inlineStr">
        <is>
          <t>47</t>
        </is>
      </c>
      <c r="AF47" s="96" t="inlineStr">
        <is>
          <t>HIGH products/no-AF/SBA; MED-HIGH issuer=TIB (ecosystem); LOW HP, APR. 2026-05-28</t>
        </is>
      </c>
      <c r="AG47" s="96" t="inlineStr">
        <is>
          <t>ffb.bank/home/business/loans-credit/credit-cards; mypreferredpoints.com; myfico.com #6303273</t>
        </is>
      </c>
    </row>
    <row r="48" ht="15.75" customHeight="1">
      <c r="A48" s="96" t="inlineStr">
        <is>
          <t>45</t>
        </is>
      </c>
      <c r="B48" s="96" t="inlineStr">
        <is>
          <t>44</t>
        </is>
      </c>
      <c r="C48" s="96" t="inlineStr">
        <is>
          <t>Montecito Bank &amp; Trust</t>
        </is>
      </c>
      <c r="D48" s="96" t="inlineStr">
        <is>
          <t>CA Bank</t>
        </is>
      </c>
      <c r="E48" s="96" t="inlineStr">
        <is>
          <t>Other — Central Coast</t>
        </is>
      </c>
      <c r="F48" s="96" t="inlineStr">
        <is>
          <t>2/4  ✓SUW ✗Onl ✗SoCal ✓Card</t>
        </is>
      </c>
      <c r="G48" s="96" t="inlineStr">
        <is>
          <t>Visa Business Rewards up to $100K (advertised)</t>
        </is>
      </c>
      <c r="H48" s="96" t="inlineStr">
        <is>
          <t>$2.04B</t>
        </is>
      </c>
      <c r="I48" s="96" t="inlineStr">
        <is>
          <t>$1.79B</t>
        </is>
      </c>
      <c r="J48" s="96" t="inlineStr">
        <is>
          <t>~13 branches Santa Barbara + Ventura counties; largest Central Coast bank</t>
        </is>
      </c>
      <c r="K48" s="96" t="inlineStr">
        <is>
          <t>CA-HQ'd</t>
        </is>
      </c>
      <c r="L48" s="96" t="inlineStr">
        <is>
          <t>Yes</t>
        </is>
      </c>
      <c r="M48" s="96" t="inlineStr">
        <is>
          <t>✅ no 0%; 16.49-24.49%; $0 AF; 1% cash back; $250 SUB</t>
        </is>
      </c>
      <c r="N48" s="96" t="inlineStr">
        <is>
          <t>Self (Montecito B&amp;T is creditor)</t>
        </is>
      </c>
      <c r="O48" s="96" t="inlineStr">
        <is>
          <t>Assisted</t>
        </is>
      </c>
      <c r="P48" s="96" t="inlineStr">
        <is>
          <t>DocuSign (staff-assisted; not instant)</t>
        </is>
      </c>
      <c r="Q48" s="96" t="inlineStr">
        <is>
          <t>https://montecito.bank</t>
        </is>
      </c>
      <c r="R48" s="96" t="inlineStr">
        <is>
          <t>https://montecito.bank/business/credit-card</t>
        </is>
      </c>
      <c r="S48" s="96" t="inlineStr">
        <is>
          <t>N/M (personal pull on guarantor)</t>
        </is>
      </c>
      <c r="T48" s="96" t="inlineStr">
        <is>
          <t>Reports to bureaus; personal on default (specific bureaus N/M)</t>
        </is>
      </c>
      <c r="U48" s="96" t="inlineStr">
        <is>
          <t>N/M (no forum data)</t>
        </is>
      </c>
      <c r="V48" s="96" t="inlineStr">
        <is>
          <t>2</t>
        </is>
      </c>
      <c r="W48" s="96" t="inlineStr">
        <is>
          <t>B — Self-UW (apply offline)</t>
        </is>
      </c>
      <c r="X48" s="96" t="inlineStr">
        <is>
          <t>Co-liability/guarantor; tax returns N/M</t>
        </is>
      </c>
      <c r="Y48" s="96" t="inlineStr">
        <is>
          <t>BizMax LOC + Term $10K-$250K, apply online, decision in minutes</t>
        </is>
      </c>
      <c r="Z48" s="96" t="inlineStr">
        <is>
          <t>YES — deposit customers only (rare hard requirement)</t>
        </is>
      </c>
      <c r="AA48" s="96" t="inlineStr">
        <is>
          <t>No-doc card — apply in branch</t>
        </is>
      </c>
      <c r="AB48" s="96" t="inlineStr">
        <is>
          <t>Visa Business Rewards (limit up to $100K); Fiserv SpendTrack servicing</t>
        </is>
      </c>
      <c r="AC48" s="96" t="inlineStr">
        <is>
          <t>Central Coast</t>
        </is>
      </c>
      <c r="AD48" s="96" t="inlineStr">
        <is>
          <t>Santa Barbara</t>
        </is>
      </c>
      <c r="AE48" s="96" t="inlineStr">
        <is>
          <t>41</t>
        </is>
      </c>
      <c r="AF48" s="96" t="inlineStr">
        <is>
          <t>HIGH self-issuer/terms/deposit-required; MED PG; N/M HP, biz-bureau. 2026-05-28</t>
        </is>
      </c>
      <c r="AG48" s="96" t="inlineStr">
        <is>
          <t>montecito.bank/business/credit-card + business-credit-card-contract PDF + /business/lending/.../bizmax</t>
        </is>
      </c>
    </row>
    <row r="49" ht="15.75" customHeight="1">
      <c r="A49" s="96" t="inlineStr">
        <is>
          <t>46</t>
        </is>
      </c>
      <c r="B49" s="96" t="inlineStr">
        <is>
          <t>45</t>
        </is>
      </c>
      <c r="C49" s="96" t="inlineStr">
        <is>
          <t>BAC Community Bank</t>
        </is>
      </c>
      <c r="D49" s="96" t="inlineStr">
        <is>
          <t>CA Bank</t>
        </is>
      </c>
      <c r="E49" s="96" t="inlineStr">
        <is>
          <t>Other — NorCal</t>
        </is>
      </c>
      <c r="F49" s="96" t="inlineStr">
        <is>
          <t>2/4  ✗SUW ✓Onl ✗SoCal ✓Card</t>
        </is>
      </c>
      <c r="G49" s="96" t="inlineStr">
        <is>
          <t>N/M (TCM; conservative, Experian-driven)</t>
        </is>
      </c>
      <c r="H49" s="96" t="inlineStr">
        <is>
          <t>$0.78B</t>
        </is>
      </c>
      <c r="I49" s="96" t="inlineStr">
        <is>
          <t>$0.67B</t>
        </is>
      </c>
      <c r="J49" s="96" t="inlineStr">
        <is>
          <t>8 branches; Brentwood/Stockton/Modesto (E Contra Costa, San Joaquin, Stanislaus); est 1965</t>
        </is>
      </c>
      <c r="K49" s="96" t="inlineStr">
        <is>
          <t>CA-HQ'd</t>
        </is>
      </c>
      <c r="L49" s="96" t="inlineStr">
        <is>
          <t>No</t>
        </is>
      </c>
      <c r="M49" s="96" t="inlineStr">
        <is>
          <t>✅ no 0% confirmed; APR N/M; $0 AF (most); 1pt/$1 or 1% (TCM)</t>
        </is>
      </c>
      <c r="N49" s="96" t="inlineStr">
        <is>
          <t>TCM Bank, N.A.</t>
        </is>
      </c>
      <c r="O49" s="96" t="inlineStr">
        <is>
          <t>Online</t>
        </is>
      </c>
      <c r="P49" s="96" t="inlineStr">
        <is>
          <t>Online — apply at https://www.bankbac.com/business/loans-credit/business-credit-cards.html</t>
        </is>
      </c>
      <c r="Q49" s="96" t="inlineStr">
        <is>
          <t>https://www.bankbac.com</t>
        </is>
      </c>
      <c r="R49" s="96" t="inlineStr">
        <is>
          <t>https://www.bankbac.com/business/loans-credit/business-credit-cards.html</t>
        </is>
      </c>
      <c r="S49" s="96" t="inlineStr">
        <is>
          <t>Experian</t>
        </is>
      </c>
      <c r="T49" s="96" t="inlineStr">
        <is>
          <t>N/M (TCM reports; bureaus unnamed)</t>
        </is>
      </c>
      <c r="U49" s="96" t="inlineStr">
        <is>
          <t>TCM platform (mycommunitycc.com): Experian pull (apps + CLIs); SBA-eligible businesses only; partner bank has no underwriting say. myfico.com #6303273</t>
        </is>
      </c>
      <c r="V49" s="96" t="inlineStr">
        <is>
          <t>3</t>
        </is>
      </c>
      <c r="W49" s="96" t="inlineStr">
        <is>
          <t>C — White-label, apply online</t>
        </is>
      </c>
      <c r="X49" s="96" t="inlineStr">
        <is>
          <t>PG likely; SBA-eligible only; no tax returns at app</t>
        </is>
      </c>
      <c r="Y49" s="96" t="inlineStr">
        <is>
          <t>None (commercial loans full-doc)</t>
        </is>
      </c>
      <c r="Z49" s="96" t="inlineStr">
        <is>
          <t>N/M</t>
        </is>
      </c>
      <c r="AA49" s="96" t="inlineStr">
        <is>
          <t>★ No-doc card — apply online</t>
        </is>
      </c>
      <c r="AB49" s="96" t="inlineStr">
        <is>
          <t>Small Business Rewards, Small Business Cash Rewards, Small Business Edition, Company Rewards Charge (TCM Visa)</t>
        </is>
      </c>
      <c r="AC49" s="96" t="inlineStr">
        <is>
          <t>NorCal / Sacramento-Stockton</t>
        </is>
      </c>
      <c r="AD49" s="96" t="inlineStr">
        <is>
          <t>Stockton</t>
        </is>
      </c>
      <c r="AE49" s="96" t="inlineStr">
        <is>
          <t>70</t>
        </is>
      </c>
      <c r="AF49" s="96" t="inlineStr">
        <is>
          <t>HIGH issuer=TCM (own page disclosure)/products/online/HP=Experian; N/M APR, reports. 2026-05-29</t>
        </is>
      </c>
      <c r="AG49" s="96" t="inlineStr">
        <is>
          <t>bankbac.com/business/loans-credit/business-credit-cards ('issued by TCM Bank, N.A.'); mycommunitycc.com; FDIC cert 19434</t>
        </is>
      </c>
    </row>
    <row r="50" ht="15.75" customHeight="1">
      <c r="A50" s="96" t="inlineStr">
        <is>
          <t>47</t>
        </is>
      </c>
      <c r="B50" s="96" t="inlineStr">
        <is>
          <t>46</t>
        </is>
      </c>
      <c r="C50" s="96" t="inlineStr">
        <is>
          <t>Royal Business Bank</t>
        </is>
      </c>
      <c r="D50" s="96" t="inlineStr">
        <is>
          <t>CA Bank</t>
        </is>
      </c>
      <c r="E50" s="96" t="inlineStr">
        <is>
          <t>★ Core SoCal</t>
        </is>
      </c>
      <c r="F50" s="96" t="inlineStr">
        <is>
          <t>3/4  ✗SUW ✓Onl ✓SoCal ✓Card</t>
        </is>
      </c>
      <c r="G50" s="96" t="inlineStr">
        <is>
          <t>Elan platform: ~$3K–$10K start, to ~$20K strong files (~$500 seen at 800+ FICO)  [myFICO #6658960]</t>
        </is>
      </c>
      <c r="H50" s="96" t="inlineStr">
        <is>
          <t>$4.19B</t>
        </is>
      </c>
      <c r="I50" s="96" t="inlineStr">
        <is>
          <t>$3.39B</t>
        </is>
      </c>
      <c r="J50" s="96" t="inlineStr">
        <is>
          <t>12 CA branches/11 cities; LA + Orange County; Asian-American (RBB Bancorp)</t>
        </is>
      </c>
      <c r="K50" s="96" t="inlineStr">
        <is>
          <t>CA-HQ'd</t>
        </is>
      </c>
      <c r="L50" s="96" t="inlineStr">
        <is>
          <t>No</t>
        </is>
      </c>
      <c r="M50" s="96" t="inlineStr">
        <is>
          <t>✅ 0% 12 cycles → 17.24-26.24%; $0 AF</t>
        </is>
      </c>
      <c r="N50" s="96" t="inlineStr">
        <is>
          <t>Elan</t>
        </is>
      </c>
      <c r="O50" s="96" t="inlineStr">
        <is>
          <t>Online</t>
        </is>
      </c>
      <c r="P50" s="96" t="inlineStr">
        <is>
          <t>Online — apply at https://creditcardlearnmore.com/11t3/index?ecdma-lc=27904&amp;ecid=OTHE_25940</t>
        </is>
      </c>
      <c r="Q50" s="96" t="inlineStr">
        <is>
          <t>https://www.royalbusinessbankusa.com</t>
        </is>
      </c>
      <c r="R50" s="96" t="inlineStr">
        <is>
          <t>https://creditcardlearnmore.com/11t3/index?ecdma-lc=27904&amp;ecid=OTHE_25940</t>
        </is>
      </c>
      <c r="S50" s="96" t="inlineStr">
        <is>
          <t>TransUnion (varies EX/EQ)</t>
        </is>
      </c>
      <c r="T50" s="96" t="inlineStr">
        <is>
          <t>Personal delinquency-only; D&amp;B N/M</t>
        </is>
      </c>
      <c r="U50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50" s="96" t="inlineStr">
        <is>
          <t>3</t>
        </is>
      </c>
      <c r="W50" s="96" t="inlineStr">
        <is>
          <t>C — White-label, apply online</t>
        </is>
      </c>
      <c r="X50" s="96" t="inlineStr">
        <is>
          <t>PG yes; no tax returns (&lt;$25K)</t>
        </is>
      </c>
      <c r="Y50" s="96" t="inlineStr">
        <is>
          <t>None (SBA 7(a)/504, C&amp;I, CRE full-doc)</t>
        </is>
      </c>
      <c r="Z50" s="96" t="inlineStr">
        <is>
          <t>No (Elan 'None' relationship option)</t>
        </is>
      </c>
      <c r="AA50" s="96" t="inlineStr">
        <is>
          <t>No-doc 0% card — apply online (Elan)</t>
        </is>
      </c>
      <c r="AB50" s="96" t="inlineStr">
        <is>
          <t>Business Cash Preferred, Smart Business Rewards, Business Real Rewards</t>
        </is>
      </c>
      <c r="AC50" s="96" t="inlineStr">
        <is>
          <t>SoCal / LA</t>
        </is>
      </c>
      <c r="AD50" s="96" t="inlineStr">
        <is>
          <t>Los Angeles</t>
        </is>
      </c>
      <c r="AE50" s="96" t="inlineStr">
        <is>
          <t>26</t>
        </is>
      </c>
      <c r="AF50" s="96" t="inlineStr">
        <is>
          <t>HIGH issuer/products/online/PG/no-income-docs; MED HP. 2026-05-28</t>
        </is>
      </c>
      <c r="AG50" s="96" t="inlineStr">
        <is>
          <t>royalbusinessbankusa.com/business/services/business-credit-card; creditcardlearnmore.com (27904)</t>
        </is>
      </c>
    </row>
    <row r="51" ht="15.75" customHeight="1">
      <c r="A51" s="96" t="inlineStr">
        <is>
          <t>48</t>
        </is>
      </c>
      <c r="B51" s="96" t="inlineStr">
        <is>
          <t>47</t>
        </is>
      </c>
      <c r="C51" s="96" t="inlineStr">
        <is>
          <t>PCB Bank</t>
        </is>
      </c>
      <c r="D51" s="96" t="inlineStr">
        <is>
          <t>CA Bank</t>
        </is>
      </c>
      <c r="E51" s="96" t="inlineStr">
        <is>
          <t>★ Core SoCal</t>
        </is>
      </c>
      <c r="F51" s="96" t="inlineStr">
        <is>
          <t>3/4  ✗SUW ✓Onl ✓SoCal ✓Card</t>
        </is>
      </c>
      <c r="G51" s="96" t="inlineStr">
        <is>
          <t>Elan platform: ~$3K–$10K start, to ~$20K strong files (~$500 seen at 800+ FICO)  [myFICO #6658960]</t>
        </is>
      </c>
      <c r="H51" s="96" t="inlineStr">
        <is>
          <t>$3.40B</t>
        </is>
      </c>
      <c r="I51" s="96" t="inlineStr">
        <is>
          <t>$2.90B</t>
        </is>
      </c>
      <c r="J51" s="96" t="inlineStr">
        <is>
          <t>~11 branches/6 cities LA metro + Orange County; Korean-American (ex-Pacific City Bank)</t>
        </is>
      </c>
      <c r="K51" s="96" t="inlineStr">
        <is>
          <t>CA-HQ'd</t>
        </is>
      </c>
      <c r="L51" s="96" t="inlineStr">
        <is>
          <t>No</t>
        </is>
      </c>
      <c r="M51" s="96" t="inlineStr">
        <is>
          <t>✅ 0% 12 cycles → 17.24-26.24%; $0 AF</t>
        </is>
      </c>
      <c r="N51" s="96" t="inlineStr">
        <is>
          <t>Elan</t>
        </is>
      </c>
      <c r="O51" s="96" t="inlineStr">
        <is>
          <t>Online</t>
        </is>
      </c>
      <c r="P51" s="96" t="inlineStr">
        <is>
          <t>Online — apply at https://creditcardlearnmore.com/11t3/index?ecdma-lc=33608&amp;ecid=OTHE_25940</t>
        </is>
      </c>
      <c r="Q51" s="96" t="inlineStr">
        <is>
          <t>https://www.mypcbbank.com</t>
        </is>
      </c>
      <c r="R51" s="96" t="inlineStr">
        <is>
          <t>https://creditcardlearnmore.com/11t3/index?ecdma-lc=33608&amp;ecid=OTHE_25940</t>
        </is>
      </c>
      <c r="S51" s="96" t="inlineStr">
        <is>
          <t>TransUnion (varies EX/EQ)</t>
        </is>
      </c>
      <c r="T51" s="96" t="inlineStr">
        <is>
          <t>D&amp;B; not personal in good standing</t>
        </is>
      </c>
      <c r="U51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51" s="96" t="inlineStr">
        <is>
          <t>3</t>
        </is>
      </c>
      <c r="W51" s="96" t="inlineStr">
        <is>
          <t>C — White-label, apply online</t>
        </is>
      </c>
      <c r="X51" s="96" t="inlineStr">
        <is>
          <t>PG yes; no tax returns (&lt;$25K)</t>
        </is>
      </c>
      <c r="Y51" s="96" t="inlineStr">
        <is>
          <t>None (LOC/term/CRE/SBA PLP conventional)</t>
        </is>
      </c>
      <c r="Z51" s="96" t="inlineStr">
        <is>
          <t>No</t>
        </is>
      </c>
      <c r="AA51" s="96" t="inlineStr">
        <is>
          <t>No-doc 0% card — apply online (Elan)</t>
        </is>
      </c>
      <c r="AB51" s="96" t="inlineStr">
        <is>
          <t>Business Cash Preferred, Smart Business Rewards, Business Real Rewards</t>
        </is>
      </c>
      <c r="AC51" s="96" t="inlineStr">
        <is>
          <t>SoCal / LA</t>
        </is>
      </c>
      <c r="AD51" s="96" t="inlineStr">
        <is>
          <t>Los Angeles</t>
        </is>
      </c>
      <c r="AE51" s="96" t="inlineStr">
        <is>
          <t>32</t>
        </is>
      </c>
      <c r="AF51" s="96" t="inlineStr">
        <is>
          <t>HIGH issuer/products/terms/online/SBA; MED PG/HP. 2026-05-28</t>
        </is>
      </c>
      <c r="AG51" s="96" t="inlineStr">
        <is>
          <t>mypcbbank.com/business/business-credit-cards; creditcardlearnmore.com (33608)</t>
        </is>
      </c>
    </row>
    <row r="52" ht="15.75" customHeight="1">
      <c r="A52" s="96" t="inlineStr">
        <is>
          <t>49</t>
        </is>
      </c>
      <c r="B52" s="96" t="inlineStr">
        <is>
          <t>48</t>
        </is>
      </c>
      <c r="C52" s="96" t="inlineStr">
        <is>
          <t>Travis Credit Union</t>
        </is>
      </c>
      <c r="D52" s="96" t="inlineStr">
        <is>
          <t>Credit Union</t>
        </is>
      </c>
      <c r="E52" s="96" t="inlineStr">
        <is>
          <t>Other — NorCal</t>
        </is>
      </c>
      <c r="F52" s="96" t="inlineStr">
        <is>
          <t>2/4  ✓SUW ✗Onl ✗SoCal ✓Card</t>
        </is>
      </c>
      <c r="G52" s="96" t="inlineStr">
        <is>
          <t>N/M (no bank-specific data point found)</t>
        </is>
      </c>
      <c r="H52" s="96" t="inlineStr">
        <is>
          <t>~$2.3B</t>
        </is>
      </c>
      <c r="I52" s="96" t="inlineStr">
        <is>
          <t>—</t>
        </is>
      </c>
      <c r="J52" s="96" t="inlineStr">
        <is>
          <t>HQ Vacaville (Solano); ~22 branches; 12-county NorCal FOM</t>
        </is>
      </c>
      <c r="K52" s="96" t="inlineStr">
        <is>
          <t>CA-HQ'd</t>
        </is>
      </c>
      <c r="L52" s="96" t="inlineStr">
        <is>
          <t>Yes</t>
        </is>
      </c>
      <c r="M52" s="96" t="inlineStr">
        <is>
          <t>✅ TCU Business Visa (sole props, 1.5% cash back, $0 AF) + Standard Business Visa (LLC/corp); NO 0% intro; 12.74-23.74%</t>
        </is>
      </c>
      <c r="N52" s="96" t="inlineStr">
        <is>
          <t>Self (Travis CU)</t>
        </is>
      </c>
      <c r="O52" s="96" t="inlineStr">
        <is>
          <t>In-person</t>
        </is>
      </c>
      <c r="P52" s="96" t="inlineStr">
        <is>
          <t>Phone (800) 877-8328 / appointment (no online Apply)</t>
        </is>
      </c>
      <c r="Q52" s="96" t="inlineStr">
        <is>
          <t>https://www.traviscu.org/business/lending/business-visa/</t>
        </is>
      </c>
      <c r="R52" s="96" t="inlineStr">
        <is>
          <t>https://www.traviscu.org/business/lending/business-visa/</t>
        </is>
      </c>
      <c r="S52" s="96" t="inlineStr">
        <is>
          <t>N/M (personal pull; bureau not named)</t>
        </is>
      </c>
      <c r="T52" s="96" t="inlineStr">
        <is>
          <t>ADVERSE-ONLY (reports to personal ONLY if late/delinquent — off personal in good standing)</t>
        </is>
      </c>
      <c r="U52" s="96" t="inlineStr">
        <is>
          <t>Apply by phone (800) 877-8328 / appointment (no online Apply Now). No business-card forum data.</t>
        </is>
      </c>
      <c r="V52" s="96" t="inlineStr">
        <is>
          <t>2</t>
        </is>
      </c>
      <c r="W52" s="96" t="inlineStr">
        <is>
          <t>B — Self-UW (apply offline)</t>
        </is>
      </c>
      <c r="X52" s="96" t="inlineStr">
        <is>
          <t>PG YES (officer/owner personally obligated)</t>
        </is>
      </c>
      <c r="Y52" s="96" t="inlineStr">
        <is>
          <t>QuickFund LOC $10K-$100K (needs 2yr + profitable). Card itself low-doc (PG, no tax returns stated).</t>
        </is>
      </c>
      <c r="Z52" s="96" t="inlineStr">
        <is>
          <t>Membership required (Solano + 11 NorCal counties; Travis AFB; no open path)</t>
        </is>
      </c>
      <c r="AA52" s="96" t="inlineStr">
        <is>
          <t>No-doc card — apply in branch</t>
        </is>
      </c>
      <c r="AB52" s="96" t="inlineStr">
        <is>
          <t>TCU Business Visa; Standard Business Visa</t>
        </is>
      </c>
      <c r="AC52" s="96" t="inlineStr">
        <is>
          <t>NorCal / Sacramento (Vacaville, Solano)</t>
        </is>
      </c>
      <c r="AD52" s="96" t="inlineStr">
        <is>
          <t>Vacaville, CA</t>
        </is>
      </c>
      <c r="AE52" s="96" t="inlineStr">
        <is>
          <t>CU</t>
        </is>
      </c>
      <c r="AF52" s="96" t="inlineStr">
        <is>
          <t>HIGH self/products/PG/adverse-only-reporting/membership; apply N (phone). 2026-05-28</t>
        </is>
      </c>
      <c r="AG52" s="96" t="inlineStr">
        <is>
          <t>traviscu.org/business/lending/business-visa + /rates + cardholder agreement (issuer=self, adverse-only reporting); CFPB</t>
        </is>
      </c>
    </row>
    <row r="53" ht="15.75" customHeight="1">
      <c r="A53" s="96" t="inlineStr">
        <is>
          <t>50</t>
        </is>
      </c>
      <c r="B53" s="96" t="inlineStr">
        <is>
          <t>49</t>
        </is>
      </c>
      <c r="C53" s="96" t="inlineStr">
        <is>
          <t>Community Bank of Santa Maria</t>
        </is>
      </c>
      <c r="D53" s="96" t="inlineStr">
        <is>
          <t>CA Bank</t>
        </is>
      </c>
      <c r="E53" s="96" t="inlineStr">
        <is>
          <t>Other — Central Coast (Santa Barbara County)</t>
        </is>
      </c>
      <c r="F53" s="96" t="inlineStr">
        <is>
          <t>2/4  ✗SUW ✓Onl ✗SoCal ✓Card</t>
        </is>
      </c>
      <c r="G53" s="96" t="inlineStr">
        <is>
          <t>N/M (TCM; conservative, Experian-driven)</t>
        </is>
      </c>
      <c r="H53" s="96" t="inlineStr">
        <is>
          <t>$0.41B</t>
        </is>
      </c>
      <c r="I53" s="96" t="inlineStr">
        <is>
          <t>$0.36B</t>
        </is>
      </c>
      <c r="J53" s="96" t="inlineStr">
        <is>
          <t>~3 branches; Santa Maria HQ; Community Bancorp of Santa Maria (CYSM); est 2001</t>
        </is>
      </c>
      <c r="K53" s="96" t="inlineStr">
        <is>
          <t>CA-HQ'd</t>
        </is>
      </c>
      <c r="L53" s="96" t="inlineStr">
        <is>
          <t>No</t>
        </is>
      </c>
      <c r="M53" s="96" t="inlineStr">
        <is>
          <t>✅ no 0% (intro APR only); $0 AF; Platinum/Platinum Rewards + Company Expense charge card</t>
        </is>
      </c>
      <c r="N53" s="96" t="inlineStr">
        <is>
          <t>TCM Bank, N.A.</t>
        </is>
      </c>
      <c r="O53" s="96" t="inlineStr">
        <is>
          <t>Online</t>
        </is>
      </c>
      <c r="P53" s="96" t="inlineStr">
        <is>
          <t>Online — apply at https://www.mycommunitycc.com/sx1jVR5q5Ti5</t>
        </is>
      </c>
      <c r="Q53" s="96" t="inlineStr">
        <is>
          <t>https://www.yourcbsm.com</t>
        </is>
      </c>
      <c r="R53" s="96" t="inlineStr">
        <is>
          <t>https://www.mycommunitycc.com/sx1jVR5q5Ti5</t>
        </is>
      </c>
      <c r="S53" s="96" t="inlineStr">
        <is>
          <t>Experian (TCM)</t>
        </is>
      </c>
      <c r="T53" s="96" t="inlineStr">
        <is>
          <t>N/M (TCM)</t>
        </is>
      </c>
      <c r="U53" s="96" t="inlineStr">
        <is>
          <t>TCM platform (mycommunitycc.com): Experian pull; SBA-eligible only; conservative. myfico.com #6303273</t>
        </is>
      </c>
      <c r="V53" s="96" t="inlineStr">
        <is>
          <t>3</t>
        </is>
      </c>
      <c r="W53" s="96" t="inlineStr">
        <is>
          <t>C — White-label, apply online</t>
        </is>
      </c>
      <c r="X53" s="96" t="inlineStr">
        <is>
          <t>PG likely; SBA-eligible only; 'subject to credit approval'</t>
        </is>
      </c>
      <c r="Y53" s="96" t="inlineStr">
        <is>
          <t>None (SBA 504/7(a)/CRE/ag/equipment/LOC/construction full-doc)</t>
        </is>
      </c>
      <c r="Z53" s="96" t="inlineStr">
        <is>
          <t>N/M</t>
        </is>
      </c>
      <c r="AA53" s="96" t="inlineStr">
        <is>
          <t>★ No-doc card — apply online</t>
        </is>
      </c>
      <c r="AB53" s="96" t="inlineStr">
        <is>
          <t>Business Visa Platinum / Platinum Rewards ($0 AF, intro APR); Company Expense Charge Card ($0 AF, pay-in-full)</t>
        </is>
      </c>
      <c r="AC53" s="96" t="inlineStr">
        <is>
          <t>Central Coast (Santa Barbara County)</t>
        </is>
      </c>
      <c r="AD53" s="96" t="inlineStr">
        <is>
          <t>Santa Maria</t>
        </is>
      </c>
      <c r="AE53" s="96" t="inlineStr">
        <is>
          <t>88</t>
        </is>
      </c>
      <c r="AF53" s="96" t="inlineStr">
        <is>
          <t>HIGH issuer=TCM (own page quote)/products/online/HP=Experian; N/M APR length, reports. 2026-05-29</t>
        </is>
      </c>
      <c r="AG53" s="96" t="inlineStr">
        <is>
          <t>yourcbsm.com/Business/Business-Loans ('issued by TCM Bank, N.A.'); mycommunitycc.com; FDIC cert 57073</t>
        </is>
      </c>
    </row>
    <row r="54" ht="15.75" customHeight="1">
      <c r="A54" s="96" t="inlineStr">
        <is>
          <t>51</t>
        </is>
      </c>
      <c r="B54" s="96" t="inlineStr">
        <is>
          <t>50</t>
        </is>
      </c>
      <c r="C54" s="96" t="inlineStr">
        <is>
          <t>Open Bank</t>
        </is>
      </c>
      <c r="D54" s="96" t="inlineStr">
        <is>
          <t>CA Bank</t>
        </is>
      </c>
      <c r="E54" s="96" t="inlineStr">
        <is>
          <t>★ Core SoCal</t>
        </is>
      </c>
      <c r="F54" s="96" t="inlineStr">
        <is>
          <t>3/4  ✗SUW ✓Onl ✓SoCal ✓Card</t>
        </is>
      </c>
      <c r="G54" s="96" t="inlineStr">
        <is>
          <t>Elan platform: ~$3K–$10K start, to ~$20K strong files (~$500 seen at 800+ FICO)  [myFICO #6658960]</t>
        </is>
      </c>
      <c r="H54" s="96" t="inlineStr">
        <is>
          <t>$2.70B</t>
        </is>
      </c>
      <c r="I54" s="96" t="inlineStr">
        <is>
          <t>$2.33B</t>
        </is>
      </c>
      <c r="J54" s="96" t="inlineStr">
        <is>
          <t>~9 CA branches LA + Orange County + Santa Clara; Korean-American (OP Bancorp)</t>
        </is>
      </c>
      <c r="K54" s="96" t="inlineStr">
        <is>
          <t>CA-HQ'd</t>
        </is>
      </c>
      <c r="L54" s="96" t="inlineStr">
        <is>
          <t>No</t>
        </is>
      </c>
      <c r="M54" s="96" t="inlineStr">
        <is>
          <t>✅ Elan biz cards; APR/AF N/M (1.5% Real Rewards)</t>
        </is>
      </c>
      <c r="N54" s="96" t="inlineStr">
        <is>
          <t>Elan</t>
        </is>
      </c>
      <c r="O54" s="96" t="inlineStr">
        <is>
          <t>Online</t>
        </is>
      </c>
      <c r="P54" s="96" t="inlineStr">
        <is>
          <t>Online — apply at https://www.creditcardlearnmore.com/11t3/index</t>
        </is>
      </c>
      <c r="Q54" s="96" t="inlineStr">
        <is>
          <t>https://myopenbank.com</t>
        </is>
      </c>
      <c r="R54" s="96" t="inlineStr">
        <is>
          <t>https://www.creditcardlearnmore.com/11t3/index</t>
        </is>
      </c>
      <c r="S54" s="96" t="inlineStr">
        <is>
          <t>TransUnion (varies EX/EQ)</t>
        </is>
      </c>
      <c r="T54" s="96" t="inlineStr">
        <is>
          <t>D&amp;B; personal delinquency-only</t>
        </is>
      </c>
      <c r="U54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54" s="96" t="inlineStr">
        <is>
          <t>3</t>
        </is>
      </c>
      <c r="W54" s="96" t="inlineStr">
        <is>
          <t>C — White-label, apply online</t>
        </is>
      </c>
      <c r="X54" s="96" t="inlineStr">
        <is>
          <t>PG yes; no tax returns (&lt;$25K)</t>
        </is>
      </c>
      <c r="Y54" s="96" t="inlineStr">
        <is>
          <t>None (SBA 7(a)/commercial/trade full-doc)</t>
        </is>
      </c>
      <c r="Z54" s="96" t="inlineStr">
        <is>
          <t>No</t>
        </is>
      </c>
      <c r="AA54" s="96" t="inlineStr">
        <is>
          <t>No-doc 0% card — apply online (Elan)</t>
        </is>
      </c>
      <c r="AB54" s="96" t="inlineStr">
        <is>
          <t>Business Platinum, Business Cash Preferred, Business Real Rewards, Smart Business Rewards</t>
        </is>
      </c>
      <c r="AC54" s="96" t="inlineStr">
        <is>
          <t>SoCal / LA</t>
        </is>
      </c>
      <c r="AD54" s="96" t="inlineStr">
        <is>
          <t>Los Angeles</t>
        </is>
      </c>
      <c r="AE54" s="96" t="inlineStr">
        <is>
          <t>35</t>
        </is>
      </c>
      <c r="AF54" s="96" t="inlineStr">
        <is>
          <t>HIGH issuer/relevance/online/PG/D&amp;B; N/M exact terms. 2026-05-28</t>
        </is>
      </c>
      <c r="AG54" s="96" t="inlineStr">
        <is>
          <t>myopenbank.com/additional-services; creditcardlearnmore.com/11t3; elanfinancialservices.com</t>
        </is>
      </c>
    </row>
    <row r="55" ht="15.75" customHeight="1">
      <c r="A55" s="96" t="inlineStr">
        <is>
          <t>52</t>
        </is>
      </c>
      <c r="B55" s="96" t="inlineStr">
        <is>
          <t>51</t>
        </is>
      </c>
      <c r="C55" s="96" t="inlineStr">
        <is>
          <t>CalPrivate Bank</t>
        </is>
      </c>
      <c r="D55" s="96" t="inlineStr">
        <is>
          <t>CA Bank</t>
        </is>
      </c>
      <c r="E55" s="96" t="inlineStr">
        <is>
          <t>★ Core SoCal</t>
        </is>
      </c>
      <c r="F55" s="96" t="inlineStr">
        <is>
          <t>2/4  ✗SUW ✗Onl ✓SoCal ✓Card</t>
        </is>
      </c>
      <c r="G55" s="96" t="inlineStr">
        <is>
          <t>N/M (TIB; financials typically required $10K+)</t>
        </is>
      </c>
      <c r="H55" s="96" t="inlineStr">
        <is>
          <t>$2.69B</t>
        </is>
      </c>
      <c r="I55" s="96" t="inlineStr">
        <is>
          <t>$2.38B</t>
        </is>
      </c>
      <c r="J55" s="96" t="inlineStr">
        <is>
          <t>San Diego, Orange County, LA, Santa Barbara (Montecito)</t>
        </is>
      </c>
      <c r="K55" s="96" t="inlineStr">
        <is>
          <t>CA-HQ'd</t>
        </is>
      </c>
      <c r="L55" s="96" t="inlineStr">
        <is>
          <t>No</t>
        </is>
      </c>
      <c r="M55" s="96" t="inlineStr">
        <is>
          <t>✅ no 0%; $0/$49 AF; apply via banker</t>
        </is>
      </c>
      <c r="N55" s="96" t="inlineStr">
        <is>
          <t>TIB</t>
        </is>
      </c>
      <c r="O55" s="96" t="inlineStr">
        <is>
          <t>In-person</t>
        </is>
      </c>
      <c r="P55" s="96" t="inlineStr">
        <is>
          <t>Visit branch / contact a banker (no online application)</t>
        </is>
      </c>
      <c r="Q55" s="96" t="inlineStr">
        <is>
          <t>https://calprivate.bank</t>
        </is>
      </c>
      <c r="R55" s="96" t="inlineStr">
        <is>
          <t>https://calprivate.bank/business-banking/business-credit-cards/</t>
        </is>
      </c>
      <c r="S55" s="96" t="inlineStr">
        <is>
          <t>Experian (TIB; conflicting 'variable')</t>
        </is>
      </c>
      <c r="T55" s="96" t="inlineStr">
        <is>
          <t>N/M</t>
        </is>
      </c>
      <c r="U55" s="96" t="inlineStr">
        <is>
          <t>N/M CalPrivate-specific. TIB-general only.</t>
        </is>
      </c>
      <c r="V55" s="96" t="inlineStr">
        <is>
          <t>2</t>
        </is>
      </c>
      <c r="W55" s="96" t="inlineStr">
        <is>
          <t>D — White-label, apply offline</t>
        </is>
      </c>
      <c r="X55" s="96" t="inlineStr">
        <is>
          <t>PG (infer, TIB standard); income docs N/M</t>
        </is>
      </c>
      <c r="Y55" s="96" t="inlineStr">
        <is>
          <t>None (SBA PLP/commercial/CRE full-doc)</t>
        </is>
      </c>
      <c r="Z55" s="96" t="inlineStr">
        <is>
          <t>N/M (relationship likely)</t>
        </is>
      </c>
      <c r="AA55" s="96" t="inlineStr">
        <is>
          <t>No-doc card — apply in branch</t>
        </is>
      </c>
      <c r="AB55" s="96" t="inlineStr">
        <is>
          <t>Business Standard Card; Business Preferred Points Card</t>
        </is>
      </c>
      <c r="AC55" s="96" t="inlineStr">
        <is>
          <t>SoCal / San Diego</t>
        </is>
      </c>
      <c r="AD55" s="96" t="inlineStr">
        <is>
          <t>La Jolla</t>
        </is>
      </c>
      <c r="AE55" s="96" t="inlineStr">
        <is>
          <t>36</t>
        </is>
      </c>
      <c r="AF55" s="96" t="inlineStr">
        <is>
          <t>MED-HIGH products/fees/issuer=TIB(convergent); N/M APRs, HP, reports. 2026-05-28</t>
        </is>
      </c>
      <c r="AG55" s="96" t="inlineStr">
        <is>
          <t>calprivate.bank/business-banking/business-credit-cards; cardaccount.net; mypreferredpoints.com</t>
        </is>
      </c>
    </row>
    <row r="56" ht="15.75" customHeight="1">
      <c r="A56" s="96" t="inlineStr">
        <is>
          <t>53</t>
        </is>
      </c>
      <c r="B56" s="96" t="inlineStr">
        <is>
          <t>52</t>
        </is>
      </c>
      <c r="C56" s="96" t="inlineStr">
        <is>
          <t>Beneficial State Bank</t>
        </is>
      </c>
      <c r="D56" s="96" t="inlineStr">
        <is>
          <t>CA Bank</t>
        </is>
      </c>
      <c r="E56" s="96" t="inlineStr">
        <is>
          <t>Other — NorCal</t>
        </is>
      </c>
      <c r="F56" s="96" t="inlineStr">
        <is>
          <t>2/4  ✓SUW ✗Onl ✗SoCal ✓Card</t>
        </is>
      </c>
      <c r="G56" s="96" t="inlineStr">
        <is>
          <t>N/M (no bank-specific data point found)</t>
        </is>
      </c>
      <c r="H56" s="96" t="inlineStr">
        <is>
          <t>$1.97B</t>
        </is>
      </c>
      <c r="I56" s="96" t="inlineStr">
        <is>
          <t>$1.66B</t>
        </is>
      </c>
      <c r="J56" s="96" t="inlineStr">
        <is>
          <t>CA/OR/WA; CA = Oakland/East Bay; CDFI / B-Corp</t>
        </is>
      </c>
      <c r="K56" s="96" t="inlineStr">
        <is>
          <t>CA-HQ'd</t>
        </is>
      </c>
      <c r="L56" s="96" t="inlineStr">
        <is>
          <t>Yes</t>
        </is>
      </c>
      <c r="M56" s="96" t="inlineStr">
        <is>
          <t>✅ card exists; terms NOT yet published; CA/OR/WA only</t>
        </is>
      </c>
      <c r="N56" s="96" t="inlineStr">
        <is>
          <t>Self (Fiserv SpendTrack platform)</t>
        </is>
      </c>
      <c r="O56" s="96" t="inlineStr">
        <is>
          <t>In-person</t>
        </is>
      </c>
      <c r="P56" s="96" t="inlineStr">
        <is>
          <t>Visit branch / contact a banker (no online application)</t>
        </is>
      </c>
      <c r="Q56" s="96" t="inlineStr">
        <is>
          <t>https://www.beneficialstatebank.com</t>
        </is>
      </c>
      <c r="R56" s="96" t="inlineStr">
        <is>
          <t>https://www.beneficialstatebank.com/business-banking/credit-cards</t>
        </is>
      </c>
      <c r="S56" s="96" t="inlineStr">
        <is>
          <t>N/M</t>
        </is>
      </c>
      <c r="T56" s="96" t="inlineStr">
        <is>
          <t>N/M (consumer card reports on default)</t>
        </is>
      </c>
      <c r="U56" s="96" t="inlineStr">
        <is>
          <t>N/M (new, regionally-restricted CDFI program)</t>
        </is>
      </c>
      <c r="V56" s="96" t="inlineStr">
        <is>
          <t>2</t>
        </is>
      </c>
      <c r="W56" s="96" t="inlineStr">
        <is>
          <t>B — Self-UW (apply offline)</t>
        </is>
      </c>
      <c r="X56" s="96" t="inlineStr">
        <is>
          <t>N/M (consumer cards underwrite soft/self-reported)</t>
        </is>
      </c>
      <c r="Y56" s="96" t="inlineStr">
        <is>
          <t>None (SBA/USDA/LOC/term/CRE — documentation-based)</t>
        </is>
      </c>
      <c r="Z56" s="96" t="inlineStr">
        <is>
          <t>N/M (relationship likely)</t>
        </is>
      </c>
      <c r="AA56" s="96" t="inlineStr">
        <is>
          <t>No-doc card — apply in branch</t>
        </is>
      </c>
      <c r="AB56" s="96" t="inlineStr">
        <is>
          <t>2 business credit cards (names not published — 'not ready to advertise yet')</t>
        </is>
      </c>
      <c r="AC56" s="96" t="inlineStr">
        <is>
          <t>NorCal / SF</t>
        </is>
      </c>
      <c r="AD56" s="96" t="inlineStr">
        <is>
          <t>Oakland</t>
        </is>
      </c>
      <c r="AE56" s="96" t="inlineStr">
        <is>
          <t>44</t>
        </is>
      </c>
      <c r="AF56" s="96" t="inlineStr">
        <is>
          <t>MED. HIGH self-issue/no-online/CA-OR-WA; LOW/N-M product names, terms, HP. 2026-05-28</t>
        </is>
      </c>
      <c r="AG56" s="96" t="inlineStr">
        <is>
          <t>beneficialstatebank.com/business-banking/credit-cards; CFPB L Card agreement; spendtrack.fiservapp.com/beneficial-sb</t>
        </is>
      </c>
    </row>
    <row r="57" ht="15.75" customHeight="1">
      <c r="A57" s="96" t="inlineStr">
        <is>
          <t>54</t>
        </is>
      </c>
      <c r="B57" s="96" t="inlineStr">
        <is>
          <t>53</t>
        </is>
      </c>
      <c r="C57" s="96" t="inlineStr">
        <is>
          <t>Commonwealth Business Bank (CBB)</t>
        </is>
      </c>
      <c r="D57" s="96" t="inlineStr">
        <is>
          <t>CA Bank</t>
        </is>
      </c>
      <c r="E57" s="96" t="inlineStr">
        <is>
          <t>★ Core SoCal</t>
        </is>
      </c>
      <c r="F57" s="96" t="inlineStr">
        <is>
          <t>3/4  ✗SUW ✓Onl ✓SoCal ✓Card</t>
        </is>
      </c>
      <c r="G57" s="96" t="inlineStr">
        <is>
          <t>Elan platform: ~$3K–$10K start, to ~$20K strong files (~$500 seen at 800+ FICO)  [myFICO #6658960]</t>
        </is>
      </c>
      <c r="H57" s="96" t="inlineStr">
        <is>
          <t>$1.99B</t>
        </is>
      </c>
      <c r="I57" s="96" t="inlineStr">
        <is>
          <t>$1.69B</t>
        </is>
      </c>
      <c r="J57" s="96" t="inlineStr">
        <is>
          <t>6 CA branches LA/Orange County; Korean-American major SBA lender (CBB Bancorp)</t>
        </is>
      </c>
      <c r="K57" s="96" t="inlineStr">
        <is>
          <t>CA-HQ'd</t>
        </is>
      </c>
      <c r="L57" s="96" t="inlineStr">
        <is>
          <t>No</t>
        </is>
      </c>
      <c r="M57" s="96" t="inlineStr">
        <is>
          <t>✅ 0% 6 cycles (Real Rewards); $0 AF; 1.5% + 5.5% travel</t>
        </is>
      </c>
      <c r="N57" s="96" t="inlineStr">
        <is>
          <t>Elan</t>
        </is>
      </c>
      <c r="O57" s="96" t="inlineStr">
        <is>
          <t>Online</t>
        </is>
      </c>
      <c r="P57" s="96" t="inlineStr">
        <is>
          <t>Online — apply at https://creditcardlearnmore.com/11t3/business-real-rewards</t>
        </is>
      </c>
      <c r="Q57" s="96" t="inlineStr">
        <is>
          <t>https://www.cbb-bank.com</t>
        </is>
      </c>
      <c r="R57" s="96" t="inlineStr">
        <is>
          <t>https://creditcardlearnmore.com/11t3/business-real-rewards</t>
        </is>
      </c>
      <c r="S57" s="96" t="inlineStr">
        <is>
          <t>TransUnion (varies EX/EQ)</t>
        </is>
      </c>
      <c r="T57" s="96" t="inlineStr">
        <is>
          <t>D&amp;B (infer); personal delinquency-only</t>
        </is>
      </c>
      <c r="U57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57" s="96" t="inlineStr">
        <is>
          <t>3</t>
        </is>
      </c>
      <c r="W57" s="96" t="inlineStr">
        <is>
          <t>C — White-label, apply online</t>
        </is>
      </c>
      <c r="X57" s="96" t="inlineStr">
        <is>
          <t>PG yes; no tax returns (&lt;$25K)</t>
        </is>
      </c>
      <c r="Y57" s="96" t="inlineStr">
        <is>
          <t>None (SBA 7(a)/504/LOC/CRE full-doc; 2yr returns)</t>
        </is>
      </c>
      <c r="Z57" s="96" t="inlineStr">
        <is>
          <t>No</t>
        </is>
      </c>
      <c r="AA57" s="96" t="inlineStr">
        <is>
          <t>No-doc 0% card — apply online (Elan)</t>
        </is>
      </c>
      <c r="AB57" s="96" t="inlineStr">
        <is>
          <t>Elan business suite (Visa Business Real Rewards confirmed)</t>
        </is>
      </c>
      <c r="AC57" s="96" t="inlineStr">
        <is>
          <t>SoCal / LA</t>
        </is>
      </c>
      <c r="AD57" s="96" t="inlineStr">
        <is>
          <t>Los Angeles</t>
        </is>
      </c>
      <c r="AE57" s="96" t="inlineStr">
        <is>
          <t>43</t>
        </is>
      </c>
      <c r="AF57" s="96" t="inlineStr">
        <is>
          <t>HIGH issuer/online/Real-Rewards-terms/SBA; MED PG/HP. 2026-05-28</t>
        </is>
      </c>
      <c r="AG57" s="96" t="inlineStr">
        <is>
          <t>cbb-bank.com/en/business/lending/creditcards; creditcardlearnmore.com/11t3; card.myaccountaccess.com</t>
        </is>
      </c>
    </row>
    <row r="58" ht="15.75" customHeight="1">
      <c r="A58" s="96" t="inlineStr">
        <is>
          <t>55</t>
        </is>
      </c>
      <c r="B58" s="96" t="inlineStr">
        <is>
          <t>54</t>
        </is>
      </c>
      <c r="C58" s="96" t="inlineStr">
        <is>
          <t>West Coast Community Bank</t>
        </is>
      </c>
      <c r="D58" s="96" t="inlineStr">
        <is>
          <t>CA Bank</t>
        </is>
      </c>
      <c r="E58" s="96" t="inlineStr">
        <is>
          <t>Other — Central Coast</t>
        </is>
      </c>
      <c r="F58" s="96" t="inlineStr">
        <is>
          <t>1/4  ✗SUW ✗Onl ✗SoCal ✓Card</t>
        </is>
      </c>
      <c r="G58" s="96" t="inlineStr">
        <is>
          <t>N/M (no bank-specific data point found)</t>
        </is>
      </c>
      <c r="H58" s="96" t="inlineStr">
        <is>
          <t>$2.90B</t>
        </is>
      </c>
      <c r="I58" s="96" t="inlineStr">
        <is>
          <t>$2.48B</t>
        </is>
      </c>
      <c r="J58" s="96" t="inlineStr">
        <is>
          <t>Santa Cruz/Monterey/SLO/Santa Clara; ex-Santa Cruz County Bank + 1st Capital</t>
        </is>
      </c>
      <c r="K58" s="96" t="inlineStr">
        <is>
          <t>CA-HQ'd</t>
        </is>
      </c>
      <c r="L58" s="96" t="inlineStr">
        <is>
          <t>Partial (CorServ self-issue)</t>
        </is>
      </c>
      <c r="M58" s="96" t="inlineStr">
        <is>
          <t>⚠️ Commercial — CorServ Mastercard; $0 AF; phone only</t>
        </is>
      </c>
      <c r="N58" s="96" t="inlineStr">
        <is>
          <t>Self (CorServ 'Apex')</t>
        </is>
      </c>
      <c r="O58" s="96" t="inlineStr">
        <is>
          <t>In-person</t>
        </is>
      </c>
      <c r="P58" s="96" t="inlineStr">
        <is>
          <t>Visit branch / contact a banker (no online application)</t>
        </is>
      </c>
      <c r="Q58" s="96" t="inlineStr">
        <is>
          <t>https://wccb.com</t>
        </is>
      </c>
      <c r="R58" s="96" t="inlineStr">
        <is>
          <t>https://wccb.com/corporate_cards</t>
        </is>
      </c>
      <c r="S58" s="96" t="inlineStr">
        <is>
          <t>N/M</t>
        </is>
      </c>
      <c r="T58" s="96" t="inlineStr">
        <is>
          <t>N/M</t>
        </is>
      </c>
      <c r="U58" s="96" t="inlineStr">
        <is>
          <t>N/M (no forum data)</t>
        </is>
      </c>
      <c r="V58" s="96" t="inlineStr">
        <is>
          <t>2</t>
        </is>
      </c>
      <c r="W58" s="96" t="inlineStr">
        <is>
          <t>B — Self-UW (apply offline)</t>
        </is>
      </c>
      <c r="X58" s="96" t="inlineStr">
        <is>
          <t>N/M (PG typical)</t>
        </is>
      </c>
      <c r="Y58" s="96" t="inlineStr">
        <is>
          <t>N/M (LOC/CRE/ABL/SBA full-doc)</t>
        </is>
      </c>
      <c r="Z58" s="96" t="inlineStr">
        <is>
          <t>N/M (relationship expected)</t>
        </is>
      </c>
      <c r="AA58" s="96" t="inlineStr">
        <is>
          <t>No-doc card — apply in branch</t>
        </is>
      </c>
      <c r="AB58" s="96" t="inlineStr">
        <is>
          <t>Corporate Credit Card; Corporate Purchasing Card</t>
        </is>
      </c>
      <c r="AC58" s="96" t="inlineStr">
        <is>
          <t>Central Coast / Silicon Valley</t>
        </is>
      </c>
      <c r="AD58" s="96" t="inlineStr">
        <is>
          <t>Santa Cruz</t>
        </is>
      </c>
      <c r="AE58" s="96" t="inlineStr">
        <is>
          <t>34</t>
        </is>
      </c>
      <c r="AF58" s="96" t="inlineStr">
        <is>
          <t>MED-LOW. Relationship/phone-only → low no-doc utility; issuer-of-record N/M. 2026-05-28</t>
        </is>
      </c>
      <c r="AG58" s="96" t="inlineStr">
        <is>
          <t>wccb.com/corporate_cards + business_banking; wccb.myapexcard.com; corservsolutions.com</t>
        </is>
      </c>
    </row>
    <row r="59" ht="15.75" customHeight="1">
      <c r="A59" s="96" t="inlineStr">
        <is>
          <t>56</t>
        </is>
      </c>
      <c r="B59" s="96" t="inlineStr">
        <is>
          <t>55</t>
        </is>
      </c>
      <c r="C59" s="96" t="inlineStr">
        <is>
          <t>Beach Cities Commercial Bank</t>
        </is>
      </c>
      <c r="D59" s="96" t="inlineStr">
        <is>
          <t>CA Bank</t>
        </is>
      </c>
      <c r="E59" s="96" t="inlineStr">
        <is>
          <t>★ Core SoCal</t>
        </is>
      </c>
      <c r="F59" s="96" t="inlineStr">
        <is>
          <t>3/4  ✗SUW ✓Onl ✓SoCal ✓Card</t>
        </is>
      </c>
      <c r="G59" s="96" t="inlineStr">
        <is>
          <t>Elan platform: ~$3K–$10K start, to ~$20K strong files (~$500 seen at 800+ FICO)  [myFICO #6658960]</t>
        </is>
      </c>
      <c r="H59" s="96" t="inlineStr">
        <is>
          <t>$0.18B</t>
        </is>
      </c>
      <c r="I59" s="96" t="inlineStr">
        <is>
          <t>N/M</t>
        </is>
      </c>
      <c r="J59" s="96" t="inlineStr">
        <is>
          <t>Irvine HQ (OC) + Encinitas + South OC; de novo est 2023; ticker BCCB</t>
        </is>
      </c>
      <c r="K59" s="96" t="inlineStr">
        <is>
          <t>CA-HQ'd</t>
        </is>
      </c>
      <c r="L59" s="96" t="inlineStr">
        <is>
          <t>No</t>
        </is>
      </c>
      <c r="M59" s="96" t="inlineStr">
        <is>
          <t>✅ Elan biz cards incl. Business ZERO+ (extended 0% intro); $0 AF; cash back; tied to select deposit accts</t>
        </is>
      </c>
      <c r="N59" s="96" t="inlineStr">
        <is>
          <t>Elan</t>
        </is>
      </c>
      <c r="O59" s="96" t="inlineStr">
        <is>
          <t>Online</t>
        </is>
      </c>
      <c r="P59" s="96" t="inlineStr">
        <is>
          <t>Online — apply at https://www.beachcitiescb.com/Card-Solutions/</t>
        </is>
      </c>
      <c r="Q59" s="96" t="inlineStr">
        <is>
          <t>https://www.beachcitiescb.com</t>
        </is>
      </c>
      <c r="R59" s="96" t="inlineStr">
        <is>
          <t>https://www.beachcitiescb.com/Card-Solutions/</t>
        </is>
      </c>
      <c r="S59" s="96" t="inlineStr">
        <is>
          <t>TransUnion (varies EX/EQ)</t>
        </is>
      </c>
      <c r="T59" s="96" t="inlineStr">
        <is>
          <t>D&amp;B; not personal in good standing</t>
        </is>
      </c>
      <c r="U59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59" s="96" t="inlineStr">
        <is>
          <t>3</t>
        </is>
      </c>
      <c r="W59" s="96" t="inlineStr">
        <is>
          <t>C — White-label, apply online</t>
        </is>
      </c>
      <c r="X59" s="96" t="inlineStr">
        <is>
          <t>PG yes; no tax returns (&lt;$25K)</t>
        </is>
      </c>
      <c r="Y59" s="96" t="inlineStr">
        <is>
          <t>None (LOC/term/equipment/CRE/bridge/SBA/CA loan guarantee/construction full-doc)</t>
        </is>
      </c>
      <c r="Z59" s="96" t="inlineStr">
        <is>
          <t>Tied to select deposit accounts (per Commercial Banking page)</t>
        </is>
      </c>
      <c r="AA59" s="96" t="inlineStr">
        <is>
          <t>No-doc 0% card — apply online (Elan)</t>
        </is>
      </c>
      <c r="AB59" s="96" t="inlineStr">
        <is>
          <t>Business Cash Preferred, Business ZERO+ (0% intro), Smart Business Rewards, Business Real Rewards (Elan)</t>
        </is>
      </c>
      <c r="AC59" s="96" t="inlineStr">
        <is>
          <t>SoCal / Orange County</t>
        </is>
      </c>
      <c r="AD59" s="96" t="inlineStr">
        <is>
          <t>Irvine</t>
        </is>
      </c>
      <c r="AE59" s="96" t="inlineStr">
        <is>
          <t>106</t>
        </is>
      </c>
      <c r="AF59" s="96" t="inlineStr">
        <is>
          <t>HIGH issuer=Elan (own footer disclosure)/products incl ZERO+/online/OC; deposit-tied; N/M HP, exact APR. 2026-05-29</t>
        </is>
      </c>
      <c r="AG59" s="96" t="inlineStr">
        <is>
          <t>beachcitiescb.com/Card-Solutions ('issuer is Elan Financial Services') + /Commercial-Banking; FDIC cert 59290</t>
        </is>
      </c>
    </row>
    <row r="60" ht="15.75" customHeight="1">
      <c r="A60" s="96" t="inlineStr">
        <is>
          <t>57</t>
        </is>
      </c>
      <c r="B60" s="96" t="inlineStr">
        <is>
          <t>56</t>
        </is>
      </c>
      <c r="C60" s="96" t="inlineStr">
        <is>
          <t>First Tech Federal Credit Union</t>
        </is>
      </c>
      <c r="D60" s="96" t="inlineStr">
        <is>
          <t>Credit Union</t>
        </is>
      </c>
      <c r="E60" s="96" t="inlineStr">
        <is>
          <t>National (lends in CA)</t>
        </is>
      </c>
      <c r="F60" s="96" t="inlineStr">
        <is>
          <t>1/4  ✗SUW ✗Onl ✗SoCal ✓Card</t>
        </is>
      </c>
      <c r="G60" s="96" t="inlineStr">
        <is>
          <t>N/M (no bank-specific data point found)</t>
        </is>
      </c>
      <c r="H60" s="96" t="inlineStr">
        <is>
          <t>~$28.7B (post-DCU merger)</t>
        </is>
      </c>
      <c r="I60" s="96" t="inlineStr">
        <is>
          <t>—</t>
        </is>
      </c>
      <c r="J60" s="96" t="inlineStr">
        <is>
          <t>Branches CA/OR/WA/TX/GA/CO/ID; merged w/ DCU Jan 1 2026 (~$28.7B)</t>
        </is>
      </c>
      <c r="K60" s="96" t="inlineStr">
        <is>
          <t>CA-HQ'd</t>
        </is>
      </c>
      <c r="L60" s="96" t="inlineStr">
        <is>
          <t>Unknown</t>
        </is>
      </c>
      <c r="M60" s="96" t="inlineStr">
        <is>
          <t>⚠️ Business Credit Mastercard exists but 'existing cardholders only' — no online app, no published terms</t>
        </is>
      </c>
      <c r="N60" s="96" t="inlineStr">
        <is>
          <t>N/M (self-issues personal cards; business-card issuer undisclosed)</t>
        </is>
      </c>
      <c r="O60" s="96" t="inlineStr">
        <is>
          <t>In-person</t>
        </is>
      </c>
      <c r="P60" s="96" t="inlineStr">
        <is>
          <t>Visit branch / contact a banker (no online application)</t>
        </is>
      </c>
      <c r="Q60" s="96" t="inlineStr">
        <is>
          <t>https://www.firsttechfed.com/bank/business</t>
        </is>
      </c>
      <c r="R60" s="96" t="inlineStr">
        <is>
          <t>—</t>
        </is>
      </c>
      <c r="S60" s="96" t="inlineStr">
        <is>
          <t>Experian (personal cards; business N/M)</t>
        </is>
      </c>
      <c r="T60" s="96" t="inlineStr">
        <is>
          <t>N/M</t>
        </is>
      </c>
      <c r="U60" s="96" t="inlineStr">
        <is>
          <t>Business card closed/legacy. Proof-of-income (POI) required generally — income-focused, NOT no-doc. Merged w/ DCU Jan 2026.</t>
        </is>
      </c>
      <c r="V60" s="96" t="inlineStr">
        <is>
          <t>2</t>
        </is>
      </c>
      <c r="W60" s="96" t="inlineStr">
        <is>
          <t>D — White-label, apply offline</t>
        </is>
      </c>
      <c r="X60" s="96" t="inlineStr">
        <is>
          <t>N/M (POI required generally)</t>
        </is>
      </c>
      <c r="Y60" s="96" t="inlineStr">
        <is>
          <t>None (income-doc focused)</t>
        </is>
      </c>
      <c r="Z60" s="96" t="inlineStr">
        <is>
          <t>Membership required (1,700+ tech employers; OPEN via Financial Fitness Assoc $8/yr nationwide)</t>
        </is>
      </c>
      <c r="AA60" s="96" t="inlineStr">
        <is>
          <t>No-doc card — apply in branch</t>
        </is>
      </c>
      <c r="AB60" s="96" t="inlineStr">
        <is>
          <t>Business Credit Mastercard (existing cardholders only); Business Debit</t>
        </is>
      </c>
      <c r="AC60" s="96" t="inlineStr">
        <is>
          <t>National FOM — CA tech employers + open via FFA</t>
        </is>
      </c>
      <c r="AD60" s="96" t="inlineStr">
        <is>
          <t>San Jose, CA (corp Beaverton, OR)</t>
        </is>
      </c>
      <c r="AE60" s="96" t="inlineStr">
        <is>
          <t>CU</t>
        </is>
      </c>
      <c r="AF60" s="96" t="inlineStr">
        <is>
          <t>MED-HIGH card exists but closed/no-terms/income-doc-focused = low utility; issuer N/M. 2026-05-28</t>
        </is>
      </c>
      <c r="AG60" s="96" t="inlineStr">
        <is>
          <t>firsttechfed.com/help/cardholder-benefits + /bank/business; CFPB consumer disclosure; financialfitnessassociation.org</t>
        </is>
      </c>
    </row>
    <row r="61" ht="15.75" customHeight="1">
      <c r="A61" s="96" t="inlineStr">
        <is>
          <t>58</t>
        </is>
      </c>
      <c r="B61" s="96" t="inlineStr">
        <is>
          <t>57</t>
        </is>
      </c>
      <c r="C61" s="96" t="inlineStr">
        <is>
          <t>Metropolitan Bank (Oakland)</t>
        </is>
      </c>
      <c r="D61" s="96" t="inlineStr">
        <is>
          <t>CA Bank</t>
        </is>
      </c>
      <c r="E61" s="96" t="inlineStr">
        <is>
          <t>Other — NorCal</t>
        </is>
      </c>
      <c r="F61" s="96" t="inlineStr">
        <is>
          <t>2/4  ✗SUW ✓Onl ✗SoCal ✓Card</t>
        </is>
      </c>
      <c r="G61" s="96" t="inlineStr">
        <is>
          <t>N/M (no bank-specific data point found)</t>
        </is>
      </c>
      <c r="H61" s="96" t="inlineStr">
        <is>
          <t>$0.23B</t>
        </is>
      </c>
      <c r="I61" s="96" t="inlineStr">
        <is>
          <t>N/M</t>
        </is>
      </c>
      <c r="J61" s="96" t="inlineStr">
        <is>
          <t>4 CA branches (Oakland Chinatown HQ + Bay Area); Met Financial Corp; est 1983</t>
        </is>
      </c>
      <c r="K61" s="96" t="inlineStr">
        <is>
          <t>CA-HQ'd</t>
        </is>
      </c>
      <c r="L61" s="96" t="inlineStr">
        <is>
          <t>Unknown</t>
        </is>
      </c>
      <c r="M61" s="96" t="inlineStr">
        <is>
          <t>✅ Business + personal Visa (mycommunitycc.com platform); terms N/M</t>
        </is>
      </c>
      <c r="N61" s="96" t="inlineStr">
        <is>
          <t>Unknown (mycommunitycc.com platform → likely TCM Bank; NOT Elan — that's a different same-name bank)</t>
        </is>
      </c>
      <c r="O61" s="96" t="inlineStr">
        <is>
          <t>Online</t>
        </is>
      </c>
      <c r="P61" s="96" t="inlineStr">
        <is>
          <t>Online — apply at https://www.mycommunitycc.com/FROlvrV1uR72</t>
        </is>
      </c>
      <c r="Q61" s="96" t="inlineStr">
        <is>
          <t>https://www.met.bank</t>
        </is>
      </c>
      <c r="R61" s="96" t="inlineStr">
        <is>
          <t>https://www.mycommunitycc.com/FROlvrV1uR72</t>
        </is>
      </c>
      <c r="S61" s="96" t="inlineStr">
        <is>
          <t>N/M (if TCM: Experian)</t>
        </is>
      </c>
      <c r="T61" s="96" t="inlineStr">
        <is>
          <t>N/M</t>
        </is>
      </c>
      <c r="U61" s="96" t="inlineStr">
        <is>
          <t>N/M (app portal is JS shell; no terms exposed). Do NOT import Elan/mbonlineportal data (different Metropolitan Bank).</t>
        </is>
      </c>
      <c r="V61" s="96" t="inlineStr">
        <is>
          <t>3</t>
        </is>
      </c>
      <c r="W61" s="96" t="inlineStr">
        <is>
          <t>C — White-label, apply online</t>
        </is>
      </c>
      <c r="X61" s="96" t="inlineStr">
        <is>
          <t>N/M</t>
        </is>
      </c>
      <c r="Y61" s="96" t="inlineStr">
        <is>
          <t>None (LOC/working-capital/LC/construction/farm/CRE/multifamily full-doc)</t>
        </is>
      </c>
      <c r="Z61" s="96" t="inlineStr">
        <is>
          <t>N/M</t>
        </is>
      </c>
      <c r="AA61" s="96" t="inlineStr">
        <is>
          <t>★ No-doc card — apply online</t>
        </is>
      </c>
      <c r="AB61" s="96" t="inlineStr">
        <is>
          <t>Metropolitan Bank-branded Visa business + personal (via mycommunitycc.com; SKUs N/M)</t>
        </is>
      </c>
      <c r="AC61" s="96" t="inlineStr">
        <is>
          <t>NorCal / SF-East Bay</t>
        </is>
      </c>
      <c r="AD61" s="96" t="inlineStr">
        <is>
          <t>Oakland</t>
        </is>
      </c>
      <c r="AE61" s="96" t="inlineStr">
        <is>
          <t>100</t>
        </is>
      </c>
      <c r="AF61" s="96" t="inlineStr">
        <is>
          <t>MED card-exists/online; issuer likely TCM (mycommunitycc.com) but UNVERIFIED; terms N/M. NOT the Elan Metropolitan Bank. 2026-05-29</t>
        </is>
      </c>
      <c r="AG61" s="96" t="inlineStr">
        <is>
          <t>met.bank/business-banking; mycommunitycc.com/FROlvrV1uR72; FDIC cert 25869</t>
        </is>
      </c>
    </row>
    <row r="62" ht="15.75" customHeight="1">
      <c r="A62" s="96" t="inlineStr">
        <is>
          <t>59</t>
        </is>
      </c>
      <c r="B62" s="96" t="inlineStr">
        <is>
          <t>58</t>
        </is>
      </c>
      <c r="C62" s="96" t="inlineStr">
        <is>
          <t>State Bank of India (California)</t>
        </is>
      </c>
      <c r="D62" s="96" t="inlineStr">
        <is>
          <t>CA Bank</t>
        </is>
      </c>
      <c r="E62" s="96" t="inlineStr">
        <is>
          <t>★ Core SoCal</t>
        </is>
      </c>
      <c r="F62" s="96" t="inlineStr">
        <is>
          <t>3/4  ✗SUW ✓Onl ✓SoCal ✓Card</t>
        </is>
      </c>
      <c r="G62" s="96" t="inlineStr">
        <is>
          <t>Elan platform: ~$3K–$10K start, to ~$20K strong files (~$500 seen at 800+ FICO)  [myFICO #6658960]</t>
        </is>
      </c>
      <c r="H62" s="96" t="inlineStr">
        <is>
          <t>$1.39B</t>
        </is>
      </c>
      <c r="I62" s="96" t="inlineStr">
        <is>
          <t>N/M</t>
        </is>
      </c>
      <c r="J62" s="96" t="inlineStr">
        <is>
          <t>~7 CA branches (LA, San Diego, Fremont, etc.); subsidiary of State Bank of India</t>
        </is>
      </c>
      <c r="K62" s="96" t="inlineStr">
        <is>
          <t>CA-HQ'd</t>
        </is>
      </c>
      <c r="L62" s="96" t="inlineStr">
        <is>
          <t>No</t>
        </is>
      </c>
      <c r="M62" s="96" t="inlineStr">
        <is>
          <t>✅ Elan biz cards; terms N/M (not published on site); $0 AF likely</t>
        </is>
      </c>
      <c r="N62" s="96" t="inlineStr">
        <is>
          <t>Elan</t>
        </is>
      </c>
      <c r="O62" s="96" t="inlineStr">
        <is>
          <t>Online</t>
        </is>
      </c>
      <c r="P62" s="96" t="inlineStr">
        <is>
          <t>Online — apply at https://www.sbical.bank/business-banking/business-credit-cards</t>
        </is>
      </c>
      <c r="Q62" s="96" t="inlineStr">
        <is>
          <t>https://www.sbical.bank</t>
        </is>
      </c>
      <c r="R62" s="96" t="inlineStr">
        <is>
          <t>https://www.sbical.bank/business-banking/business-credit-cards</t>
        </is>
      </c>
      <c r="S62" s="96" t="inlineStr">
        <is>
          <t>TransUnion (varies EX/EQ)</t>
        </is>
      </c>
      <c r="T62" s="96" t="inlineStr">
        <is>
          <t>D&amp;B; not personal in good standing</t>
        </is>
      </c>
      <c r="U62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62" s="96" t="inlineStr">
        <is>
          <t>3</t>
        </is>
      </c>
      <c r="W62" s="96" t="inlineStr">
        <is>
          <t>C — White-label, apply online</t>
        </is>
      </c>
      <c r="X62" s="96" t="inlineStr">
        <is>
          <t>PG yes; no tax returns (&lt;$25K)</t>
        </is>
      </c>
      <c r="Y62" s="96" t="inlineStr">
        <is>
          <t>None (commercial/SBA full-doc)</t>
        </is>
      </c>
      <c r="Z62" s="96" t="inlineStr">
        <is>
          <t>N/M</t>
        </is>
      </c>
      <c r="AA62" s="96" t="inlineStr">
        <is>
          <t>No-doc card — apply online (Elan)</t>
        </is>
      </c>
      <c r="AB62" s="96" t="inlineStr">
        <is>
          <t>Elan business suite (low-rate / cash back / rewards; names not enumerated on site)</t>
        </is>
      </c>
      <c r="AC62" s="96" t="inlineStr">
        <is>
          <t>SoCal / LA</t>
        </is>
      </c>
      <c r="AD62" s="96" t="inlineStr">
        <is>
          <t>Los Angeles</t>
        </is>
      </c>
      <c r="AE62" s="96" t="inlineStr">
        <is>
          <t>51</t>
        </is>
      </c>
      <c r="AF62" s="96" t="inlineStr">
        <is>
          <t>HIGH issuer=Elan (own footer disclosure)/online/LA; N/M terms, HP. 2026-05-29</t>
        </is>
      </c>
      <c r="AG62" s="96" t="inlineStr">
        <is>
          <t>sbical.bank/business-banking/business-credit-cards (Elan creditor disclosure); elanfinancialservices.com</t>
        </is>
      </c>
    </row>
    <row r="63" ht="15.75" customHeight="1">
      <c r="A63" s="96" t="inlineStr">
        <is>
          <t>60</t>
        </is>
      </c>
      <c r="B63" s="96" t="inlineStr">
        <is>
          <t>59</t>
        </is>
      </c>
      <c r="C63" s="96" t="inlineStr">
        <is>
          <t>Umpqua Bank (Columbia)</t>
        </is>
      </c>
      <c r="D63" s="96" t="inlineStr">
        <is>
          <t>Regional</t>
        </is>
      </c>
      <c r="E63" s="96" t="inlineStr">
        <is>
          <t>Other — West Coast — substantial CA branches</t>
        </is>
      </c>
      <c r="F63" s="96" t="inlineStr">
        <is>
          <t>2/4  ✗SUW ✓Onl ✗SoCal ✓Card</t>
        </is>
      </c>
      <c r="G63" s="96" t="inlineStr">
        <is>
          <t>Elan platform: ~$3K–$10K start, to ~$20K strong files (~$500 seen at 800+ FICO)  [myFICO #6658960]</t>
        </is>
      </c>
      <c r="H63" s="96" t="inlineStr">
        <is>
          <t>~$50B (Columbia Banking System)</t>
        </is>
      </c>
      <c r="I63" s="96" t="inlineStr">
        <is>
          <t>—</t>
        </is>
      </c>
      <c r="J63" s="96" t="inlineStr">
        <is>
          <t>~60-92 CA branches; CA/WA/OR/ID/NV; pending Pacific Premier acquisition</t>
        </is>
      </c>
      <c r="K63" s="96" t="inlineStr">
        <is>
          <t>Major CA (branches + lending)</t>
        </is>
      </c>
      <c r="L63" s="96" t="inlineStr">
        <is>
          <t>No</t>
        </is>
      </c>
      <c r="M63" s="96" t="inlineStr">
        <is>
          <t>✅ Elan: Business Platinum/Zero+ 0% 18cyc; Business Real Rewards 0% 6cyc; Rewards Plus ($99); $0 AF</t>
        </is>
      </c>
      <c r="N63" s="96" t="inlineStr">
        <is>
          <t>Elan</t>
        </is>
      </c>
      <c r="O63" s="96" t="inlineStr">
        <is>
          <t>Online</t>
        </is>
      </c>
      <c r="P63" s="96" t="inlineStr">
        <is>
          <t>Online — apply at https://branchoffer.com/11t2/business-platinum2103</t>
        </is>
      </c>
      <c r="Q63" s="96" t="inlineStr">
        <is>
          <t>https://www.columbiabank.com/business-banking/credit-cards/</t>
        </is>
      </c>
      <c r="R63" s="96" t="inlineStr">
        <is>
          <t>https://branchoffer.com/11t2/business-platinum2103</t>
        </is>
      </c>
      <c r="S63" s="96" t="inlineStr">
        <is>
          <t>Personal, varies (Elan; EX historically / TU recently)</t>
        </is>
      </c>
      <c r="T63" s="96" t="inlineStr">
        <is>
          <t>D&amp;B; personal delinquency-only (Elan model)</t>
        </is>
      </c>
      <c r="U63" s="96" t="inlineStr">
        <is>
          <t>Elan platform; CA/WA/OR/ID/NV eligibility. Umpqua-specific limits/CLI N/M (myFICO 403). Elan general DPs apply.</t>
        </is>
      </c>
      <c r="V63" s="96" t="inlineStr">
        <is>
          <t>3</t>
        </is>
      </c>
      <c r="W63" s="96" t="inlineStr">
        <is>
          <t>C — White-label, apply online</t>
        </is>
      </c>
      <c r="X63" s="96" t="inlineStr">
        <is>
          <t>PG yes (Elan, INFERENCE); no tax returns</t>
        </is>
      </c>
      <c r="Y63" s="96" t="inlineStr">
        <is>
          <t>Expresslines LOC + term = full-doc (2-3yr tax returns). No no-doc.</t>
        </is>
      </c>
      <c r="Z63" s="96" t="inlineStr">
        <is>
          <t>No</t>
        </is>
      </c>
      <c r="AA63" s="96" t="inlineStr">
        <is>
          <t>No-doc 0% card — apply online (Elan)</t>
        </is>
      </c>
      <c r="AB63" s="96" t="inlineStr">
        <is>
          <t>Umpqua/Columbia Visa Business Real Rewards, Rewards Plus ($99), Business Platinum/Zero+ (0% 18cyc)</t>
        </is>
      </c>
      <c r="AC63" s="96" t="inlineStr">
        <is>
          <t>West Coast — substantial CA branches</t>
        </is>
      </c>
      <c r="AD63" s="96" t="inlineStr">
        <is>
          <t>Tacoma, WA (bank: Lake Oswego, OR)</t>
        </is>
      </c>
      <c r="AE63" s="96" t="inlineStr">
        <is>
          <t>Reg</t>
        </is>
      </c>
      <c r="AF63" s="96" t="inlineStr">
        <is>
          <t>HIGH issuer=Elan/lineup/18mo-0%/CA-eligibility; MED reporting (Elan general). 2026-05-28</t>
        </is>
      </c>
      <c r="AG63" s="96" t="inlineStr">
        <is>
          <t>columbiabank.com/business-banking/credit-cards; branchoffer.com/11t2 (Elan disclosure); maximizingmoney.com; newfrontierfunding.com (lending full-doc)</t>
        </is>
      </c>
    </row>
    <row r="64" ht="15.75" customHeight="1">
      <c r="A64" s="96" t="inlineStr">
        <is>
          <t>61</t>
        </is>
      </c>
      <c r="B64" s="96" t="inlineStr">
        <is>
          <t>60</t>
        </is>
      </c>
      <c r="C64" s="96" t="inlineStr">
        <is>
          <t>Altura Credit Union</t>
        </is>
      </c>
      <c r="D64" s="96" t="inlineStr">
        <is>
          <t>Credit Union</t>
        </is>
      </c>
      <c r="E64" s="96" t="inlineStr">
        <is>
          <t>★ Core SoCal</t>
        </is>
      </c>
      <c r="F64" s="96" t="inlineStr">
        <is>
          <t>2/4  ✗SUW ✗Onl ✓SoCal ✓Card</t>
        </is>
      </c>
      <c r="G64" s="96" t="inlineStr">
        <is>
          <t>Up to $25,000 (advertised)</t>
        </is>
      </c>
      <c r="H64" s="96" t="inlineStr">
        <is>
          <t>~$2.0B</t>
        </is>
      </c>
      <c r="I64" s="96" t="inlineStr">
        <is>
          <t>—</t>
        </is>
      </c>
      <c r="J64" s="96" t="inlineStr">
        <is>
          <t>HQ Riverside (IE); ~$2B+; Riverside County FOM</t>
        </is>
      </c>
      <c r="K64" s="96" t="inlineStr">
        <is>
          <t>CA-HQ'd</t>
        </is>
      </c>
      <c r="L64" s="96" t="inlineStr">
        <is>
          <t>Unknown</t>
        </is>
      </c>
      <c r="M64" s="96" t="inlineStr">
        <is>
          <t>✅ Business Platinum: NO 0% intro; APR N/M ('competitive', consumer 'as low as 12.49%'); $0 AF; up to $25K; no LLC required</t>
        </is>
      </c>
      <c r="N64" s="96" t="inlineStr">
        <is>
          <t>Self (likely; CU; Velera processor possible — not confirmed)</t>
        </is>
      </c>
      <c r="O64" s="96" t="inlineStr">
        <is>
          <t>In-person</t>
        </is>
      </c>
      <c r="P64" s="96" t="inlineStr">
        <is>
          <t>Branch or phone (888) 883-7228 — no online app for the business card</t>
        </is>
      </c>
      <c r="Q64" s="96" t="inlineStr">
        <is>
          <t>https://www.alturacu.com/business-credit-card/</t>
        </is>
      </c>
      <c r="R64" s="96" t="inlineStr">
        <is>
          <t>https://www.alturacu.com/business-credit-card/</t>
        </is>
      </c>
      <c r="S64" s="96" t="inlineStr">
        <is>
          <t>N/M</t>
        </is>
      </c>
      <c r="T64" s="96" t="inlineStr">
        <is>
          <t>N/M</t>
        </is>
      </c>
      <c r="U64" s="96" t="inlineStr">
        <is>
          <t>On approved credit; 'not all members qualify'; no LLC/incorporation required (freelancers/online sellers may qualify). No forum DPs.</t>
        </is>
      </c>
      <c r="V64" s="96" t="inlineStr">
        <is>
          <t>2</t>
        </is>
      </c>
      <c r="W64" s="96" t="inlineStr">
        <is>
          <t>D — White-label, apply offline</t>
        </is>
      </c>
      <c r="X64" s="96" t="inlineStr">
        <is>
          <t>N/M (LLC NOT required; PG/docs unstated)</t>
        </is>
      </c>
      <c r="Y64" s="96" t="inlineStr">
        <is>
          <t>None advertised (LLC-not-required lowers barrier but not no-income-doc)</t>
        </is>
      </c>
      <c r="Z64" s="96" t="inlineStr">
        <is>
          <t>Membership required (Riverside County: live/work/worship/school + businesses in county + family; NO nationwide association path found)</t>
        </is>
      </c>
      <c r="AA64" s="96" t="inlineStr">
        <is>
          <t>No-doc card — apply in branch</t>
        </is>
      </c>
      <c r="AB64" s="96" t="inlineStr">
        <is>
          <t>Altura Business Platinum Credit Card (self-issued likely; $0 AF, up to $25K)</t>
        </is>
      </c>
      <c r="AC64" s="96" t="inlineStr">
        <is>
          <t>SoCal / Inland Empire</t>
        </is>
      </c>
      <c r="AD64" s="96" t="inlineStr">
        <is>
          <t>Riverside</t>
        </is>
      </c>
      <c r="AE64" s="96" t="inlineStr">
        <is>
          <t>CU</t>
        </is>
      </c>
      <c r="AF64" s="96" t="inlineStr">
        <is>
          <t>MED card-exists/$0AF/$25K/no-LLC/IE; apply IN-BRANCH; suw=Unknown (issuer not confirmed); N/M APR, HP, PG. 2026-05-29</t>
        </is>
      </c>
      <c r="AG64" s="96" t="inlineStr">
        <is>
          <t>alturacu.com/business-credit-card + /faq/do-i-need-an-llc...; /benefits-of-membership/become-a-member</t>
        </is>
      </c>
    </row>
    <row r="65" ht="15.75" customHeight="1">
      <c r="A65" s="96" t="inlineStr">
        <is>
          <t>62</t>
        </is>
      </c>
      <c r="B65" s="96" t="inlineStr">
        <is>
          <t>61</t>
        </is>
      </c>
      <c r="C65" s="96" t="inlineStr">
        <is>
          <t>Provident Savings Bank, F.S.B.</t>
        </is>
      </c>
      <c r="D65" s="96" t="inlineStr">
        <is>
          <t>CA Bank</t>
        </is>
      </c>
      <c r="E65" s="96" t="inlineStr">
        <is>
          <t>★ Core SoCal</t>
        </is>
      </c>
      <c r="F65" s="96" t="inlineStr">
        <is>
          <t>3/4  ✗SUW ✓Onl ✓SoCal ✓Card</t>
        </is>
      </c>
      <c r="G65" s="96" t="inlineStr">
        <is>
          <t>Elan platform: ~$3K–$10K start, to ~$20K strong files (~$500 seen at 800+ FICO)  [myFICO #6658960]</t>
        </is>
      </c>
      <c r="H65" s="96" t="inlineStr">
        <is>
          <t>$1.22B</t>
        </is>
      </c>
      <c r="I65" s="96" t="inlineStr">
        <is>
          <t>$0.89B</t>
        </is>
      </c>
      <c r="J65" s="96" t="inlineStr">
        <is>
          <t>Inland Empire/SoCal; Riverside HQ + branches; thrift (residential-heavy); Provident Financial Holdings. NOT NJ provident.bank, NOT Provident CU</t>
        </is>
      </c>
      <c r="K65" s="96" t="inlineStr">
        <is>
          <t>CA-HQ'd</t>
        </is>
      </c>
      <c r="L65" s="96" t="inlineStr">
        <is>
          <t>No</t>
        </is>
      </c>
      <c r="M65" s="96" t="inlineStr">
        <is>
          <t>✅ Elan biz cards (Cash Preferred / Smart / Real Rewards); terms N/M</t>
        </is>
      </c>
      <c r="N65" s="96" t="inlineStr">
        <is>
          <t>Elan</t>
        </is>
      </c>
      <c r="O65" s="96" t="inlineStr">
        <is>
          <t>Online</t>
        </is>
      </c>
      <c r="P65" s="96" t="inlineStr">
        <is>
          <t>Online — apply at https://creditcardlearnmore.com/11t3/index?ecdma-lc=10028&amp;ecid=OTHE_25940</t>
        </is>
      </c>
      <c r="Q65" s="96" t="inlineStr">
        <is>
          <t>https://www.myprovident.com</t>
        </is>
      </c>
      <c r="R65" s="96" t="inlineStr">
        <is>
          <t>https://creditcardlearnmore.com/11t3/index?ecdma-lc=10028&amp;ecid=OTHE_25940</t>
        </is>
      </c>
      <c r="S65" s="96" t="inlineStr">
        <is>
          <t>TransUnion (varies EX/EQ)</t>
        </is>
      </c>
      <c r="T65" s="96" t="inlineStr">
        <is>
          <t>D&amp;B; not personal in good standing</t>
        </is>
      </c>
      <c r="U65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65" s="96" t="inlineStr">
        <is>
          <t>3</t>
        </is>
      </c>
      <c r="W65" s="96" t="inlineStr">
        <is>
          <t>C — White-label, apply online</t>
        </is>
      </c>
      <c r="X65" s="96" t="inlineStr">
        <is>
          <t>PG yes; no tax returns (&lt;$25K)</t>
        </is>
      </c>
      <c r="Y65" s="96" t="inlineStr">
        <is>
          <t>None (commercial/SBA/CRE relationship-underwritten; residential-heavy lender)</t>
        </is>
      </c>
      <c r="Z65" s="96" t="inlineStr">
        <is>
          <t>N/M</t>
        </is>
      </c>
      <c r="AA65" s="96" t="inlineStr">
        <is>
          <t>No-doc card — apply online (Elan)</t>
        </is>
      </c>
      <c r="AB65" s="96" t="inlineStr">
        <is>
          <t>Business Cash Preferred, Smart Business Rewards, Business Real Rewards (Elan)</t>
        </is>
      </c>
      <c r="AC65" s="96" t="inlineStr">
        <is>
          <t>SoCal / Inland Empire</t>
        </is>
      </c>
      <c r="AD65" s="96" t="inlineStr">
        <is>
          <t>Riverside</t>
        </is>
      </c>
      <c r="AE65" s="96" t="inlineStr">
        <is>
          <t>56</t>
        </is>
      </c>
      <c r="AF65" s="96" t="inlineStr">
        <is>
          <t>HIGH issuer=Elan (own portal links theme=elan1, lc=10028)/online/Inland Empire; N/M terms, HP. 2026-05-29</t>
        </is>
      </c>
      <c r="AG65" s="96" t="inlineStr">
        <is>
          <t>myprovident.com/creditcard (Elan disclosure); creditcardlearnmore.com (10028); FDIC cert 30879</t>
        </is>
      </c>
    </row>
    <row r="66" ht="15.75" customHeight="1">
      <c r="A66" s="96" t="inlineStr">
        <is>
          <t>63</t>
        </is>
      </c>
      <c r="B66" s="96" t="inlineStr">
        <is>
          <t>62</t>
        </is>
      </c>
      <c r="C66" s="96" t="inlineStr">
        <is>
          <t>BluPeak Credit Union (formerly USE Credit Union)</t>
        </is>
      </c>
      <c r="D66" s="96" t="inlineStr">
        <is>
          <t>Credit Union</t>
        </is>
      </c>
      <c r="E66" s="96" t="inlineStr">
        <is>
          <t>★ Core SoCal</t>
        </is>
      </c>
      <c r="F66" s="96" t="inlineStr">
        <is>
          <t>3/4  ✗SUW ✓Onl ✓SoCal ✓Card</t>
        </is>
      </c>
      <c r="G66" s="96" t="inlineStr">
        <is>
          <t>Elan platform: ~$3K–$10K start, to ~$20K strong files (~$500 seen at 800+ FICO)  [myFICO #6658960]</t>
        </is>
      </c>
      <c r="H66" s="96" t="inlineStr">
        <is>
          <t>~$1.2B</t>
        </is>
      </c>
      <c r="I66" s="96" t="inlineStr">
        <is>
          <t>—</t>
        </is>
      </c>
      <c r="J66" s="96" t="inlineStr">
        <is>
          <t>HQ San Diego; ~$1.2B; ~6 CA branches (San Diego + Berkeley/Sacramento/Santa Clara/Davis); USE CU rebranded BluPeak 2022</t>
        </is>
      </c>
      <c r="K66" s="96" t="inlineStr">
        <is>
          <t>CA-HQ'd</t>
        </is>
      </c>
      <c r="L66" s="96" t="inlineStr">
        <is>
          <t>No</t>
        </is>
      </c>
      <c r="M66" s="96" t="inlineStr">
        <is>
          <t>✅ Elan business cards (low rate / cash back / rewards); terms N/M</t>
        </is>
      </c>
      <c r="N66" s="96" t="inlineStr">
        <is>
          <t>Elan</t>
        </is>
      </c>
      <c r="O66" s="96" t="inlineStr">
        <is>
          <t>Online</t>
        </is>
      </c>
      <c r="P66" s="96" t="inlineStr">
        <is>
          <t>Online — apply at https://www.blupeak.com/spend-save/credit-cards/</t>
        </is>
      </c>
      <c r="Q66" s="96" t="inlineStr">
        <is>
          <t>https://www.blupeak.com/spend-save/credit-cards/</t>
        </is>
      </c>
      <c r="R66" s="96" t="inlineStr">
        <is>
          <t>https://www.blupeak.com/spend-save/credit-cards/</t>
        </is>
      </c>
      <c r="S66" s="96" t="inlineStr">
        <is>
          <t>TransUnion (varies EX/EQ)</t>
        </is>
      </c>
      <c r="T66" s="96" t="inlineStr">
        <is>
          <t>D&amp;B; not personal in good standing</t>
        </is>
      </c>
      <c r="U66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Standard Elan biz app: PG + personal credit pull (joint &amp; several).</t>
        </is>
      </c>
      <c r="V66" s="96" t="inlineStr">
        <is>
          <t>3</t>
        </is>
      </c>
      <c r="W66" s="96" t="inlineStr">
        <is>
          <t>C — White-label, apply online</t>
        </is>
      </c>
      <c r="X66" s="96" t="inlineStr">
        <is>
          <t>PG yes; no tax returns (&lt;$25K)</t>
        </is>
      </c>
      <c r="Y66" s="96" t="inlineStr">
        <is>
          <t>None (Elan no-PG Commercial Rewards is middle-market only, not advertised here)</t>
        </is>
      </c>
      <c r="Z66" s="96" t="inlineStr">
        <is>
          <t>Membership required (CA-only: Alameda/Sacramento/San Diego/Santa Clara/Yolo counties + State/UC/CSU employees + family; no clean nationwide path)</t>
        </is>
      </c>
      <c r="AA66" s="96" t="inlineStr">
        <is>
          <t>No-doc card — apply online (Elan)</t>
        </is>
      </c>
      <c r="AB66" s="96" t="inlineStr">
        <is>
          <t>Elan business Visa (names N/M; own page names Elan as creditor/issuer)</t>
        </is>
      </c>
      <c r="AC66" s="96" t="inlineStr">
        <is>
          <t>SoCal / San Diego</t>
        </is>
      </c>
      <c r="AD66" s="96" t="inlineStr">
        <is>
          <t>San Diego</t>
        </is>
      </c>
      <c r="AE66" s="96" t="inlineStr">
        <is>
          <t>CU</t>
        </is>
      </c>
      <c r="AF66" s="96" t="inlineStr">
        <is>
          <t>HIGH issuer=Elan (own footer disclosure)/apply-online/San Diego; CA-only membership; N/M terms, HP. 2026-05-29</t>
        </is>
      </c>
      <c r="AG66" s="96" t="inlineStr">
        <is>
          <t>blupeak.com/spend-save/credit-cards ('issuer is Elan Financial Services'); usecu.org→blupeak.com redirect; elan STD_BIZ.pdf</t>
        </is>
      </c>
    </row>
    <row r="67" ht="15.75" customHeight="1">
      <c r="A67" s="96" t="inlineStr">
        <is>
          <t>64</t>
        </is>
      </c>
      <c r="B67" s="96" t="inlineStr">
        <is>
          <t>63</t>
        </is>
      </c>
      <c r="C67" s="96" t="inlineStr">
        <is>
          <t>EverTrust Bank</t>
        </is>
      </c>
      <c r="D67" s="96" t="inlineStr">
        <is>
          <t>CA Bank</t>
        </is>
      </c>
      <c r="E67" s="96" t="inlineStr">
        <is>
          <t>★ Core SoCal</t>
        </is>
      </c>
      <c r="F67" s="96" t="inlineStr">
        <is>
          <t>3/4  ✗SUW ✓Onl ✓SoCal ✓Card</t>
        </is>
      </c>
      <c r="G67" s="96" t="inlineStr">
        <is>
          <t>Elan platform: ~$3K–$10K start, to ~$20K strong files (~$500 seen at 800+ FICO)  [myFICO #6658960]</t>
        </is>
      </c>
      <c r="H67" s="96" t="inlineStr">
        <is>
          <t>$1.11B</t>
        </is>
      </c>
      <c r="I67" s="96" t="inlineStr">
        <is>
          <t>N/M</t>
        </is>
      </c>
      <c r="J67" s="96" t="inlineStr">
        <is>
          <t>~SGV/LA branches (City of Industry, Arcadia); O-Bank (Taiwan) affiliate; Asian-American</t>
        </is>
      </c>
      <c r="K67" s="96" t="inlineStr">
        <is>
          <t>CA-HQ'd</t>
        </is>
      </c>
      <c r="L67" s="96" t="inlineStr">
        <is>
          <t>No</t>
        </is>
      </c>
      <c r="M67" s="96" t="inlineStr">
        <is>
          <t>✅ Elan business Visa (low rate / cash back / rewards); terms N/M</t>
        </is>
      </c>
      <c r="N67" s="96" t="inlineStr">
        <is>
          <t>Elan</t>
        </is>
      </c>
      <c r="O67" s="96" t="inlineStr">
        <is>
          <t>Online</t>
        </is>
      </c>
      <c r="P67" s="96" t="inlineStr">
        <is>
          <t>Online — apply at https://www.evertrustbank.com/Business/Visa-Credit-Cards</t>
        </is>
      </c>
      <c r="Q67" s="96" t="inlineStr">
        <is>
          <t>https://www.evertrustbank.com</t>
        </is>
      </c>
      <c r="R67" s="96" t="inlineStr">
        <is>
          <t>https://www.evertrustbank.com/Business/Visa-Credit-Cards</t>
        </is>
      </c>
      <c r="S67" s="96" t="inlineStr">
        <is>
          <t>TransUnion (varies EX/EQ)</t>
        </is>
      </c>
      <c r="T67" s="96" t="inlineStr">
        <is>
          <t>D&amp;B; not personal in good standing</t>
        </is>
      </c>
      <c r="U67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67" s="96" t="inlineStr">
        <is>
          <t>3</t>
        </is>
      </c>
      <c r="W67" s="96" t="inlineStr">
        <is>
          <t>C — White-label, apply online</t>
        </is>
      </c>
      <c r="X67" s="96" t="inlineStr">
        <is>
          <t>PG yes; no tax returns (&lt;$25K)</t>
        </is>
      </c>
      <c r="Y67" s="96" t="inlineStr">
        <is>
          <t>None (commercial LOC/CRE/SBA/C&amp;I/trade full-doc)</t>
        </is>
      </c>
      <c r="Z67" s="96" t="inlineStr">
        <is>
          <t>N/M</t>
        </is>
      </c>
      <c r="AA67" s="96" t="inlineStr">
        <is>
          <t>No-doc card — apply online (Elan)</t>
        </is>
      </c>
      <c r="AB67" s="96" t="inlineStr">
        <is>
          <t>Elan business Visa (Cash Preferred / Real Rewards / Platinum; names not enumerated)</t>
        </is>
      </c>
      <c r="AC67" s="96" t="inlineStr">
        <is>
          <t>SoCal / LA (San Gabriel Valley)</t>
        </is>
      </c>
      <c r="AD67" s="96" t="inlineStr">
        <is>
          <t>City of Industry</t>
        </is>
      </c>
      <c r="AE67" s="96" t="inlineStr">
        <is>
          <t>59</t>
        </is>
      </c>
      <c r="AF67" s="96" t="inlineStr">
        <is>
          <t>HIGH issuer=Elan (own footer disclosure)/SGV; MED apply-online (Elan portal, inferred); N/M terms. 2026-05-29</t>
        </is>
      </c>
      <c r="AG67" s="96" t="inlineStr">
        <is>
          <t>evertrustbank.com/Business/Visa-Credit-Cards (Elan creditor disclosure); FDIC cert 34010</t>
        </is>
      </c>
    </row>
    <row r="68" ht="15.75" customHeight="1">
      <c r="A68" s="96" t="inlineStr">
        <is>
          <t>65</t>
        </is>
      </c>
      <c r="B68" s="96" t="inlineStr">
        <is>
          <t>64</t>
        </is>
      </c>
      <c r="C68" s="96" t="inlineStr">
        <is>
          <t>Endeavor Bank</t>
        </is>
      </c>
      <c r="D68" s="96" t="inlineStr">
        <is>
          <t>CA Bank</t>
        </is>
      </c>
      <c r="E68" s="96" t="inlineStr">
        <is>
          <t>★ Core SoCal</t>
        </is>
      </c>
      <c r="F68" s="96" t="inlineStr">
        <is>
          <t>3/4  ✗SUW ✓Onl ✓SoCal ✓Card</t>
        </is>
      </c>
      <c r="G68" s="96" t="inlineStr">
        <is>
          <t>Elan platform: ~$3K–$10K start, to ~$20K strong files (~$500 seen at 800+ FICO)  [myFICO #6658960]</t>
        </is>
      </c>
      <c r="H68" s="96" t="inlineStr">
        <is>
          <t>$0.81B</t>
        </is>
      </c>
      <c r="I68" s="96" t="inlineStr">
        <is>
          <t>N/M</t>
        </is>
      </c>
      <c r="J68" s="96" t="inlineStr">
        <is>
          <t>Single-market San Diego community bank (downtown SD); founded 2018; Endeavor Bancorp (OTC: EDVR)</t>
        </is>
      </c>
      <c r="K68" s="96" t="inlineStr">
        <is>
          <t>CA-HQ'd</t>
        </is>
      </c>
      <c r="L68" s="96" t="inlineStr">
        <is>
          <t>No</t>
        </is>
      </c>
      <c r="M68" s="96" t="inlineStr">
        <is>
          <t>✅ Elan biz cards (low rate / cash back / rewards); terms N/M</t>
        </is>
      </c>
      <c r="N68" s="96" t="inlineStr">
        <is>
          <t>Elan</t>
        </is>
      </c>
      <c r="O68" s="96" t="inlineStr">
        <is>
          <t>Online</t>
        </is>
      </c>
      <c r="P68" s="96" t="inlineStr">
        <is>
          <t>Online — apply at https://creditcardlearnmore.com/11t3/index?ecdma-lc=35185&amp;ecid=OTHE_25940#business</t>
        </is>
      </c>
      <c r="Q68" s="96" t="inlineStr">
        <is>
          <t>https://www.endeavor.bank</t>
        </is>
      </c>
      <c r="R68" s="96" t="inlineStr">
        <is>
          <t>https://creditcardlearnmore.com/11t3/index?ecdma-lc=35185&amp;ecid=OTHE_25940#business</t>
        </is>
      </c>
      <c r="S68" s="96" t="inlineStr">
        <is>
          <t>TransUnion (varies EX/EQ)</t>
        </is>
      </c>
      <c r="T68" s="96" t="inlineStr">
        <is>
          <t>D&amp;B; not personal in good standing</t>
        </is>
      </c>
      <c r="U68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68" s="96" t="inlineStr">
        <is>
          <t>3</t>
        </is>
      </c>
      <c r="W68" s="96" t="inlineStr">
        <is>
          <t>C — White-label, apply online</t>
        </is>
      </c>
      <c r="X68" s="96" t="inlineStr">
        <is>
          <t>PG yes; no tax returns (&lt;$25K)</t>
        </is>
      </c>
      <c r="Y68" s="96" t="inlineStr">
        <is>
          <t>None (LOC/term/CRE/SBA 504/7(a)/equipment full-doc)</t>
        </is>
      </c>
      <c r="Z68" s="96" t="inlineStr">
        <is>
          <t>N/M</t>
        </is>
      </c>
      <c r="AA68" s="96" t="inlineStr">
        <is>
          <t>No-doc card — apply online (Elan)</t>
        </is>
      </c>
      <c r="AB68" s="96" t="inlineStr">
        <is>
          <t>Elan business Visa (names not enumerated)</t>
        </is>
      </c>
      <c r="AC68" s="96" t="inlineStr">
        <is>
          <t>SoCal / San Diego</t>
        </is>
      </c>
      <c r="AD68" s="96" t="inlineStr">
        <is>
          <t>San Diego</t>
        </is>
      </c>
      <c r="AE68" s="96" t="inlineStr">
        <is>
          <t>69</t>
        </is>
      </c>
      <c r="AF68" s="96" t="inlineStr">
        <is>
          <t>HIGH issuer=Elan (own footer disclosure)/San Diego; MED apply (Elan portal); N/M terms, HP. 2026-05-29</t>
        </is>
      </c>
      <c r="AG68" s="96" t="inlineStr">
        <is>
          <t>endeavor.bank/consultative-banking (Elan disclosure); creditcardlearnmore.com (35185); FDIC cert 59099</t>
        </is>
      </c>
    </row>
    <row r="69" ht="15.75" customHeight="1">
      <c r="A69" s="96" t="inlineStr">
        <is>
          <t>66</t>
        </is>
      </c>
      <c r="B69" s="96" t="inlineStr">
        <is>
          <t>65</t>
        </is>
      </c>
      <c r="C69" s="96" t="inlineStr">
        <is>
          <t>CommerceWest Bank</t>
        </is>
      </c>
      <c r="D69" s="96" t="inlineStr">
        <is>
          <t>CA Bank</t>
        </is>
      </c>
      <c r="E69" s="96" t="inlineStr">
        <is>
          <t>★ Core SoCal</t>
        </is>
      </c>
      <c r="F69" s="96" t="inlineStr">
        <is>
          <t>2/4  ✗SUW ✗Onl ✓SoCal ✓Card</t>
        </is>
      </c>
      <c r="G69" s="96" t="inlineStr">
        <is>
          <t>N/M (no bank-specific data point found)</t>
        </is>
      </c>
      <c r="H69" s="96" t="inlineStr">
        <is>
          <t>$1.24B</t>
        </is>
      </c>
      <c r="I69" s="96" t="inlineStr">
        <is>
          <t>N/M</t>
        </is>
      </c>
      <c r="J69" s="96" t="inlineStr">
        <is>
          <t>Single Irvine office; OC commercial bank (CW Bancorp)</t>
        </is>
      </c>
      <c r="K69" s="96" t="inlineStr">
        <is>
          <t>CA-HQ'd</t>
        </is>
      </c>
      <c r="L69" s="96" t="inlineStr">
        <is>
          <t>Unknown</t>
        </is>
      </c>
      <c r="M69" s="96" t="inlineStr">
        <is>
          <t>✅ Card exists ('low intro rates' + preferred points); issuer/terms N/M; no online apply</t>
        </is>
      </c>
      <c r="N69" s="96" t="inlineStr">
        <is>
          <t>Unknown (not named on site; no portal links; likely agent-issued)</t>
        </is>
      </c>
      <c r="O69" s="96" t="inlineStr">
        <is>
          <t>In-person</t>
        </is>
      </c>
      <c r="P69" s="96" t="inlineStr">
        <is>
          <t>Visit branch / contact a banker (no online application)</t>
        </is>
      </c>
      <c r="Q69" s="96" t="inlineStr">
        <is>
          <t>https://www.cwbk.com</t>
        </is>
      </c>
      <c r="R69" s="96" t="inlineStr">
        <is>
          <t>https://www.cwbk.com/business-loans/</t>
        </is>
      </c>
      <c r="S69" s="96" t="inlineStr">
        <is>
          <t>N/M</t>
        </is>
      </c>
      <c r="T69" s="96" t="inlineStr">
        <is>
          <t>N/M</t>
        </is>
      </c>
      <c r="U69" s="96" t="inlineStr">
        <is>
          <t>N/M (no forum data; too small/obscure)</t>
        </is>
      </c>
      <c r="V69" s="96" t="inlineStr">
        <is>
          <t>2</t>
        </is>
      </c>
      <c r="W69" s="96" t="inlineStr">
        <is>
          <t>D — White-label, apply offline</t>
        </is>
      </c>
      <c r="X69" s="96" t="inlineStr">
        <is>
          <t>N/M (no application/disclosure published)</t>
        </is>
      </c>
      <c r="Y69" s="96" t="inlineStr">
        <is>
          <t>None (working-capital/SBA Express/ABL/CRE full-doc)</t>
        </is>
      </c>
      <c r="Z69" s="96" t="inlineStr">
        <is>
          <t>Likely Yes (relationship bank)</t>
        </is>
      </c>
      <c r="AA69" s="96" t="inlineStr">
        <is>
          <t>No-doc card — apply in branch</t>
        </is>
      </c>
      <c r="AB69" s="96" t="inlineStr">
        <is>
          <t>'CommerceWest Bank credit card for businesses and consumers' (preferred points; no named tiers)</t>
        </is>
      </c>
      <c r="AC69" s="96" t="inlineStr">
        <is>
          <t>SoCal / Orange County</t>
        </is>
      </c>
      <c r="AD69" s="96" t="inlineStr">
        <is>
          <t>Irvine</t>
        </is>
      </c>
      <c r="AE69" s="96" t="inlineStr">
        <is>
          <t>55</t>
        </is>
      </c>
      <c r="AF69" s="96" t="inlineStr">
        <is>
          <t>MED-HIGH card-exists/OC-HQ/no-online; N/M issuer, terms, HP (nothing published). 2026-05-29</t>
        </is>
      </c>
      <c r="AG69" s="96" t="inlineStr">
        <is>
          <t>cwbk.com/business-loans; cwbk.com (home); FDIC cert 57176</t>
        </is>
      </c>
    </row>
    <row r="70" ht="15.75" customHeight="1">
      <c r="A70" s="96" t="inlineStr">
        <is>
          <t>67</t>
        </is>
      </c>
      <c r="B70" s="96" t="inlineStr">
        <is>
          <t>66</t>
        </is>
      </c>
      <c r="C70" s="96" t="inlineStr">
        <is>
          <t>First General Bank</t>
        </is>
      </c>
      <c r="D70" s="96" t="inlineStr">
        <is>
          <t>CA Bank</t>
        </is>
      </c>
      <c r="E70" s="96" t="inlineStr">
        <is>
          <t>★ Core SoCal</t>
        </is>
      </c>
      <c r="F70" s="96" t="inlineStr">
        <is>
          <t>2/4  ✗SUW ✗Onl ✓SoCal ✓Card</t>
        </is>
      </c>
      <c r="G70" s="96" t="inlineStr">
        <is>
          <t>N/M (no bank-specific data point found)</t>
        </is>
      </c>
      <c r="H70" s="96" t="inlineStr">
        <is>
          <t>$1.14B</t>
        </is>
      </c>
      <c r="I70" s="96" t="inlineStr">
        <is>
          <t>N/M</t>
        </is>
      </c>
      <c r="J70" s="96" t="inlineStr">
        <is>
          <t>~4 branches (Rowland Heights HQ, Arcadia, Irvine, San Gabriel); CDFI; Asian-American SMB</t>
        </is>
      </c>
      <c r="K70" s="96" t="inlineStr">
        <is>
          <t>CA-HQ'd</t>
        </is>
      </c>
      <c r="L70" s="96" t="inlineStr">
        <is>
          <t>Unknown</t>
        </is>
      </c>
      <c r="M70" s="96" t="inlineStr">
        <is>
          <t>⚠️ 'Business Credit Cards' listed (no detail); issuer/terms N/M; no online apply</t>
        </is>
      </c>
      <c r="N70" s="96" t="inlineStr">
        <is>
          <t>Unknown (not disclosed; no portal; likely agent-issued)</t>
        </is>
      </c>
      <c r="O70" s="96" t="inlineStr">
        <is>
          <t>In-person</t>
        </is>
      </c>
      <c r="P70" s="96" t="inlineStr">
        <is>
          <t>Visit branch / contact a banker (no online application)</t>
        </is>
      </c>
      <c r="Q70" s="96" t="inlineStr">
        <is>
          <t>https://www.fgbusa.com</t>
        </is>
      </c>
      <c r="R70" s="96" t="inlineStr">
        <is>
          <t>https://www.fgbusa.com/products-and-services/others</t>
        </is>
      </c>
      <c r="S70" s="96" t="inlineStr">
        <is>
          <t>N/M</t>
        </is>
      </c>
      <c r="T70" s="96" t="inlineStr">
        <is>
          <t>N/M</t>
        </is>
      </c>
      <c r="U70" s="96" t="inlineStr">
        <is>
          <t>N/M (no forum data)</t>
        </is>
      </c>
      <c r="V70" s="96" t="inlineStr">
        <is>
          <t>2</t>
        </is>
      </c>
      <c r="W70" s="96" t="inlineStr">
        <is>
          <t>D — White-label, apply offline</t>
        </is>
      </c>
      <c r="X70" s="96" t="inlineStr">
        <is>
          <t>N/M (nothing published)</t>
        </is>
      </c>
      <c r="Y70" s="96" t="inlineStr">
        <is>
          <t>None (commercial/SBA/trade finance full-doc)</t>
        </is>
      </c>
      <c r="Z70" s="96" t="inlineStr">
        <is>
          <t>Likely Yes (relationship)</t>
        </is>
      </c>
      <c r="AA70" s="96" t="inlineStr">
        <is>
          <t>No-doc card — apply in branch</t>
        </is>
      </c>
      <c r="AB70" s="96" t="inlineStr">
        <is>
          <t>'Business Credit Cards' (generic; no name/terms published)</t>
        </is>
      </c>
      <c r="AC70" s="96" t="inlineStr">
        <is>
          <t>SoCal / LA (San Gabriel Valley)</t>
        </is>
      </c>
      <c r="AD70" s="96" t="inlineStr">
        <is>
          <t>Rowland Heights</t>
        </is>
      </c>
      <c r="AE70" s="96" t="inlineStr">
        <is>
          <t>58</t>
        </is>
      </c>
      <c r="AF70" s="96" t="inlineStr">
        <is>
          <t>MED-HIGH card-listed/SGV-HQ/no-online; N/M issuer, terms (zero card detail published). 2026-05-29</t>
        </is>
      </c>
      <c r="AG70" s="96" t="inlineStr">
        <is>
          <t>fgbusa.com/products-and-services/others; fgbusa.com/about/bank-profile; FDIC cert 58060</t>
        </is>
      </c>
    </row>
    <row r="71" ht="15.75" customHeight="1">
      <c r="A71" s="96" t="inlineStr">
        <is>
          <t>68</t>
        </is>
      </c>
      <c r="B71" s="96" t="inlineStr">
        <is>
          <t>67</t>
        </is>
      </c>
      <c r="C71" s="96" t="inlineStr">
        <is>
          <t>First Pacific Bank</t>
        </is>
      </c>
      <c r="D71" s="96" t="inlineStr">
        <is>
          <t>CA Bank</t>
        </is>
      </c>
      <c r="E71" s="96" t="inlineStr">
        <is>
          <t>★ Core SoCal</t>
        </is>
      </c>
      <c r="F71" s="96" t="inlineStr">
        <is>
          <t>3/4  ✗SUW ✓Onl ✓SoCal ✓Card</t>
        </is>
      </c>
      <c r="G71" s="96" t="inlineStr">
        <is>
          <t>Elan platform: ~$3K–$10K start, to ~$20K strong files (~$500 seen at 800+ FICO)  [myFICO #6658960]</t>
        </is>
      </c>
      <c r="H71" s="96" t="inlineStr">
        <is>
          <t>$0.49B</t>
        </is>
      </c>
      <c r="I71" s="96" t="inlineStr">
        <is>
          <t>N/M</t>
        </is>
      </c>
      <c r="J71" s="96" t="inlineStr">
        <is>
          <t>LA + Orange County + San Diego + Inland Empire branches; est 2006; First Pacific Bancorp</t>
        </is>
      </c>
      <c r="K71" s="96" t="inlineStr">
        <is>
          <t>CA-HQ'd</t>
        </is>
      </c>
      <c r="L71" s="96" t="inlineStr">
        <is>
          <t>No</t>
        </is>
      </c>
      <c r="M71" s="96" t="inlineStr">
        <is>
          <t>✅ Elan biz cards (low rate / cash back / rewards); terms N/M</t>
        </is>
      </c>
      <c r="N71" s="96" t="inlineStr">
        <is>
          <t>Elan</t>
        </is>
      </c>
      <c r="O71" s="96" t="inlineStr">
        <is>
          <t>Online</t>
        </is>
      </c>
      <c r="P71" s="96" t="inlineStr">
        <is>
          <t>Online — apply at https://www.firstpacbank.com/business-banking/business-loans-and-lines-of-credit/</t>
        </is>
      </c>
      <c r="Q71" s="96" t="inlineStr">
        <is>
          <t>https://www.firstpacbank.com</t>
        </is>
      </c>
      <c r="R71" s="96" t="inlineStr">
        <is>
          <t>https://www.firstpacbank.com/business-banking/business-loans-and-lines-of-credit/</t>
        </is>
      </c>
      <c r="S71" s="96" t="inlineStr">
        <is>
          <t>TransUnion (varies EX/EQ)</t>
        </is>
      </c>
      <c r="T71" s="96" t="inlineStr">
        <is>
          <t>D&amp;B; not personal in good standing</t>
        </is>
      </c>
      <c r="U71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71" s="96" t="inlineStr">
        <is>
          <t>3</t>
        </is>
      </c>
      <c r="W71" s="96" t="inlineStr">
        <is>
          <t>C — White-label, apply online</t>
        </is>
      </c>
      <c r="X71" s="96" t="inlineStr">
        <is>
          <t>PG yes; no tax returns (&lt;$25K)</t>
        </is>
      </c>
      <c r="Y71" s="96" t="inlineStr">
        <is>
          <t>None (LOC/equipment/CRE/construction/truck/SBA full-doc)</t>
        </is>
      </c>
      <c r="Z71" s="96" t="inlineStr">
        <is>
          <t>N/M</t>
        </is>
      </c>
      <c r="AA71" s="96" t="inlineStr">
        <is>
          <t>No-doc card — apply online (Elan)</t>
        </is>
      </c>
      <c r="AB71" s="96" t="inlineStr">
        <is>
          <t>Elan business Visa (Real Rewards / Cash Preferred / Platinum; names not enumerated)</t>
        </is>
      </c>
      <c r="AC71" s="96" t="inlineStr">
        <is>
          <t>SoCal / LA</t>
        </is>
      </c>
      <c r="AD71" s="96" t="inlineStr">
        <is>
          <t>Whittier</t>
        </is>
      </c>
      <c r="AE71" s="96" t="inlineStr">
        <is>
          <t>82</t>
        </is>
      </c>
      <c r="AF71" s="96" t="inlineStr">
        <is>
          <t>HIGH issuer=Elan (own footer disclosure)/online/SoCal-multi-county; N/M terms, HP, reports. 2026-05-29</t>
        </is>
      </c>
      <c r="AG71" s="96" t="inlineStr">
        <is>
          <t>firstpacbank.com/business-banking/business-loans-and-lines-of-credit (Elan disclosure); creditcardlearnmore.com; FDIC cert 58218</t>
        </is>
      </c>
    </row>
    <row r="72" ht="15.75" customHeight="1">
      <c r="A72" s="96" t="inlineStr">
        <is>
          <t>69</t>
        </is>
      </c>
      <c r="B72" s="96" t="inlineStr">
        <is>
          <t>68</t>
        </is>
      </c>
      <c r="C72" s="96" t="inlineStr">
        <is>
          <t>Infinity Bank</t>
        </is>
      </c>
      <c r="D72" s="96" t="inlineStr">
        <is>
          <t>CA Bank</t>
        </is>
      </c>
      <c r="E72" s="96" t="inlineStr">
        <is>
          <t>★ Core SoCal</t>
        </is>
      </c>
      <c r="F72" s="96" t="inlineStr">
        <is>
          <t>3/4  ✗SUW ✓Onl ✓SoCal ✓Card</t>
        </is>
      </c>
      <c r="G72" s="96" t="inlineStr">
        <is>
          <t>Elan platform: ~$3K–$10K start, to ~$20K strong files (~$500 seen at 800+ FICO)  [myFICO #6658960]</t>
        </is>
      </c>
      <c r="H72" s="96" t="inlineStr">
        <is>
          <t>$0.39B</t>
        </is>
      </c>
      <c r="I72" s="96" t="inlineStr">
        <is>
          <t>N/M</t>
        </is>
      </c>
      <c r="J72" s="96" t="inlineStr">
        <is>
          <t>Single branch (Santa Ana, OC); Infinity Bancorp; est 2018</t>
        </is>
      </c>
      <c r="K72" s="96" t="inlineStr">
        <is>
          <t>CA-HQ'd</t>
        </is>
      </c>
      <c r="L72" s="96" t="inlineStr">
        <is>
          <t>No</t>
        </is>
      </c>
      <c r="M72" s="96" t="inlineStr">
        <is>
          <t>✅ Elan business Visa (cash back / travel rewards); terms N/M</t>
        </is>
      </c>
      <c r="N72" s="96" t="inlineStr">
        <is>
          <t>Elan</t>
        </is>
      </c>
      <c r="O72" s="96" t="inlineStr">
        <is>
          <t>Online</t>
        </is>
      </c>
      <c r="P72" s="96" t="inlineStr">
        <is>
          <t>Online — apply at https://app.ccdepartment.com/Credit/credit?name=GoInfinityBank193</t>
        </is>
      </c>
      <c r="Q72" s="96" t="inlineStr">
        <is>
          <t>https://www.infinity.bank</t>
        </is>
      </c>
      <c r="R72" s="96" t="inlineStr">
        <is>
          <t>https://app.ccdepartment.com/Credit/credit?name=GoInfinityBank193</t>
        </is>
      </c>
      <c r="S72" s="96" t="inlineStr">
        <is>
          <t>TransUnion (varies EX/EQ)</t>
        </is>
      </c>
      <c r="T72" s="96" t="inlineStr">
        <is>
          <t>D&amp;B; not personal in good standing</t>
        </is>
      </c>
      <c r="U72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App (app.ccdepartment.com=Elan correspondent) authorizes consumer + business credit pull (PG).</t>
        </is>
      </c>
      <c r="V72" s="96" t="inlineStr">
        <is>
          <t>3</t>
        </is>
      </c>
      <c r="W72" s="96" t="inlineStr">
        <is>
          <t>C — White-label, apply online</t>
        </is>
      </c>
      <c r="X72" s="96" t="inlineStr">
        <is>
          <t>PG yes; no tax returns (&lt;$25K)</t>
        </is>
      </c>
      <c r="Y72" s="96" t="inlineStr">
        <is>
          <t>None (business LOC/merchant services full-doc)</t>
        </is>
      </c>
      <c r="Z72" s="96" t="inlineStr">
        <is>
          <t>N/M</t>
        </is>
      </c>
      <c r="AA72" s="96" t="inlineStr">
        <is>
          <t>No-doc card — apply online (Elan)</t>
        </is>
      </c>
      <c r="AB72" s="96" t="inlineStr">
        <is>
          <t>Elan business Visa (names not enumerated)</t>
        </is>
      </c>
      <c r="AC72" s="96" t="inlineStr">
        <is>
          <t>SoCal / Orange County</t>
        </is>
      </c>
      <c r="AD72" s="96" t="inlineStr">
        <is>
          <t>Santa Ana</t>
        </is>
      </c>
      <c r="AE72" s="96" t="inlineStr">
        <is>
          <t>90</t>
        </is>
      </c>
      <c r="AF72" s="96" t="inlineStr">
        <is>
          <t>MED-HIGH issuer=Elan (app.ccdepartment.com + business.cardservices.bank fingerprints)/online/OC; N/M terms, HP. 2026-05-29</t>
        </is>
      </c>
      <c r="AG72" s="96" t="inlineStr">
        <is>
          <t>infinity.bank/business/credit-financing/business-credit-cards; app.ccdepartment.com (Elan); FDIC cert 59098</t>
        </is>
      </c>
    </row>
    <row r="73" ht="15.75" customHeight="1">
      <c r="A73" s="96" t="inlineStr">
        <is>
          <t>70</t>
        </is>
      </c>
      <c r="B73" s="96" t="inlineStr">
        <is>
          <t>69</t>
        </is>
      </c>
      <c r="C73" s="96" t="inlineStr">
        <is>
          <t>Mechanics Bank</t>
        </is>
      </c>
      <c r="D73" s="96" t="inlineStr">
        <is>
          <t>CA Bank</t>
        </is>
      </c>
      <c r="E73" s="96" t="inlineStr">
        <is>
          <t>Other — NorCal</t>
        </is>
      </c>
      <c r="F73" s="96" t="inlineStr">
        <is>
          <t>2/4  ✗SUW ✓Onl ✗SoCal ✓Card</t>
        </is>
      </c>
      <c r="G73" s="96" t="inlineStr">
        <is>
          <t>Elan platform: ~$3K–$10K start, to ~$20K strong files (~$500 seen at 800+ FICO)  [myFICO #6658960]</t>
        </is>
      </c>
      <c r="H73" s="96" t="inlineStr">
        <is>
          <t>$21.40B</t>
        </is>
      </c>
      <c r="I73" s="96" t="inlineStr">
        <is>
          <t>$18.25B</t>
        </is>
      </c>
      <c r="J73" s="96" t="inlineStr">
        <is>
          <t>~135 CA locations; West Coast + Hawaii</t>
        </is>
      </c>
      <c r="K73" s="96" t="inlineStr">
        <is>
          <t>CA-HQ'd</t>
        </is>
      </c>
      <c r="L73" s="96" t="inlineStr">
        <is>
          <t>No</t>
        </is>
      </c>
      <c r="M73" s="96" t="inlineStr">
        <is>
          <t>✅ 0% 12 cycles → 17.24-26.24%; $0 AF; 3% gas/dining/office/cell</t>
        </is>
      </c>
      <c r="N73" s="96" t="inlineStr">
        <is>
          <t>Elan</t>
        </is>
      </c>
      <c r="O73" s="96" t="inlineStr">
        <is>
          <t>Online</t>
        </is>
      </c>
      <c r="P73" s="96" t="inlineStr">
        <is>
          <t>Online — apply at https://creditcardlearnmore.com/11t3/index?ecdma-lc=23692&amp;ecid=OTHE_25940</t>
        </is>
      </c>
      <c r="Q73" s="96" t="inlineStr">
        <is>
          <t>https://www.mymechanics.com</t>
        </is>
      </c>
      <c r="R73" s="96" t="inlineStr">
        <is>
          <t>https://creditcardlearnmore.com/11t3/index?ecdma-lc=23692&amp;ecid=OTHE_25940</t>
        </is>
      </c>
      <c r="S73" s="96" t="inlineStr">
        <is>
          <t>TransUnion (varies EX/EQ)</t>
        </is>
      </c>
      <c r="T73" s="96" t="inlineStr">
        <is>
          <t>D&amp;B; not personal in good standing</t>
        </is>
      </c>
      <c r="U73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73" s="96" t="inlineStr">
        <is>
          <t>3</t>
        </is>
      </c>
      <c r="W73" s="96" t="inlineStr">
        <is>
          <t>C — White-label, apply online</t>
        </is>
      </c>
      <c r="X73" s="96" t="inlineStr">
        <is>
          <t>PG yes; no tax returns (&lt;$25K)</t>
        </is>
      </c>
      <c r="Y73" s="96" t="inlineStr">
        <is>
          <t>Business LOC (CA-only promo to $250K) — relationship-underwritten</t>
        </is>
      </c>
      <c r="Z73" s="96" t="inlineStr">
        <is>
          <t>No</t>
        </is>
      </c>
      <c r="AA73" s="96" t="inlineStr">
        <is>
          <t>No-doc 0% card — apply online (Elan)</t>
        </is>
      </c>
      <c r="AB73" s="96" t="inlineStr">
        <is>
          <t>Business Cash Preferred, Smart Business Rewards ($95 AF after yr1), Business Real Rewards (0% 6 cyc)</t>
        </is>
      </c>
      <c r="AC73" s="96" t="inlineStr">
        <is>
          <t>NorCal / SF-East Bay</t>
        </is>
      </c>
      <c r="AD73" s="96" t="inlineStr">
        <is>
          <t>Walnut Creek</t>
        </is>
      </c>
      <c r="AE73" s="96" t="inlineStr">
        <is>
          <t>6</t>
        </is>
      </c>
      <c r="AF73" s="96" t="inlineStr">
        <is>
          <t>HIGH issuer/terms/PG/online; MED HP. 2026-05-28</t>
        </is>
      </c>
      <c r="AG73" s="96" t="inlineStr">
        <is>
          <t>mymechanics.com business-credit-cards; creditcardlearnmore.com; online1.elancard.com STD_BIZ.pdf</t>
        </is>
      </c>
    </row>
    <row r="74" ht="15.75" customHeight="1">
      <c r="A74" s="96" t="inlineStr">
        <is>
          <t>71</t>
        </is>
      </c>
      <c r="B74" s="96" t="inlineStr">
        <is>
          <t>70</t>
        </is>
      </c>
      <c r="C74" s="96" t="inlineStr">
        <is>
          <t>Fifth Third Bank</t>
        </is>
      </c>
      <c r="D74" s="96" t="inlineStr">
        <is>
          <t>Regional</t>
        </is>
      </c>
      <c r="E74" s="96" t="inlineStr">
        <is>
          <t>National (lends in CA)</t>
        </is>
      </c>
      <c r="F74" s="96" t="inlineStr">
        <is>
          <t>2/4  ✓SUW ✗Onl ✗SoCal ✓Card</t>
        </is>
      </c>
      <c r="G74" s="96" t="inlineStr">
        <is>
          <t>$25K max exposure (1 card 630+/2 cards 700+/3 cards 750+)  [myFICO #5418937]</t>
        </is>
      </c>
      <c r="H74" s="96" t="inlineStr">
        <is>
          <t>~$294B (combined w/ Comerica; 9th-largest US bank)</t>
        </is>
      </c>
      <c r="I74" s="96" t="inlineStr">
        <is>
          <t>—</t>
        </is>
      </c>
      <c r="J74" s="96" t="inlineStr">
        <is>
          <t>Midwest/SE; CA = ex-Comerica (~34 banking centers, Bay Area); Comerica brand until Q3 2026</t>
        </is>
      </c>
      <c r="K74" s="96" t="inlineStr">
        <is>
          <t>⚠ Needs local branch/account — minimal/no CA retail (likely NOT reachable)</t>
        </is>
      </c>
      <c r="L74" s="96" t="inlineStr">
        <is>
          <t>Yes</t>
        </is>
      </c>
      <c r="M74" s="96" t="inlineStr">
        <is>
          <t>⚠️ Simply Business: 0% 12cyc, $0 AF, 1.67% — but CLOSED to new applicants; in-branch only; 90-day deposit acct required</t>
        </is>
      </c>
      <c r="N74" s="96" t="inlineStr">
        <is>
          <t>Self (Fifth Third Bank NA)</t>
        </is>
      </c>
      <c r="O74" s="96" t="inlineStr">
        <is>
          <t>In-person</t>
        </is>
      </c>
      <c r="P74" s="96" t="inlineStr">
        <is>
          <t>Visit branch / contact a banker (no online application)</t>
        </is>
      </c>
      <c r="Q74" s="96" t="inlineStr">
        <is>
          <t>https://www.53.com/content/fifth-third/en/business-banking/managing-business/credit-card-solutions.html</t>
        </is>
      </c>
      <c r="R74" s="96" t="inlineStr">
        <is>
          <t>https://www.53.com/content/fifth-third/en/business-banking/managing-business/credit-card-solutions/simply-business-card.html</t>
        </is>
      </c>
      <c r="S74" s="96" t="inlineStr">
        <is>
          <t>TransUnion (East-Coast lean)</t>
        </is>
      </c>
      <c r="T74" s="96" t="inlineStr">
        <is>
          <t>Personal N/M; Business SBFE likely (N/M)</t>
        </is>
      </c>
      <c r="U74" s="96" t="inlineStr">
        <is>
          <t>$25K max exposure; score tiers 1 card 630+/2 cards 700+/3 cards 750+; separate HP per app (not inq-sensitive); CLI=hard pull after 6mo. myfico.com #5418937</t>
        </is>
      </c>
      <c r="V74" s="96" t="inlineStr">
        <is>
          <t>2</t>
        </is>
      </c>
      <c r="W74" s="96" t="inlineStr">
        <is>
          <t>B — Self-UW (apply offline)</t>
        </is>
      </c>
      <c r="X74" s="96" t="inlineStr">
        <is>
          <t>PG yes (joint &amp; several); tax returns N/M</t>
        </is>
      </c>
      <c r="Y74" s="96" t="inlineStr">
        <is>
          <t>Commercial LOC/SBA full-doc. (Brex corporate card runs on Fifth Third rails — no-PG, but a Brex product.)</t>
        </is>
      </c>
      <c r="Z74" s="96" t="inlineStr">
        <is>
          <t>YES — Fifth Third business checking/savings active 90+ days required</t>
        </is>
      </c>
      <c r="AA74" s="96" t="inlineStr">
        <is>
          <t>⚠ Needs CA branch + closed to new applicants</t>
        </is>
      </c>
      <c r="AB74" s="96" t="inlineStr">
        <is>
          <t>Fifth Third Simply Business Card (CLOSED to new); Commercial Card; Brex-partnership corporate card</t>
        </is>
      </c>
      <c r="AC74" s="96" t="inlineStr">
        <is>
          <t>National — NEW CA via Comerica acquisition (Feb 2026)</t>
        </is>
      </c>
      <c r="AD74" s="96" t="inlineStr">
        <is>
          <t>Cincinnati, OH</t>
        </is>
      </c>
      <c r="AE74" s="96" t="inlineStr">
        <is>
          <t>Reg</t>
        </is>
      </c>
      <c r="AF74" s="96" t="inlineStr">
        <is>
          <t>HIGH self (triangulated); card CLOSED to new + branch-only + 90-day deposit gate = low practical utility. 2026-05-28</t>
        </is>
      </c>
      <c r="AG74" s="96" t="inlineStr">
        <is>
          <t>brex.com/legal/fifth-third-bank-card-agreement; CFPB TCCP data; 53.com simply-business; fitsmallbusiness.com; myfico.com #5418937</t>
        </is>
      </c>
    </row>
    <row r="75" ht="15.75" customHeight="1">
      <c r="A75" s="96" t="inlineStr">
        <is>
          <t>72</t>
        </is>
      </c>
      <c r="B75" s="96" t="inlineStr">
        <is>
          <t>71</t>
        </is>
      </c>
      <c r="C75" s="96" t="inlineStr">
        <is>
          <t>Poppy Bank</t>
        </is>
      </c>
      <c r="D75" s="96" t="inlineStr">
        <is>
          <t>CA Bank</t>
        </is>
      </c>
      <c r="E75" s="96" t="inlineStr">
        <is>
          <t>Other — NorCal</t>
        </is>
      </c>
      <c r="F75" s="96" t="inlineStr">
        <is>
          <t>2/4  ✗SUW ✓Onl ✗SoCal ✓Card</t>
        </is>
      </c>
      <c r="G75" s="96" t="inlineStr">
        <is>
          <t>Elan platform: ~$3K–$10K start, to ~$20K strong files (~$500 seen at 800+ FICO)  [myFICO #6658960]</t>
        </is>
      </c>
      <c r="H75" s="96" t="inlineStr">
        <is>
          <t>$7.80B</t>
        </is>
      </c>
      <c r="I75" s="96" t="inlineStr">
        <is>
          <t>$6.02B</t>
        </is>
      </c>
      <c r="J75" s="96" t="inlineStr">
        <is>
          <t>CA-only, extensive; Bay Area, Sacramento, LA, Orange County, San Diego, Santa Barbara</t>
        </is>
      </c>
      <c r="K75" s="96" t="inlineStr">
        <is>
          <t>CA-HQ'd</t>
        </is>
      </c>
      <c r="L75" s="96" t="inlineStr">
        <is>
          <t>No</t>
        </is>
      </c>
      <c r="M75" s="96" t="inlineStr">
        <is>
          <t>✅ 0% 12 cycles → 17.24-26.24%; $0 AF</t>
        </is>
      </c>
      <c r="N75" s="96" t="inlineStr">
        <is>
          <t>Elan</t>
        </is>
      </c>
      <c r="O75" s="96" t="inlineStr">
        <is>
          <t>Online</t>
        </is>
      </c>
      <c r="P75" s="96" t="inlineStr">
        <is>
          <t>Online — apply at https://creditcardlearnmore.com/11t3/index?ecdma-lc=07362&amp;ecid=OTHE_25940#business</t>
        </is>
      </c>
      <c r="Q75" s="96" t="inlineStr">
        <is>
          <t>https://www.poppy.bank</t>
        </is>
      </c>
      <c r="R75" s="96" t="inlineStr">
        <is>
          <t>https://creditcardlearnmore.com/11t3/index?ecdma-lc=07362&amp;ecid=OTHE_25940#business</t>
        </is>
      </c>
      <c r="S75" s="96" t="inlineStr">
        <is>
          <t>TransUnion (varies EX/EQ)</t>
        </is>
      </c>
      <c r="T75" s="96" t="inlineStr">
        <is>
          <t>D&amp;B; not personal in good standing</t>
        </is>
      </c>
      <c r="U75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75" s="96" t="inlineStr">
        <is>
          <t>3</t>
        </is>
      </c>
      <c r="W75" s="96" t="inlineStr">
        <is>
          <t>C — White-label, apply online</t>
        </is>
      </c>
      <c r="X75" s="96" t="inlineStr">
        <is>
          <t>PG yes; no tax returns (&lt;$25K)</t>
        </is>
      </c>
      <c r="Y75" s="96" t="inlineStr">
        <is>
          <t>None (SBA/USDA/CRE/LOC underwritten)</t>
        </is>
      </c>
      <c r="Z75" s="96" t="inlineStr">
        <is>
          <t>No</t>
        </is>
      </c>
      <c r="AA75" s="96" t="inlineStr">
        <is>
          <t>No-doc 0% card — apply online (Elan)</t>
        </is>
      </c>
      <c r="AB75" s="96" t="inlineStr">
        <is>
          <t>Business Cash Preferred, Smart Business Rewards, Business Real Rewards</t>
        </is>
      </c>
      <c r="AC75" s="96" t="inlineStr">
        <is>
          <t>NorCal / SF (North Bay)</t>
        </is>
      </c>
      <c r="AD75" s="96" t="inlineStr">
        <is>
          <t>Santa Rosa</t>
        </is>
      </c>
      <c r="AE75" s="96" t="inlineStr">
        <is>
          <t>13</t>
        </is>
      </c>
      <c r="AF75" s="96" t="inlineStr">
        <is>
          <t>HIGH issuer/terms/online/footprint; MED PG/HP. 2026-05-28</t>
        </is>
      </c>
      <c r="AG75" s="96" t="inlineStr">
        <is>
          <t>poppy.bank/business-checking-accounts; creditcardlearnmore.com (07362)</t>
        </is>
      </c>
    </row>
    <row r="76" ht="15.75" customHeight="1">
      <c r="A76" s="96" t="inlineStr">
        <is>
          <t>73</t>
        </is>
      </c>
      <c r="B76" s="96" t="inlineStr">
        <is>
          <t>72</t>
        </is>
      </c>
      <c r="C76" s="96" t="inlineStr">
        <is>
          <t>Partners Bank of California</t>
        </is>
      </c>
      <c r="D76" s="96" t="inlineStr">
        <is>
          <t>CA Bank</t>
        </is>
      </c>
      <c r="E76" s="96" t="inlineStr">
        <is>
          <t>★ Core SoCal</t>
        </is>
      </c>
      <c r="F76" s="96" t="inlineStr">
        <is>
          <t>2/4  ✗SUW ✗Onl ✓SoCal ✓Card</t>
        </is>
      </c>
      <c r="G76" s="96" t="inlineStr">
        <is>
          <t>N/M (TIB; financials typically required $10K+)</t>
        </is>
      </c>
      <c r="H76" s="96" t="inlineStr">
        <is>
          <t>$0.61B</t>
        </is>
      </c>
      <c r="I76" s="96" t="inlineStr">
        <is>
          <t>N/M</t>
        </is>
      </c>
      <c r="J76" s="96" t="inlineStr">
        <is>
          <t>'Only business bank HQ'd in South Orange County'; Mission Viejo HQ + Beverly Hills; ticker PBKX</t>
        </is>
      </c>
      <c r="K76" s="96" t="inlineStr">
        <is>
          <t>CA-HQ'd</t>
        </is>
      </c>
      <c r="L76" s="96" t="inlineStr">
        <is>
          <t>No</t>
        </is>
      </c>
      <c r="M76" s="96" t="inlineStr">
        <is>
          <t>✅ TIB Mastercard business (Preferred Points 1pt/$1 to 10K/mo); no 0%; terms N/M; no online apply</t>
        </is>
      </c>
      <c r="N76" s="96" t="inlineStr">
        <is>
          <t>TIB</t>
        </is>
      </c>
      <c r="O76" s="96" t="inlineStr">
        <is>
          <t>In-person</t>
        </is>
      </c>
      <c r="P76" s="96" t="inlineStr">
        <is>
          <t>No online app — call (949) 732-4000 / TIB Card Svc 800-367-7576; relationship/branch</t>
        </is>
      </c>
      <c r="Q76" s="96" t="inlineStr">
        <is>
          <t>https://www.pbofca.com</t>
        </is>
      </c>
      <c r="R76" s="96" t="inlineStr">
        <is>
          <t>—</t>
        </is>
      </c>
      <c r="S76" s="96" t="inlineStr">
        <is>
          <t>Experian/TU (TIB; INFERENCE)</t>
        </is>
      </c>
      <c r="T76" s="96" t="inlineStr">
        <is>
          <t>N/M (TIB; biz-only typical)</t>
        </is>
      </c>
      <c r="U76" s="96" t="inlineStr">
        <is>
          <t>TIB Preferred Points program (24/7 line 800-367-7576 = TIB Card Services). No online app; inquiry/relationship only. No bank-specific DPs.</t>
        </is>
      </c>
      <c r="V76" s="96" t="inlineStr">
        <is>
          <t>2</t>
        </is>
      </c>
      <c r="W76" s="96" t="inlineStr">
        <is>
          <t>D — White-label, apply offline</t>
        </is>
      </c>
      <c r="X76" s="96" t="inlineStr">
        <is>
          <t>PG likely (TIB standard); docs N/M</t>
        </is>
      </c>
      <c r="Y76" s="96" t="inlineStr">
        <is>
          <t>None (business LOC/loans/CRE/SBA full-doc)</t>
        </is>
      </c>
      <c r="Z76" s="96" t="inlineStr">
        <is>
          <t>Likely Yes (relationship)</t>
        </is>
      </c>
      <c r="AA76" s="96" t="inlineStr">
        <is>
          <t>No-doc card — apply in branch</t>
        </is>
      </c>
      <c r="AB76" s="96" t="inlineStr">
        <is>
          <t>Mastercard Business credit card (TIB Preferred Points; 1pt/$1 up to 10K pts/mo)</t>
        </is>
      </c>
      <c r="AC76" s="96" t="inlineStr">
        <is>
          <t>SoCal / Orange County</t>
        </is>
      </c>
      <c r="AD76" s="96" t="inlineStr">
        <is>
          <t>Mission Viejo</t>
        </is>
      </c>
      <c r="AE76" s="96" t="inlineStr">
        <is>
          <t>76</t>
        </is>
      </c>
      <c r="AF76" s="96" t="inlineStr">
        <is>
          <t>MED-HIGH issuer=TIB (shared 800-367-7576 + verbatim Preferred Points copy)/OC; no online apply; N/M terms, HP. 2026-05-29</t>
        </is>
      </c>
      <c r="AG76" s="96" t="inlineStr">
        <is>
          <t>pbofca.com/product/business-banking/lending-solutions; TIB Preferred Points boilerplate match; FDIC cert 58588</t>
        </is>
      </c>
    </row>
    <row r="77" ht="15.75" customHeight="1">
      <c r="A77" s="96" t="inlineStr">
        <is>
          <t>74</t>
        </is>
      </c>
      <c r="B77" s="96" t="inlineStr">
        <is>
          <t>73</t>
        </is>
      </c>
      <c r="C77" s="96" t="inlineStr">
        <is>
          <t>Chino Commercial Bank, N.A.</t>
        </is>
      </c>
      <c r="D77" s="96" t="inlineStr">
        <is>
          <t>CA Bank</t>
        </is>
      </c>
      <c r="E77" s="96" t="inlineStr">
        <is>
          <t>★ Core SoCal</t>
        </is>
      </c>
      <c r="F77" s="96" t="inlineStr">
        <is>
          <t>2/4  ✗SUW ✗Onl ✓SoCal ✓Card</t>
        </is>
      </c>
      <c r="G77" s="96" t="inlineStr">
        <is>
          <t>N/M (no bank-specific data point found)</t>
        </is>
      </c>
      <c r="H77" s="96" t="inlineStr">
        <is>
          <t>$0.47B</t>
        </is>
      </c>
      <c r="I77" s="96" t="inlineStr">
        <is>
          <t>N/M</t>
        </is>
      </c>
      <c r="J77" s="96" t="inlineStr">
        <is>
          <t>3 branches Inland Empire (Chino, Upland, Ontario, Rancho Cucamonga, Corona); San Bernardino County</t>
        </is>
      </c>
      <c r="K77" s="96" t="inlineStr">
        <is>
          <t>CA-HQ'd</t>
        </is>
      </c>
      <c r="L77" s="96" t="inlineStr">
        <is>
          <t>Unknown</t>
        </is>
      </c>
      <c r="M77" s="96" t="inlineStr">
        <is>
          <t>⚠️ One card 'provided by third party' (consumer-framed); issuer/terms N/M; no online apply</t>
        </is>
      </c>
      <c r="N77" s="96" t="inlineStr">
        <is>
          <t>Unknown (third-party; not named on site)</t>
        </is>
      </c>
      <c r="O77" s="96" t="inlineStr">
        <is>
          <t>In-person</t>
        </is>
      </c>
      <c r="P77" s="96" t="inlineStr">
        <is>
          <t>Visit branch / contact a banker (no online application)</t>
        </is>
      </c>
      <c r="Q77" s="96" t="inlineStr">
        <is>
          <t>https://www.chinocommercialbank.com</t>
        </is>
      </c>
      <c r="R77" s="96" t="inlineStr">
        <is>
          <t>—</t>
        </is>
      </c>
      <c r="S77" s="96" t="inlineStr">
        <is>
          <t>N/M</t>
        </is>
      </c>
      <c r="T77" s="96" t="inlineStr">
        <is>
          <t>N/M</t>
        </is>
      </c>
      <c r="U77" s="96" t="inlineStr">
        <is>
          <t>N/M (no forum data)</t>
        </is>
      </c>
      <c r="V77" s="96" t="inlineStr">
        <is>
          <t>2</t>
        </is>
      </c>
      <c r="W77" s="96" t="inlineStr">
        <is>
          <t>D — White-label, apply offline</t>
        </is>
      </c>
      <c r="X77" s="96" t="inlineStr">
        <is>
          <t>N/M (document-upload lending portal = full-doc)</t>
        </is>
      </c>
      <c r="Y77" s="96" t="inlineStr">
        <is>
          <t>Unsecured Business LOC $10K-$100K (no 'no-doc' language; doc-upload portal implies full-doc)</t>
        </is>
      </c>
      <c r="Z77" s="96" t="inlineStr">
        <is>
          <t>N/M</t>
        </is>
      </c>
      <c r="AA77" s="96" t="inlineStr">
        <is>
          <t>No-doc card — apply in branch</t>
        </is>
      </c>
      <c r="AB77" s="96" t="inlineStr">
        <is>
          <t>One unnamed credit card 'provided by third party' (consumer-oriented); Unsecured LOC $10K-$100K</t>
        </is>
      </c>
      <c r="AC77" s="96" t="inlineStr">
        <is>
          <t>SoCal / Inland Empire</t>
        </is>
      </c>
      <c r="AD77" s="96" t="inlineStr">
        <is>
          <t>Chino</t>
        </is>
      </c>
      <c r="AE77" s="96" t="inlineStr">
        <is>
          <t>83</t>
        </is>
      </c>
      <c r="AF77" s="96" t="inlineStr">
        <is>
          <t>MED card-exists/third-party/IE-HQ; N/M issuer, terms (undisclosed). Unsecured LOC $10K-$100K noted. 2026-05-29</t>
        </is>
      </c>
      <c r="AG77" s="96" t="inlineStr">
        <is>
          <t>chinocommercialbank.com/business-banking/business-services + /business-loans; FDIC cert 35366</t>
        </is>
      </c>
    </row>
    <row r="78" ht="15.75" customHeight="1">
      <c r="A78" s="96" t="inlineStr">
        <is>
          <t>75</t>
        </is>
      </c>
      <c r="B78" s="96" t="inlineStr">
        <is>
          <t>74</t>
        </is>
      </c>
      <c r="C78" s="96" t="inlineStr">
        <is>
          <t>Genesis Bank</t>
        </is>
      </c>
      <c r="D78" s="96" t="inlineStr">
        <is>
          <t>CA Bank</t>
        </is>
      </c>
      <c r="E78" s="96" t="inlineStr">
        <is>
          <t>★ Core SoCal</t>
        </is>
      </c>
      <c r="F78" s="96" t="inlineStr">
        <is>
          <t>2/4  ✗SUW ✗Onl ✓SoCal ✓Card</t>
        </is>
      </c>
      <c r="G78" s="96" t="inlineStr">
        <is>
          <t>N/M (no bank-specific data point found)</t>
        </is>
      </c>
      <c r="H78" s="96" t="inlineStr">
        <is>
          <t>$0.41B</t>
        </is>
      </c>
      <c r="I78" s="96" t="inlineStr">
        <is>
          <t>N/M</t>
        </is>
      </c>
      <c r="J78" s="96" t="inlineStr">
        <is>
          <t>Newport Beach HQ; OC + LA + W Inland Empire; minority-owned de novo (est 2021)</t>
        </is>
      </c>
      <c r="K78" s="96" t="inlineStr">
        <is>
          <t>CA-HQ'd</t>
        </is>
      </c>
      <c r="L78" s="96" t="inlineStr">
        <is>
          <t>Unknown</t>
        </is>
      </c>
      <c r="M78" s="96" t="inlineStr">
        <is>
          <t>⚠️ One unnamed business card (relationship-only); issuer/terms N/M; no online apply</t>
        </is>
      </c>
      <c r="N78" s="96" t="inlineStr">
        <is>
          <t>Unknown (not named; likely agent-issued)</t>
        </is>
      </c>
      <c r="O78" s="96" t="inlineStr">
        <is>
          <t>In-person</t>
        </is>
      </c>
      <c r="P78" s="96" t="inlineStr">
        <is>
          <t>Visit branch / contact a banker (no online application)</t>
        </is>
      </c>
      <c r="Q78" s="96" t="inlineStr">
        <is>
          <t>https://www.mygenesisbank.com</t>
        </is>
      </c>
      <c r="R78" s="96" t="inlineStr">
        <is>
          <t>—</t>
        </is>
      </c>
      <c r="S78" s="96" t="inlineStr">
        <is>
          <t>N/M</t>
        </is>
      </c>
      <c r="T78" s="96" t="inlineStr">
        <is>
          <t>N/M</t>
        </is>
      </c>
      <c r="U78" s="96" t="inlineStr">
        <is>
          <t>N/M (no forum data; not the unrelated Concora/'Genesis FS' subprime issuer)</t>
        </is>
      </c>
      <c r="V78" s="96" t="inlineStr">
        <is>
          <t>2</t>
        </is>
      </c>
      <c r="W78" s="96" t="inlineStr">
        <is>
          <t>D — White-label, apply offline</t>
        </is>
      </c>
      <c r="X78" s="96" t="inlineStr">
        <is>
          <t>N/M (RM-underwritten)</t>
        </is>
      </c>
      <c r="Y78" s="96" t="inlineStr">
        <is>
          <t>None (LOC/term/SBA/owner-occ CRE/equipment full-doc)</t>
        </is>
      </c>
      <c r="Z78" s="96" t="inlineStr">
        <is>
          <t>Likely Yes (relationship)</t>
        </is>
      </c>
      <c r="AA78" s="96" t="inlineStr">
        <is>
          <t>No-doc card — apply in branch</t>
        </is>
      </c>
      <c r="AB78" s="96" t="inlineStr">
        <is>
          <t>One unnamed business credit card ('transparent reporting for reconciliation'; no tiers)</t>
        </is>
      </c>
      <c r="AC78" s="96" t="inlineStr">
        <is>
          <t>SoCal / Orange County</t>
        </is>
      </c>
      <c r="AD78" s="96" t="inlineStr">
        <is>
          <t>Newport Beach</t>
        </is>
      </c>
      <c r="AE78" s="96" t="inlineStr">
        <is>
          <t>87</t>
        </is>
      </c>
      <c r="AF78" s="96" t="inlineStr">
        <is>
          <t>MED card-exists/OC-HQ/relationship-only; N/M issuer, terms (RM-gated). Disambiguated from Concora. 2026-05-29</t>
        </is>
      </c>
      <c r="AG78" s="96" t="inlineStr">
        <is>
          <t>mygenesisbank.com/commercial-banking/business-loans/loan-products; FDIC cert 59245</t>
        </is>
      </c>
    </row>
    <row r="79" ht="15.75" customHeight="1">
      <c r="A79" s="96" t="inlineStr">
        <is>
          <t>76</t>
        </is>
      </c>
      <c r="B79" s="96" t="inlineStr">
        <is>
          <t>75</t>
        </is>
      </c>
      <c r="C79" s="96" t="inlineStr">
        <is>
          <t>Westamerica Bank</t>
        </is>
      </c>
      <c r="D79" s="96" t="inlineStr">
        <is>
          <t>CA Bank</t>
        </is>
      </c>
      <c r="E79" s="96" t="inlineStr">
        <is>
          <t>Other — NorCal</t>
        </is>
      </c>
      <c r="F79" s="96" t="inlineStr">
        <is>
          <t>2/4  ✗SUW ✓Onl ✗SoCal ✓Card</t>
        </is>
      </c>
      <c r="G79" s="96" t="inlineStr">
        <is>
          <t>Elan DPs: $4K–$9K (no-relationship)  [myFICO #6478775]</t>
        </is>
      </c>
      <c r="H79" s="96" t="inlineStr">
        <is>
          <t>$5.83B</t>
        </is>
      </c>
      <c r="I79" s="96" t="inlineStr">
        <is>
          <t>$4.79B</t>
        </is>
      </c>
      <c r="J79" s="96" t="inlineStr">
        <is>
          <t>~76-88 branches across 19 NorCal/Central counties</t>
        </is>
      </c>
      <c r="K79" s="96" t="inlineStr">
        <is>
          <t>CA-HQ'd</t>
        </is>
      </c>
      <c r="L79" s="96" t="inlineStr">
        <is>
          <t>No</t>
        </is>
      </c>
      <c r="M79" s="96" t="inlineStr">
        <is>
          <t>✅ 0% 12-18 cycles → 17.24-26.24%; $0 AF</t>
        </is>
      </c>
      <c r="N79" s="96" t="inlineStr">
        <is>
          <t>Elan</t>
        </is>
      </c>
      <c r="O79" s="96" t="inlineStr">
        <is>
          <t>Online</t>
        </is>
      </c>
      <c r="P79" s="96" t="inlineStr">
        <is>
          <t>Online — apply at https://creditcardlearnmore.com/11t3/index?ecdma-lc=12109</t>
        </is>
      </c>
      <c r="Q79" s="96" t="inlineStr">
        <is>
          <t>https://www.westamerica.com</t>
        </is>
      </c>
      <c r="R79" s="96" t="inlineStr">
        <is>
          <t>https://creditcardlearnmore.com/11t3/index?ecdma-lc=12109</t>
        </is>
      </c>
      <c r="S79" s="96" t="inlineStr">
        <is>
          <t>TransUnion (2 dated DPs; varies)</t>
        </is>
      </c>
      <c r="T79" s="96" t="inlineStr">
        <is>
          <t>D&amp;B; not personal in good standing</t>
        </is>
      </c>
      <c r="U79" s="96" t="inlineStr">
        <is>
          <t>Elan DPs: Visa Business Cash $9,000 (2021); Smart Business Rewards $4,000 no-relationship (2022, TU pull, D&amp;B 80). myfico.com #6478775</t>
        </is>
      </c>
      <c r="V79" s="96" t="inlineStr">
        <is>
          <t>3</t>
        </is>
      </c>
      <c r="W79" s="96" t="inlineStr">
        <is>
          <t>C — White-label, apply online</t>
        </is>
      </c>
      <c r="X79" s="96" t="inlineStr">
        <is>
          <t>PG yes; no tax returns (&lt;$25K)</t>
        </is>
      </c>
      <c r="Y79" s="96" t="inlineStr">
        <is>
          <t>None (operating LOC/AR/term/CRE relationship-underwritten)</t>
        </is>
      </c>
      <c r="Z79" s="96" t="inlineStr">
        <is>
          <t>No (cold-apps approved)</t>
        </is>
      </c>
      <c r="AA79" s="96" t="inlineStr">
        <is>
          <t>0% to 18 cyc; cold-app approvals, no relationship (Elan)</t>
        </is>
      </c>
      <c r="AB79" s="96" t="inlineStr">
        <is>
          <t>Business Cash Preferred, Smart Business Rewards, Business Real Rewards, Business Card (0% 18 cyc)</t>
        </is>
      </c>
      <c r="AC79" s="96" t="inlineStr">
        <is>
          <t>NorCal / SF (Marin)</t>
        </is>
      </c>
      <c r="AD79" s="96" t="inlineStr">
        <is>
          <t>San Rafael</t>
        </is>
      </c>
      <c r="AE79" s="96" t="inlineStr">
        <is>
          <t>21</t>
        </is>
      </c>
      <c r="AF79" s="96" t="inlineStr">
        <is>
          <t>HIGH issuer/products/no-deposit/PG/D&amp;B; MED HP=TU. 2026-05-28</t>
        </is>
      </c>
      <c r="AG79" s="96" t="inlineStr">
        <is>
          <t>westamerica.com/credit-card-application; creditcardlearnmore.com (12109); myfico.com #6478775</t>
        </is>
      </c>
    </row>
    <row r="80" ht="15.75" customHeight="1">
      <c r="A80" s="96" t="inlineStr">
        <is>
          <t>77</t>
        </is>
      </c>
      <c r="B80" s="96" t="inlineStr">
        <is>
          <t>76</t>
        </is>
      </c>
      <c r="C80" s="96" t="inlineStr">
        <is>
          <t>Legacy Bank (Murrieta, CA)</t>
        </is>
      </c>
      <c r="D80" s="96" t="inlineStr">
        <is>
          <t>CA Bank</t>
        </is>
      </c>
      <c r="E80" s="96" t="inlineStr">
        <is>
          <t>★ Core SoCal</t>
        </is>
      </c>
      <c r="F80" s="96" t="inlineStr">
        <is>
          <t>2/4  ✗SUW ✗Onl ✓SoCal ✓Card</t>
        </is>
      </c>
      <c r="G80" s="96" t="inlineStr">
        <is>
          <t>N/M (no bank-specific data point found)</t>
        </is>
      </c>
      <c r="H80" s="96" t="inlineStr">
        <is>
          <t>$0.11B</t>
        </is>
      </c>
      <c r="I80" s="96" t="inlineStr">
        <is>
          <t>N/M</t>
        </is>
      </c>
      <c r="J80" s="96" t="inlineStr">
        <is>
          <t>Murrieta HQ (Riverside County/IE); founded by Soboba Band of Luiseño Indians; minority-designated; de novo est 2022</t>
        </is>
      </c>
      <c r="K80" s="96" t="inlineStr">
        <is>
          <t>CA-HQ'd</t>
        </is>
      </c>
      <c r="L80" s="96" t="inlineStr">
        <is>
          <t>Unknown</t>
        </is>
      </c>
      <c r="M80" s="96" t="inlineStr">
        <is>
          <t>⚠️ Business cards exist (no detail); issuer/terms N/M; no online apply</t>
        </is>
      </c>
      <c r="N80" s="96" t="inlineStr">
        <is>
          <t>Unknown (not named; likely agent-issued; out-of-state 'Legacy' card data excluded)</t>
        </is>
      </c>
      <c r="O80" s="96" t="inlineStr">
        <is>
          <t>In-person</t>
        </is>
      </c>
      <c r="P80" s="96" t="inlineStr">
        <is>
          <t>Visit branch / contact a banker (no online application)</t>
        </is>
      </c>
      <c r="Q80" s="96" t="inlineStr">
        <is>
          <t>https://www.legacybankca.com</t>
        </is>
      </c>
      <c r="R80" s="96" t="inlineStr">
        <is>
          <t>—</t>
        </is>
      </c>
      <c r="S80" s="96" t="inlineStr">
        <is>
          <t>N/M</t>
        </is>
      </c>
      <c r="T80" s="96" t="inlineStr">
        <is>
          <t>N/M</t>
        </is>
      </c>
      <c r="U80" s="96" t="inlineStr">
        <is>
          <t>N/M (no forum data; de novo)</t>
        </is>
      </c>
      <c r="V80" s="96" t="inlineStr">
        <is>
          <t>2</t>
        </is>
      </c>
      <c r="W80" s="96" t="inlineStr">
        <is>
          <t>D — White-label, apply offline</t>
        </is>
      </c>
      <c r="X80" s="96" t="inlineStr">
        <is>
          <t>N/M</t>
        </is>
      </c>
      <c r="Y80" s="96" t="inlineStr">
        <is>
          <t>None (secured loans/LOC/LC/equipment/owner-occ+investor CRE/SBA full-doc)</t>
        </is>
      </c>
      <c r="Z80" s="96" t="inlineStr">
        <is>
          <t>Likely Yes (relationship)</t>
        </is>
      </c>
      <c r="AA80" s="96" t="inlineStr">
        <is>
          <t>No-doc card — apply in branch</t>
        </is>
      </c>
      <c r="AB80" s="96" t="inlineStr">
        <is>
          <t>Business credit card(s) ('transparent reporting for reconciliation'; no names/terms)</t>
        </is>
      </c>
      <c r="AC80" s="96" t="inlineStr">
        <is>
          <t>SoCal / Inland Empire</t>
        </is>
      </c>
      <c r="AD80" s="96" t="inlineStr">
        <is>
          <t>Murrieta</t>
        </is>
      </c>
      <c r="AE80" s="96" t="inlineStr">
        <is>
          <t>112</t>
        </is>
      </c>
      <c r="AF80" s="96" t="inlineStr">
        <is>
          <t>MED card-exists/IE-HQ/no-online; N/M issuer, terms. Out-of-state Legacy bank data excluded. 2026-05-29</t>
        </is>
      </c>
      <c r="AG80" s="96" t="inlineStr">
        <is>
          <t>legacybankca.com/loans/commercial-lending; americanbanker.com (de novo); FDIC cert 59204</t>
        </is>
      </c>
    </row>
    <row r="81" ht="15.75" customHeight="1">
      <c r="A81" s="96" t="inlineStr">
        <is>
          <t>78</t>
        </is>
      </c>
      <c r="B81" s="96" t="n"/>
      <c r="C81" s="96" t="inlineStr">
        <is>
          <t>Axos Bank</t>
        </is>
      </c>
      <c r="D81" s="96" t="inlineStr">
        <is>
          <t>CA Bank</t>
        </is>
      </c>
      <c r="E81" s="96" t="inlineStr">
        <is>
          <t>★ Core SoCal</t>
        </is>
      </c>
      <c r="F81" s="96" t="inlineStr">
        <is>
          <t>1/4  ✗SUW ✗Onl ✓SoCal ✗Card</t>
        </is>
      </c>
      <c r="G81" s="96" t="inlineStr">
        <is>
          <t>—</t>
        </is>
      </c>
      <c r="H81" s="96" t="inlineStr">
        <is>
          <t>$28.24B</t>
        </is>
      </c>
      <c r="I81" s="96" t="inlineStr">
        <is>
          <t>$22.68B</t>
        </is>
      </c>
      <c r="J81" s="96" t="inlineStr">
        <is>
          <t>Branchless; ~2 physical branches (1 CA, 1 NV); lends nationwide online</t>
        </is>
      </c>
      <c r="K81" s="96" t="inlineStr">
        <is>
          <t>CA-HQ'd</t>
        </is>
      </c>
      <c r="L81" s="96" t="inlineStr">
        <is>
          <t>Unknown</t>
        </is>
      </c>
      <c r="M81" s="96" t="inlineStr">
        <is>
          <t>⚠️ Commercial — Visa Commercial/Charge; $0 AF; consult only</t>
        </is>
      </c>
      <c r="N81" s="96" t="inlineStr">
        <is>
          <t>Unknown (eZBusiness/eZCardInfo agent platform)</t>
        </is>
      </c>
      <c r="O81" s="96" t="inlineStr">
        <is>
          <t>In-person</t>
        </is>
      </c>
      <c r="P81" s="96" t="inlineStr">
        <is>
          <t>Visit branch / contact a banker (no online application)</t>
        </is>
      </c>
      <c r="Q81" s="96" t="inlineStr">
        <is>
          <t>https://www.axosbank.com</t>
        </is>
      </c>
      <c r="R81" s="96" t="inlineStr">
        <is>
          <t>https://www.axosbank.com/commercial/banking/global-treasury-management/commercial-credit-card</t>
        </is>
      </c>
      <c r="S81" s="96" t="inlineStr">
        <is>
          <t>N/M</t>
        </is>
      </c>
      <c r="T81" s="96" t="inlineStr">
        <is>
          <t>N/M</t>
        </is>
      </c>
      <c r="U81" s="96" t="inlineStr">
        <is>
          <t>N/M (no forum data; relationship product)</t>
        </is>
      </c>
      <c r="V81" s="96" t="inlineStr">
        <is>
          <t>0</t>
        </is>
      </c>
      <c r="W81" s="96" t="inlineStr">
        <is>
          <t>E — Commercial-only</t>
        </is>
      </c>
      <c r="X81" s="96" t="inlineStr">
        <is>
          <t>Financial statements + tax returns at bank discretion — NOT no-doc</t>
        </is>
      </c>
      <c r="Y81" s="96" t="inlineStr">
        <is>
          <t>None (LOC/term/ABL/SBA full-doc)</t>
        </is>
      </c>
      <c r="Z81" s="96" t="inlineStr">
        <is>
          <t>N/M</t>
        </is>
      </c>
      <c r="AA81" s="96" t="inlineStr">
        <is>
          <t>Commercial / full underwriting</t>
        </is>
      </c>
      <c r="AB81" s="96" t="inlineStr">
        <is>
          <t>Axos Visa Commercial Credit Card; Commercial Charge Card</t>
        </is>
      </c>
      <c r="AC81" s="96" t="inlineStr">
        <is>
          <t>SoCal / San Diego (digital)</t>
        </is>
      </c>
      <c r="AD81" s="96" t="inlineStr">
        <is>
          <t>San Diego</t>
        </is>
      </c>
      <c r="AE81" s="96" t="inlineStr">
        <is>
          <t>4</t>
        </is>
      </c>
      <c r="AF81" s="96" t="inlineStr">
        <is>
          <t>MED-HIGH commercial classification, $0 AF; LOW issuer, APR, HP. 2026-05-28</t>
        </is>
      </c>
      <c r="AG81" s="96" t="inlineStr">
        <is>
          <t>axosbank.com/commercial/.../commercial-credit-card + /support/faqs; nav.com Axos review</t>
        </is>
      </c>
    </row>
    <row r="82" ht="15.75" customHeight="1">
      <c r="A82" s="96" t="inlineStr">
        <is>
          <t>79</t>
        </is>
      </c>
      <c r="B82" s="96" t="inlineStr">
        <is>
          <t>77</t>
        </is>
      </c>
      <c r="C82" s="96" t="inlineStr">
        <is>
          <t>Bank of Hope</t>
        </is>
      </c>
      <c r="D82" s="96" t="inlineStr">
        <is>
          <t>CA Bank</t>
        </is>
      </c>
      <c r="E82" s="96" t="inlineStr">
        <is>
          <t>★ Core SoCal</t>
        </is>
      </c>
      <c r="F82" s="96" t="inlineStr">
        <is>
          <t>2/4  ✗SUW ✗Onl ✓SoCal ✓Card</t>
        </is>
      </c>
      <c r="G82" s="96" t="inlineStr">
        <is>
          <t>Elan platform: ~$3K–$10K start, to ~$20K strong files (~$500 seen at 800+ FICO)  [myFICO #6658960]</t>
        </is>
      </c>
      <c r="H82" s="96" t="inlineStr">
        <is>
          <t>$18.65B</t>
        </is>
      </c>
      <c r="I82" s="96" t="inlineStr">
        <is>
          <t>$15.77B</t>
        </is>
      </c>
      <c r="J82" s="96" t="inlineStr">
        <is>
          <t>~24 CA branches; LA core, Orange County, Bay Area; largest Korean-American bank</t>
        </is>
      </c>
      <c r="K82" s="96" t="inlineStr">
        <is>
          <t>CA-HQ'd</t>
        </is>
      </c>
      <c r="L82" s="96" t="inlineStr">
        <is>
          <t>No</t>
        </is>
      </c>
      <c r="M82" s="96" t="inlineStr">
        <is>
          <t>✅ 0% 9 cycles → 17.74-25.74%; $0 AF; no FX fee</t>
        </is>
      </c>
      <c r="N82" s="96" t="inlineStr">
        <is>
          <t>Elan</t>
        </is>
      </c>
      <c r="O82" s="96" t="inlineStr">
        <is>
          <t>In-person</t>
        </is>
      </c>
      <c r="P82" s="96" t="inlineStr">
        <is>
          <t>Visit branch / contact a banker (no online application)</t>
        </is>
      </c>
      <c r="Q82" s="96" t="inlineStr">
        <is>
          <t>https://www.bankofhope.com</t>
        </is>
      </c>
      <c r="R82" s="96" t="inlineStr">
        <is>
          <t>https://www.bankofhope.com/business-banking/credit-cards</t>
        </is>
      </c>
      <c r="S82" s="96" t="inlineStr">
        <is>
          <t>TransUnion (varies EX/EQ)</t>
        </is>
      </c>
      <c r="T82" s="96" t="inlineStr">
        <is>
          <t>SBFE → D&amp;B; not personal in good standing</t>
        </is>
      </c>
      <c r="U82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82" s="96" t="inlineStr">
        <is>
          <t>2</t>
        </is>
      </c>
      <c r="W82" s="96" t="inlineStr">
        <is>
          <t>D — White-label, apply offline</t>
        </is>
      </c>
      <c r="X82" s="96" t="inlineStr">
        <is>
          <t>PG yes; no tax returns (&lt;$25K)</t>
        </is>
      </c>
      <c r="Y82" s="96" t="inlineStr">
        <is>
          <t>None (SBA Express needs 2yr tax returns)</t>
        </is>
      </c>
      <c r="Z82" s="96" t="inlineStr">
        <is>
          <t>N/M</t>
        </is>
      </c>
      <c r="AA82" s="96" t="inlineStr">
        <is>
          <t>No-doc card — apply in branch (Elan)</t>
        </is>
      </c>
      <c r="AB82" s="96" t="inlineStr">
        <is>
          <t>Business Cashback Visa; Business Rewards Visa (3pt gas/travel/dining)</t>
        </is>
      </c>
      <c r="AC82" s="96" t="inlineStr">
        <is>
          <t>SoCal / LA</t>
        </is>
      </c>
      <c r="AD82" s="96" t="inlineStr">
        <is>
          <t>Los Angeles</t>
        </is>
      </c>
      <c r="AE82" s="96" t="inlineStr">
        <is>
          <t>7</t>
        </is>
      </c>
      <c r="AF82" s="96" t="inlineStr">
        <is>
          <t>HIGH products/issuer/terms; N/M apply-online, HP. 2026-05-28</t>
        </is>
      </c>
      <c r="AG82" s="96" t="inlineStr">
        <is>
          <t>bankofhope.com/business-banking/credit-cards + agreements + Business Rewards disclosure PDF</t>
        </is>
      </c>
    </row>
    <row r="83" ht="15.75" customHeight="1">
      <c r="A83" s="96" t="inlineStr">
        <is>
          <t>80</t>
        </is>
      </c>
      <c r="B83" s="96" t="inlineStr">
        <is>
          <t>78</t>
        </is>
      </c>
      <c r="C83" s="96" t="inlineStr">
        <is>
          <t>Bank of Stockton</t>
        </is>
      </c>
      <c r="D83" s="96" t="inlineStr">
        <is>
          <t>CA Bank</t>
        </is>
      </c>
      <c r="E83" s="96" t="inlineStr">
        <is>
          <t>Other — NorCal</t>
        </is>
      </c>
      <c r="F83" s="96" t="inlineStr">
        <is>
          <t>2/4  ✗SUW ✓Onl ✗SoCal ✓Card</t>
        </is>
      </c>
      <c r="G83" s="96" t="inlineStr">
        <is>
          <t>Elan platform: ~$3K–$10K start, to ~$20K strong files (~$500 seen at 800+ FICO)  [myFICO #6658960]</t>
        </is>
      </c>
      <c r="H83" s="96" t="inlineStr">
        <is>
          <t>$4.83B</t>
        </is>
      </c>
      <c r="I83" s="96" t="inlineStr">
        <is>
          <t>$3.75B</t>
        </is>
      </c>
      <c r="J83" s="96" t="inlineStr">
        <is>
          <t>20 branches/16 cities/9 counties (incl. Modesto Commerce Bank)</t>
        </is>
      </c>
      <c r="K83" s="96" t="inlineStr">
        <is>
          <t>CA-HQ'd</t>
        </is>
      </c>
      <c r="L83" s="96" t="inlineStr">
        <is>
          <t>No</t>
        </is>
      </c>
      <c r="M83" s="96" t="inlineStr">
        <is>
          <t>✅ 0% 6-12 cycles → 10.49-23.49%; $0/$50 AF</t>
        </is>
      </c>
      <c r="N83" s="96" t="inlineStr">
        <is>
          <t>Elan</t>
        </is>
      </c>
      <c r="O83" s="96" t="inlineStr">
        <is>
          <t>Online</t>
        </is>
      </c>
      <c r="P83" s="96" t="inlineStr">
        <is>
          <t>Online — apply at https://www.mycardapply.com/synindex/?ecdma-lc=37171&amp;ecid=OTHE_25940&amp;offertype=0#business</t>
        </is>
      </c>
      <c r="Q83" s="96" t="inlineStr">
        <is>
          <t>https://bankofstockton.com</t>
        </is>
      </c>
      <c r="R83" s="96" t="inlineStr">
        <is>
          <t>https://www.mycardapply.com/synindex/?ecdma-lc=37171&amp;ecid=OTHE_25940&amp;offertype=0#business</t>
        </is>
      </c>
      <c r="S83" s="96" t="inlineStr">
        <is>
          <t>TransUnion (varies EX/EQ)</t>
        </is>
      </c>
      <c r="T83" s="96" t="inlineStr">
        <is>
          <t>D&amp;B (infer); personal delinquency-only</t>
        </is>
      </c>
      <c r="U83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83" s="96" t="inlineStr">
        <is>
          <t>3</t>
        </is>
      </c>
      <c r="W83" s="96" t="inlineStr">
        <is>
          <t>C — White-label, apply online</t>
        </is>
      </c>
      <c r="X83" s="96" t="inlineStr">
        <is>
          <t>PG yes; no tax returns (&lt;$25K)</t>
        </is>
      </c>
      <c r="Y83" s="96" t="inlineStr">
        <is>
          <t>None (commercial LOC/term/CRE/ag full underwriting)</t>
        </is>
      </c>
      <c r="Z83" s="96" t="inlineStr">
        <is>
          <t>No</t>
        </is>
      </c>
      <c r="AA83" s="96" t="inlineStr">
        <is>
          <t>No-doc 0% card — apply online (Elan)</t>
        </is>
      </c>
      <c r="AB83" s="96" t="inlineStr">
        <is>
          <t>Full Elan suite (Cash Preferred/Real Rewards/Smart/Zero+/Travel/Platinum)</t>
        </is>
      </c>
      <c r="AC83" s="96" t="inlineStr">
        <is>
          <t>NorCal / Sacramento-Stockton</t>
        </is>
      </c>
      <c r="AD83" s="96" t="inlineStr">
        <is>
          <t>Stockton</t>
        </is>
      </c>
      <c r="AE83" s="96" t="inlineStr">
        <is>
          <t>24</t>
        </is>
      </c>
      <c r="AF83" s="96" t="inlineStr">
        <is>
          <t>HIGH relevance/issuer/online/terms/PG; N/M HP-CA, SBFE. 2026-05-28</t>
        </is>
      </c>
      <c r="AG83" s="96" t="inlineStr">
        <is>
          <t>bankofstockton.com/business_credit_cards; mycardapply.com (37171); online1.elancard.com STD_BIZ.pdf</t>
        </is>
      </c>
    </row>
    <row r="84" ht="15.75" customHeight="1">
      <c r="A84" s="96" t="inlineStr">
        <is>
          <t>81</t>
        </is>
      </c>
      <c r="B84" s="96" t="inlineStr">
        <is>
          <t>79</t>
        </is>
      </c>
      <c r="C84" s="96" t="inlineStr">
        <is>
          <t>Bank of Marin</t>
        </is>
      </c>
      <c r="D84" s="96" t="inlineStr">
        <is>
          <t>CA Bank</t>
        </is>
      </c>
      <c r="E84" s="96" t="inlineStr">
        <is>
          <t>Other — NorCal</t>
        </is>
      </c>
      <c r="F84" s="96" t="inlineStr">
        <is>
          <t>2/4  ✗SUW ✓Onl ✗SoCal ✓Card</t>
        </is>
      </c>
      <c r="G84" s="96" t="inlineStr">
        <is>
          <t>Elan: $10K–$20K (low $3K if BT requested)  [myFICO #6658960]</t>
        </is>
      </c>
      <c r="H84" s="96" t="inlineStr">
        <is>
          <t>$3.91B</t>
        </is>
      </c>
      <c r="I84" s="96" t="inlineStr">
        <is>
          <t>$3.46B</t>
        </is>
      </c>
      <c r="J84" s="96" t="inlineStr">
        <is>
          <t>CA-only; ~28 branches Marin/Sonoma/Napa/Alameda/SF/Sacramento</t>
        </is>
      </c>
      <c r="K84" s="96" t="inlineStr">
        <is>
          <t>CA-HQ'd</t>
        </is>
      </c>
      <c r="L84" s="96" t="inlineStr">
        <is>
          <t>No</t>
        </is>
      </c>
      <c r="M84" s="96" t="inlineStr">
        <is>
          <t>✅ 0% 6-12 cycles; $0/$50 AF</t>
        </is>
      </c>
      <c r="N84" s="96" t="inlineStr">
        <is>
          <t>Elan</t>
        </is>
      </c>
      <c r="O84" s="96" t="inlineStr">
        <is>
          <t>Online</t>
        </is>
      </c>
      <c r="P84" s="96" t="inlineStr">
        <is>
          <t>Online — apply at https://www.bankofmarin.com/products-and-services/credit-cards/</t>
        </is>
      </c>
      <c r="Q84" s="96" t="inlineStr">
        <is>
          <t>https://www.bankofmarin.com</t>
        </is>
      </c>
      <c r="R84" s="96" t="inlineStr">
        <is>
          <t>https://www.bankofmarin.com/products-and-services/credit-cards/</t>
        </is>
      </c>
      <c r="S84" s="96" t="inlineStr">
        <is>
          <t>TransUnion-lean in CA (DoC TU:9/EX:5/EQ:1)</t>
        </is>
      </c>
      <c r="T84" s="96" t="inlineStr">
        <is>
          <t>D&amp;B; not personal in good standing</t>
        </is>
      </c>
      <c r="U84" s="96" t="inlineStr">
        <is>
          <t>Elan: limits $10-20K (low $3K if BT requested); approved EX 693; '2 cards $10K each ~20min apart' = 2 SEPARATE TU pulls. myfico.com #6658960</t>
        </is>
      </c>
      <c r="V84" s="96" t="inlineStr">
        <is>
          <t>3</t>
        </is>
      </c>
      <c r="W84" s="96" t="inlineStr">
        <is>
          <t>C — White-label, apply online</t>
        </is>
      </c>
      <c r="X84" s="96" t="inlineStr">
        <is>
          <t>PG yes; no tax returns (&lt;$25K)</t>
        </is>
      </c>
      <c r="Y84" s="96" t="inlineStr">
        <is>
          <t>'Easy Underwrite' loan $5,001-$20,000, credit-score-based (low-doc)</t>
        </is>
      </c>
      <c r="Z84" s="96" t="inlineStr">
        <is>
          <t>N/M</t>
        </is>
      </c>
      <c r="AA84" s="96" t="inlineStr">
        <is>
          <t>No-doc 0% card — apply online (Elan)</t>
        </is>
      </c>
      <c r="AB84" s="96" t="inlineStr">
        <is>
          <t>Elan business Visa (Cash, Bonus Rewards, Bonus Rewards PLUS, Platinum)</t>
        </is>
      </c>
      <c r="AC84" s="96" t="inlineStr">
        <is>
          <t>NorCal / SF (North Bay)</t>
        </is>
      </c>
      <c r="AD84" s="96" t="inlineStr">
        <is>
          <t>Novato</t>
        </is>
      </c>
      <c r="AE84" s="96" t="inlineStr">
        <is>
          <t>28</t>
        </is>
      </c>
      <c r="AF84" s="96" t="inlineStr">
        <is>
          <t>HIGH issuer/PG/no-tax/D&amp;B; MED CA bureau; N/M go-to APR. 2026-05-28</t>
        </is>
      </c>
      <c r="AG84" s="96" t="inlineStr">
        <is>
          <t>bankofmarin.com/products-and-services/credit-cards; online1.elancard.com STD_BIZ.pdf; doctorofcredit.com (CA pull split)</t>
        </is>
      </c>
    </row>
    <row r="85" ht="15.75" customHeight="1">
      <c r="A85" s="96" t="inlineStr">
        <is>
          <t>82</t>
        </is>
      </c>
      <c r="B85" s="96" t="inlineStr">
        <is>
          <t>80</t>
        </is>
      </c>
      <c r="C85" s="96" t="inlineStr">
        <is>
          <t>Bank of the Sierra</t>
        </is>
      </c>
      <c r="D85" s="96" t="inlineStr">
        <is>
          <t>CA Bank</t>
        </is>
      </c>
      <c r="E85" s="96" t="inlineStr">
        <is>
          <t>Other — Central Valley</t>
        </is>
      </c>
      <c r="F85" s="96" t="inlineStr">
        <is>
          <t>2/4  ✗SUW ✓Onl ✗SoCal ✓Card</t>
        </is>
      </c>
      <c r="G85" s="96" t="inlineStr">
        <is>
          <t>Elan platform: ~$3K–$10K start, to ~$20K strong files (~$500 seen at 800+ FICO)  [myFICO #6658960]</t>
        </is>
      </c>
      <c r="H85" s="96" t="inlineStr">
        <is>
          <t>$3.75B</t>
        </is>
      </c>
      <c r="I85" s="96" t="inlineStr">
        <is>
          <t>$2.93B</t>
        </is>
      </c>
      <c r="J85" s="96" t="inlineStr">
        <is>
          <t>~35 branches/27 cities; Bakersfield, Fresno, Visalia, Tulare</t>
        </is>
      </c>
      <c r="K85" s="96" t="inlineStr">
        <is>
          <t>CA-HQ'd</t>
        </is>
      </c>
      <c r="L85" s="96" t="inlineStr">
        <is>
          <t>No</t>
        </is>
      </c>
      <c r="M85" s="96" t="inlineStr">
        <is>
          <t>✅ 0% intro; APR N/M; $0 AF; 1.5% (Real Rewards)</t>
        </is>
      </c>
      <c r="N85" s="96" t="inlineStr">
        <is>
          <t>Elan</t>
        </is>
      </c>
      <c r="O85" s="96" t="inlineStr">
        <is>
          <t>Online</t>
        </is>
      </c>
      <c r="P85" s="96" t="inlineStr">
        <is>
          <t>Online — apply at https://www.bankofthesierra.com/business/loans-credit-cards/business-credit-cards/</t>
        </is>
      </c>
      <c r="Q85" s="96" t="inlineStr">
        <is>
          <t>https://www.bankofthesierra.com</t>
        </is>
      </c>
      <c r="R85" s="96" t="inlineStr">
        <is>
          <t>https://www.bankofthesierra.com/business/loans-credit-cards/business-credit-cards/</t>
        </is>
      </c>
      <c r="S85" s="96" t="inlineStr">
        <is>
          <t>TransUnion (varies EX/EQ)</t>
        </is>
      </c>
      <c r="T85" s="96" t="inlineStr">
        <is>
          <t>Personal delinquency-only; biz N/M</t>
        </is>
      </c>
      <c r="U85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85" s="96" t="inlineStr">
        <is>
          <t>3</t>
        </is>
      </c>
      <c r="W85" s="96" t="inlineStr">
        <is>
          <t>C — White-label, apply online</t>
        </is>
      </c>
      <c r="X85" s="96" t="inlineStr">
        <is>
          <t>PG yes; no tax returns (&lt;$25K)</t>
        </is>
      </c>
      <c r="Y85" s="96" t="inlineStr">
        <is>
          <t>QuickBiz LOC $5K-$30K, 100% online ~15 min, NO tax returns (deposit-tiered)</t>
        </is>
      </c>
      <c r="Z85" s="96" t="inlineStr">
        <is>
          <t>Card N/M; QuickBiz LOC requires deposit acct</t>
        </is>
      </c>
      <c r="AA85" s="96" t="inlineStr">
        <is>
          <t>QuickBiz: soft-pull no-doc LOC (Elan)</t>
        </is>
      </c>
      <c r="AB85" s="96" t="inlineStr">
        <is>
          <t>Elan: Real Rewards, Cash Preferred, Smart Business, Business Card</t>
        </is>
      </c>
      <c r="AC85" s="96" t="inlineStr">
        <is>
          <t>Central Valley / S. Sierra</t>
        </is>
      </c>
      <c r="AD85" s="96" t="inlineStr">
        <is>
          <t>Porterville</t>
        </is>
      </c>
      <c r="AE85" s="96" t="inlineStr">
        <is>
          <t>30</t>
        </is>
      </c>
      <c r="AF85" s="96" t="inlineStr">
        <is>
          <t>HIGH relevance/issuer/PG/no-tax/QuickBiz-no-doc; N/M card APR. 2026-05-28</t>
        </is>
      </c>
      <c r="AG85" s="96" t="inlineStr">
        <is>
          <t>bankofthesierra.com/.../business-credit-cards + /QuickBiz; online1.elancard.com STD_BIZ.pdf</t>
        </is>
      </c>
    </row>
    <row r="86" ht="15.75" customHeight="1">
      <c r="A86" s="96" t="inlineStr">
        <is>
          <t>83</t>
        </is>
      </c>
      <c r="B86" s="96" t="inlineStr">
        <is>
          <t>81</t>
        </is>
      </c>
      <c r="C86" s="96" t="inlineStr">
        <is>
          <t>Exchange Bank</t>
        </is>
      </c>
      <c r="D86" s="96" t="inlineStr">
        <is>
          <t>CA Bank</t>
        </is>
      </c>
      <c r="E86" s="96" t="inlineStr">
        <is>
          <t>Other — NorCal</t>
        </is>
      </c>
      <c r="F86" s="96" t="inlineStr">
        <is>
          <t>2/4  ✗SUW ✓Onl ✗SoCal ✓Card</t>
        </is>
      </c>
      <c r="G86" s="96" t="inlineStr">
        <is>
          <t>Elan platform: ~$3K–$10K start, to ~$20K strong files (~$500 seen at 800+ FICO)  [myFICO #6658960]</t>
        </is>
      </c>
      <c r="H86" s="96" t="inlineStr">
        <is>
          <t>$3.27B</t>
        </is>
      </c>
      <c r="I86" s="96" t="inlineStr">
        <is>
          <t>$2.84B</t>
        </is>
      </c>
      <c r="J86" s="96" t="inlineStr">
        <is>
          <t>~19 branches; Sonoma County + Marin + Roseville</t>
        </is>
      </c>
      <c r="K86" s="96" t="inlineStr">
        <is>
          <t>CA-HQ'd</t>
        </is>
      </c>
      <c r="L86" s="96" t="inlineStr">
        <is>
          <t>No</t>
        </is>
      </c>
      <c r="M86" s="96" t="inlineStr">
        <is>
          <t>✅ 0% 12 cycles → 17.24-26.24%; $0 AF</t>
        </is>
      </c>
      <c r="N86" s="96" t="inlineStr">
        <is>
          <t>Elan</t>
        </is>
      </c>
      <c r="O86" s="96" t="inlineStr">
        <is>
          <t>Online</t>
        </is>
      </c>
      <c r="P86" s="96" t="inlineStr">
        <is>
          <t>Online — apply at https://creditcardlearnmore.com/11t3/index?ecdma-lc=02912&amp;ecid=OTHE_25940#business</t>
        </is>
      </c>
      <c r="Q86" s="96" t="inlineStr">
        <is>
          <t>https://www.exchangebank.com</t>
        </is>
      </c>
      <c r="R86" s="96" t="inlineStr">
        <is>
          <t>https://creditcardlearnmore.com/11t3/index?ecdma-lc=02912&amp;ecid=OTHE_25940#business</t>
        </is>
      </c>
      <c r="S86" s="96" t="inlineStr">
        <is>
          <t>TransUnion (varies EX/EQ)</t>
        </is>
      </c>
      <c r="T86" s="96" t="inlineStr">
        <is>
          <t>Personal delinquency-only; biz N/M</t>
        </is>
      </c>
      <c r="U86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86" s="96" t="inlineStr">
        <is>
          <t>3</t>
        </is>
      </c>
      <c r="W86" s="96" t="inlineStr">
        <is>
          <t>C — White-label, apply online</t>
        </is>
      </c>
      <c r="X86" s="96" t="inlineStr">
        <is>
          <t>PG yes; no tax returns (&lt;$25K)</t>
        </is>
      </c>
      <c r="Y86" s="96" t="inlineStr">
        <is>
          <t>None (term/LOC/CRE/SBA full-doc)</t>
        </is>
      </c>
      <c r="Z86" s="96" t="inlineStr">
        <is>
          <t>N/M</t>
        </is>
      </c>
      <c r="AA86" s="96" t="inlineStr">
        <is>
          <t>No-doc 0% card — apply online (Elan)</t>
        </is>
      </c>
      <c r="AB86" s="96" t="inlineStr">
        <is>
          <t>Business Cash Preferred, Smart Business Rewards, Business Real Rewards</t>
        </is>
      </c>
      <c r="AC86" s="96" t="inlineStr">
        <is>
          <t>NorCal / SF (Sonoma)</t>
        </is>
      </c>
      <c r="AD86" s="96" t="inlineStr">
        <is>
          <t>Santa Rosa</t>
        </is>
      </c>
      <c r="AE86" s="96" t="inlineStr">
        <is>
          <t>33</t>
        </is>
      </c>
      <c r="AF86" s="96" t="inlineStr">
        <is>
          <t>HIGH issuer/products/terms/online; MED HP/PG. 2026-05-28</t>
        </is>
      </c>
      <c r="AG86" s="96" t="inlineStr">
        <is>
          <t>exchangebank.com/business/credit-cards; creditcardlearnmore.com (02912)</t>
        </is>
      </c>
    </row>
    <row r="87" ht="15.75" customHeight="1">
      <c r="A87" s="96" t="inlineStr">
        <is>
          <t>84</t>
        </is>
      </c>
      <c r="B87" s="96" t="inlineStr">
        <is>
          <t>82</t>
        </is>
      </c>
      <c r="C87" s="96" t="inlineStr">
        <is>
          <t>Plumas Bank</t>
        </is>
      </c>
      <c r="D87" s="96" t="inlineStr">
        <is>
          <t>CA Bank</t>
        </is>
      </c>
      <c r="E87" s="96" t="inlineStr">
        <is>
          <t>Other — NorCal</t>
        </is>
      </c>
      <c r="F87" s="96" t="inlineStr">
        <is>
          <t>1/4  ✗SUW ✗Onl ✗SoCal ✓Card</t>
        </is>
      </c>
      <c r="G87" s="96" t="inlineStr">
        <is>
          <t>N/M (TIB; financials typically required $10K+)</t>
        </is>
      </c>
      <c r="H87" s="96" t="inlineStr">
        <is>
          <t>$2.20B</t>
        </is>
      </c>
      <c r="I87" s="96" t="inlineStr">
        <is>
          <t>$1.78B</t>
        </is>
      </c>
      <c r="J87" s="96" t="inlineStr">
        <is>
          <t>~19 branches NE California + N Nevada (post-2025 Cornerstone merger)</t>
        </is>
      </c>
      <c r="K87" s="96" t="inlineStr">
        <is>
          <t>CA-HQ'd</t>
        </is>
      </c>
      <c r="L87" s="96" t="inlineStr">
        <is>
          <t>No</t>
        </is>
      </c>
      <c r="M87" s="96" t="inlineStr">
        <is>
          <t>✅ no 0%; 19.49% (Prime+10.99%, cap 21%); $0/$49 AF</t>
        </is>
      </c>
      <c r="N87" s="96" t="inlineStr">
        <is>
          <t>TIB</t>
        </is>
      </c>
      <c r="O87" s="96" t="inlineStr">
        <is>
          <t>In-person</t>
        </is>
      </c>
      <c r="P87" s="96" t="inlineStr">
        <is>
          <t>Visit branch / contact a banker (no online application)</t>
        </is>
      </c>
      <c r="Q87" s="96" t="inlineStr">
        <is>
          <t>https://www.plumasbank.com</t>
        </is>
      </c>
      <c r="R87" s="96" t="inlineStr">
        <is>
          <t>https://www.plumasbank.com/business-banking/business-card-services</t>
        </is>
      </c>
      <c r="S87" s="96" t="inlineStr">
        <is>
          <t>Personal HP on guarantor; bureau not named</t>
        </is>
      </c>
      <c r="T87" s="96" t="inlineStr">
        <is>
          <t>N/M (reports personal + business; bureaus unnamed)</t>
        </is>
      </c>
      <c r="U87" s="96" t="inlineStr">
        <is>
          <t>N/M (no Plumas/TIB-card forum DPs)</t>
        </is>
      </c>
      <c r="V87" s="96" t="inlineStr">
        <is>
          <t>0</t>
        </is>
      </c>
      <c r="W87" s="96" t="inlineStr">
        <is>
          <t>D — White-label, apply offline</t>
        </is>
      </c>
      <c r="X87" s="96" t="inlineStr">
        <is>
          <t>PG YES + Personal Tax Return required (most entities) — NOT no-doc</t>
        </is>
      </c>
      <c r="Y87" s="96" t="inlineStr">
        <is>
          <t>None (LOC/working capital/SBA PLP/CRE documentation-based)</t>
        </is>
      </c>
      <c r="Z87" s="96" t="inlineStr">
        <is>
          <t>N/M</t>
        </is>
      </c>
      <c r="AA87" s="96" t="inlineStr">
        <is>
          <t>Full-doc — requires tax returns</t>
        </is>
      </c>
      <c r="AB87" s="96" t="inlineStr">
        <is>
          <t>Business Card-Standard ($0 AF); Business Card-Preferred Points ($49 AF)</t>
        </is>
      </c>
      <c r="AC87" s="96" t="inlineStr">
        <is>
          <t>NorCal / Sacramento (NE California)</t>
        </is>
      </c>
      <c r="AD87" s="96" t="inlineStr">
        <is>
          <t>Quincy</t>
        </is>
      </c>
      <c r="AE87" s="96" t="inlineStr">
        <is>
          <t>40</t>
        </is>
      </c>
      <c r="AF87" s="96" t="inlineStr">
        <is>
          <t>HIGH products/issuer (TIB)/terms/PG+tax-returns. NOTE: tax returns required = NOT no-doc. 2026-05-28</t>
        </is>
      </c>
      <c r="AG87" s="96" t="inlineStr">
        <is>
          <t>plumasbank.com/business-banking/business-card-services; card-application-2024-01-business.pdf</t>
        </is>
      </c>
    </row>
    <row r="88" ht="15.75" customHeight="1">
      <c r="A88" s="96" t="inlineStr">
        <is>
          <t>85</t>
        </is>
      </c>
      <c r="B88" s="96" t="inlineStr">
        <is>
          <t>83</t>
        </is>
      </c>
      <c r="C88" s="96" t="inlineStr">
        <is>
          <t>SMBC MANUBANK</t>
        </is>
      </c>
      <c r="D88" s="96" t="inlineStr">
        <is>
          <t>CA Bank</t>
        </is>
      </c>
      <c r="E88" s="96" t="inlineStr">
        <is>
          <t>★ Core SoCal</t>
        </is>
      </c>
      <c r="F88" s="96" t="inlineStr">
        <is>
          <t>2/4  ✗SUW ✗Onl ✓SoCal ✓Card</t>
        </is>
      </c>
      <c r="G88" s="96" t="inlineStr">
        <is>
          <t>Elan platform: ~$3K–$10K start, to ~$20K strong files (~$500 seen at 800+ FICO)  [myFICO #6658960]</t>
        </is>
      </c>
      <c r="H88" s="96" t="inlineStr">
        <is>
          <t>$7.73B</t>
        </is>
      </c>
      <c r="I88" s="96" t="inlineStr">
        <is>
          <t>$6.73B</t>
        </is>
      </c>
      <c r="J88" s="96" t="inlineStr">
        <is>
          <t>CA-only; 8-9 offices LA + San Jose; commercial unit -&gt; Bank of Hope 2H-2026</t>
        </is>
      </c>
      <c r="K88" s="96" t="inlineStr">
        <is>
          <t>CA-HQ'd</t>
        </is>
      </c>
      <c r="L88" s="96" t="inlineStr">
        <is>
          <t>No</t>
        </is>
      </c>
      <c r="M88" s="96" t="inlineStr">
        <is>
          <t>✅ 0% 18 mo → 17.24-26.24%; $0 AF (being acquired by Bank of Hope)</t>
        </is>
      </c>
      <c r="N88" s="96" t="inlineStr">
        <is>
          <t>Elan</t>
        </is>
      </c>
      <c r="O88" s="96" t="inlineStr">
        <is>
          <t>In-person</t>
        </is>
      </c>
      <c r="P88" s="96" t="inlineStr">
        <is>
          <t>Visit branch / contact a banker (no online application)</t>
        </is>
      </c>
      <c r="Q88" s="96" t="inlineStr">
        <is>
          <t>https://www.smbcmanubank.com</t>
        </is>
      </c>
      <c r="R88" s="96" t="inlineStr">
        <is>
          <t>https://www.smbcmanubank.com/business-and-commercial/borrow/business-lending/business-credit-cards</t>
        </is>
      </c>
      <c r="S88" s="96" t="inlineStr">
        <is>
          <t>Experian most-reported (Elan; varies)</t>
        </is>
      </c>
      <c r="T88" s="96" t="inlineStr">
        <is>
          <t>D&amp;B + SBFE; personal on default</t>
        </is>
      </c>
      <c r="U88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88" s="96" t="inlineStr">
        <is>
          <t>2</t>
        </is>
      </c>
      <c r="W88" s="96" t="inlineStr">
        <is>
          <t>D — White-label, apply offline</t>
        </is>
      </c>
      <c r="X88" s="96" t="inlineStr">
        <is>
          <t>PG yes; no tax returns (&lt;$25K)</t>
        </is>
      </c>
      <c r="Y88" s="96" t="inlineStr">
        <is>
          <t>None (term/LOC/SBA/CRE/ABL full-doc)</t>
        </is>
      </c>
      <c r="Z88" s="96" t="inlineStr">
        <is>
          <t>N/M</t>
        </is>
      </c>
      <c r="AA88" s="96" t="inlineStr">
        <is>
          <t>0% 18 mo (note: being acquired) (Elan)</t>
        </is>
      </c>
      <c r="AB88" s="96" t="inlineStr">
        <is>
          <t>SMBC Visa Business; Visa Business Real Rewards (1.5X); Smart Business Rewards (2X)</t>
        </is>
      </c>
      <c r="AC88" s="96" t="inlineStr">
        <is>
          <t>SoCal / LA</t>
        </is>
      </c>
      <c r="AD88" s="96" t="inlineStr">
        <is>
          <t>Los Angeles</t>
        </is>
      </c>
      <c r="AE88" s="96" t="inlineStr">
        <is>
          <t>15</t>
        </is>
      </c>
      <c r="AF88" s="96" t="inlineStr">
        <is>
          <t>MED-HIGH issuer/PG; APR via secondary source; apply-link N/M. 2026-05-28</t>
        </is>
      </c>
      <c r="AG88" s="96" t="inlineStr">
        <is>
          <t>smbcmanubank.com business-credit-cards; card.myaccountaccess.com (Elan disclosure); supermoney.com</t>
        </is>
      </c>
    </row>
    <row r="89" ht="15.75" customHeight="1">
      <c r="A89" s="96" t="inlineStr">
        <is>
          <t>86</t>
        </is>
      </c>
      <c r="B89" s="96" t="n"/>
      <c r="C89" s="96" t="inlineStr">
        <is>
          <t>Five Star Bank</t>
        </is>
      </c>
      <c r="D89" s="96" t="inlineStr">
        <is>
          <t>CA Bank</t>
        </is>
      </c>
      <c r="E89" s="96" t="inlineStr">
        <is>
          <t>Other — NorCal</t>
        </is>
      </c>
      <c r="F89" s="96" t="inlineStr">
        <is>
          <t>0/4  ✗SUW ✗Onl ✗SoCal ✗Card</t>
        </is>
      </c>
      <c r="G89" s="96" t="inlineStr">
        <is>
          <t>—</t>
        </is>
      </c>
      <c r="H89" s="96" t="inlineStr">
        <is>
          <t>$5.03B</t>
        </is>
      </c>
      <c r="I89" s="96" t="inlineStr">
        <is>
          <t>$4.48B</t>
        </is>
      </c>
      <c r="J89" s="96" t="inlineStr">
        <is>
          <t>CA-only NorCal; ~10 offices (Five Star Bancorp)</t>
        </is>
      </c>
      <c r="K89" s="96" t="inlineStr">
        <is>
          <t>CA-HQ'd</t>
        </is>
      </c>
      <c r="L89" s="96" t="inlineStr">
        <is>
          <t>Partial (CorServ self-issue)</t>
        </is>
      </c>
      <c r="M89" s="96" t="inlineStr">
        <is>
          <t>⚠️ Commercial — CorServ Mastercard; terms N/M; no public apply</t>
        </is>
      </c>
      <c r="N89" s="96" t="inlineStr">
        <is>
          <t>Self (CorServ platform)</t>
        </is>
      </c>
      <c r="O89" s="96" t="inlineStr">
        <is>
          <t>In-person</t>
        </is>
      </c>
      <c r="P89" s="96" t="inlineStr">
        <is>
          <t>Visit branch / contact a banker (no online application)</t>
        </is>
      </c>
      <c r="Q89" s="96" t="inlineStr">
        <is>
          <t>https://www.fivestarbank.com</t>
        </is>
      </c>
      <c r="R89" s="96" t="inlineStr">
        <is>
          <t>https://www.fivestarbank.com/credit-cards</t>
        </is>
      </c>
      <c r="S89" s="96" t="inlineStr">
        <is>
          <t>N/M</t>
        </is>
      </c>
      <c r="T89" s="96" t="inlineStr">
        <is>
          <t>N/M</t>
        </is>
      </c>
      <c r="U89" s="96" t="inlineStr">
        <is>
          <t>N/M (no forum data)</t>
        </is>
      </c>
      <c r="V89" s="96" t="inlineStr">
        <is>
          <t>0</t>
        </is>
      </c>
      <c r="W89" s="96" t="inlineStr">
        <is>
          <t>E — Commercial-only</t>
        </is>
      </c>
      <c r="X89" s="96" t="inlineStr">
        <is>
          <t>PG likely; docs likely (commercial)</t>
        </is>
      </c>
      <c r="Y89" s="96" t="inlineStr">
        <is>
          <t>None advertised (LOC/term/SBA/CRE, full-doc)</t>
        </is>
      </c>
      <c r="Z89" s="96" t="inlineStr">
        <is>
          <t>Likely Yes (relationship)</t>
        </is>
      </c>
      <c r="AA89" s="96" t="inlineStr">
        <is>
          <t>Commercial / full underwriting</t>
        </is>
      </c>
      <c r="AB89" s="96" t="inlineStr">
        <is>
          <t>CorServ business/corporate Mastercards (Platinum/Rewards/World/Corporate/Purchasing)</t>
        </is>
      </c>
      <c r="AC89" s="96" t="inlineStr">
        <is>
          <t>NorCal / Sacramento</t>
        </is>
      </c>
      <c r="AD89" s="96" t="inlineStr">
        <is>
          <t>Roseville</t>
        </is>
      </c>
      <c r="AE89" s="96" t="inlineStr">
        <is>
          <t>23</t>
        </is>
      </c>
      <c r="AF89" s="96" t="inlineStr">
        <is>
          <t>MED-HIGH commercial-only/platform; N/M terms, apply, HP, reports. Not NY Five Star (Elan). 2026-05-28</t>
        </is>
      </c>
      <c r="AG89" s="96" t="inlineStr">
        <is>
          <t>fivestarbank.com/credit-cards + business-lending; corservsolutions.com</t>
        </is>
      </c>
    </row>
    <row r="90" ht="15.75" customHeight="1">
      <c r="A90" s="96" t="inlineStr">
        <is>
          <t>87</t>
        </is>
      </c>
      <c r="B90" s="96" t="inlineStr">
        <is>
          <t>84</t>
        </is>
      </c>
      <c r="C90" s="96" t="inlineStr">
        <is>
          <t>First Northern Bank of Dixon</t>
        </is>
      </c>
      <c r="D90" s="96" t="inlineStr">
        <is>
          <t>CA Bank</t>
        </is>
      </c>
      <c r="E90" s="96" t="inlineStr">
        <is>
          <t>Other — NorCal</t>
        </is>
      </c>
      <c r="F90" s="96" t="inlineStr">
        <is>
          <t>2/4  ✗SUW ✓Onl ✗SoCal ✓Card</t>
        </is>
      </c>
      <c r="G90" s="96" t="inlineStr">
        <is>
          <t>Elan platform: ~$3K–$10K start, to ~$20K strong files (~$500 seen at 800+ FICO)  [myFICO #6658960]</t>
        </is>
      </c>
      <c r="H90" s="96" t="inlineStr">
        <is>
          <t>$1.92B</t>
        </is>
      </c>
      <c r="I90" s="96" t="inlineStr">
        <is>
          <t>$1.70B</t>
        </is>
      </c>
      <c r="J90" s="96" t="inlineStr">
        <is>
          <t>14 branches Sacramento Valley/Solano-Yolo + Gold Country</t>
        </is>
      </c>
      <c r="K90" s="96" t="inlineStr">
        <is>
          <t>CA-HQ'd</t>
        </is>
      </c>
      <c r="L90" s="96" t="inlineStr">
        <is>
          <t>No</t>
        </is>
      </c>
      <c r="M90" s="96" t="inlineStr">
        <is>
          <t>✅ 0% 12 cycles → 17.24-26.24%; $0 AF</t>
        </is>
      </c>
      <c r="N90" s="96" t="inlineStr">
        <is>
          <t>Elan</t>
        </is>
      </c>
      <c r="O90" s="96" t="inlineStr">
        <is>
          <t>Online</t>
        </is>
      </c>
      <c r="P90" s="96" t="inlineStr">
        <is>
          <t>Online — apply at https://creditcardlearnmore.com/11t3/index?ecdma-lc=22292&amp;ecid=OTHE_25940</t>
        </is>
      </c>
      <c r="Q90" s="96" t="inlineStr">
        <is>
          <t>https://www.thatsmybank.com</t>
        </is>
      </c>
      <c r="R90" s="96" t="inlineStr">
        <is>
          <t>https://creditcardlearnmore.com/11t3/index?ecdma-lc=22292&amp;ecid=OTHE_25940</t>
        </is>
      </c>
      <c r="S90" s="96" t="inlineStr">
        <is>
          <t>Personal; varies TU/EX/EQ</t>
        </is>
      </c>
      <c r="T90" s="96" t="inlineStr">
        <is>
          <t>D&amp;B; not personal in normal use</t>
        </is>
      </c>
      <c r="U90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FN cold-apps approved; stated income/revenue.</t>
        </is>
      </c>
      <c r="V90" s="96" t="inlineStr">
        <is>
          <t>3</t>
        </is>
      </c>
      <c r="W90" s="96" t="inlineStr">
        <is>
          <t>C — White-label, apply online</t>
        </is>
      </c>
      <c r="X90" s="96" t="inlineStr">
        <is>
          <t>PG yes; stated income, no tax returns</t>
        </is>
      </c>
      <c r="Y90" s="96" t="inlineStr">
        <is>
          <t>'Lightning Loans' $2,500-$50,000, online minutes, 'no paperwork', self-underwritten</t>
        </is>
      </c>
      <c r="Z90" s="96" t="inlineStr">
        <is>
          <t>No (cold-apps documented)</t>
        </is>
      </c>
      <c r="AA90" s="96" t="inlineStr">
        <is>
          <t>Lightning Loans: no-paperwork LOC (Elan)</t>
        </is>
      </c>
      <c r="AB90" s="96" t="inlineStr">
        <is>
          <t>Business Cash Preferred, Smart Business Rewards, Business Real Rewards</t>
        </is>
      </c>
      <c r="AC90" s="96" t="inlineStr">
        <is>
          <t>NorCal / Sacramento</t>
        </is>
      </c>
      <c r="AD90" s="96" t="inlineStr">
        <is>
          <t>Dixon</t>
        </is>
      </c>
      <c r="AE90" s="96" t="inlineStr">
        <is>
          <t>45</t>
        </is>
      </c>
      <c r="AF90" s="96" t="inlineStr">
        <is>
          <t>HIGH issuer/products/terms/online/PG/no-tax/Lightning-Loans-no-doc. 2026-05-28</t>
        </is>
      </c>
      <c r="AG90" s="96" t="inlineStr">
        <is>
          <t>thatsmybank.com/business/business-credit-cards + /lightning-loans; creditcardlearnmore.com (22292)</t>
        </is>
      </c>
    </row>
    <row r="91" ht="15.75" customHeight="1">
      <c r="A91" s="96" t="inlineStr">
        <is>
          <t>88</t>
        </is>
      </c>
      <c r="B91" s="96" t="n"/>
      <c r="C91" s="96" t="inlineStr">
        <is>
          <t>Avidbank</t>
        </is>
      </c>
      <c r="D91" s="96" t="inlineStr">
        <is>
          <t>CA Bank</t>
        </is>
      </c>
      <c r="E91" s="96" t="inlineStr">
        <is>
          <t>Other — NorCal</t>
        </is>
      </c>
      <c r="F91" s="96" t="inlineStr">
        <is>
          <t>0/4  ✗SUW ✗Onl ✗SoCal ✗Card</t>
        </is>
      </c>
      <c r="G91" s="96" t="inlineStr">
        <is>
          <t>—</t>
        </is>
      </c>
      <c r="H91" s="96" t="inlineStr">
        <is>
          <t>$2.57B</t>
        </is>
      </c>
      <c r="I91" s="96" t="inlineStr">
        <is>
          <t>$2.20B</t>
        </is>
      </c>
      <c r="J91" s="96" t="inlineStr">
        <is>
          <t>CA-only; San Jose HQ, Palo Alto, Redwood City, SF (LPOs)</t>
        </is>
      </c>
      <c r="K91" s="96" t="inlineStr">
        <is>
          <t>CA-HQ'd</t>
        </is>
      </c>
      <c r="L91" s="96" t="inlineStr">
        <is>
          <t>Partial (CorServ self-issue)</t>
        </is>
      </c>
      <c r="M91" s="96" t="inlineStr">
        <is>
          <t>⚠️ Commercial — CorServ (May 2024); custom rebates; relationship only</t>
        </is>
      </c>
      <c r="N91" s="96" t="inlineStr">
        <is>
          <t>Self (CorServ Account Issuer)</t>
        </is>
      </c>
      <c r="O91" s="96" t="inlineStr">
        <is>
          <t>In-person</t>
        </is>
      </c>
      <c r="P91" s="96" t="inlineStr">
        <is>
          <t>Visit branch / contact a banker (no online application)</t>
        </is>
      </c>
      <c r="Q91" s="96" t="inlineStr">
        <is>
          <t>https://www.avidbank.com</t>
        </is>
      </c>
      <c r="R91" s="96" t="inlineStr">
        <is>
          <t>https://www.avidbank.com/corporate-banking</t>
        </is>
      </c>
      <c r="S91" s="96" t="inlineStr">
        <is>
          <t>N/M</t>
        </is>
      </c>
      <c r="T91" s="96" t="inlineStr">
        <is>
          <t>N/M</t>
        </is>
      </c>
      <c r="U91" s="96" t="inlineStr">
        <is>
          <t>N/M (no forum data; 'Avidia Bank' MA is a different entity)</t>
        </is>
      </c>
      <c r="V91" s="96" t="inlineStr">
        <is>
          <t>0</t>
        </is>
      </c>
      <c r="W91" s="96" t="inlineStr">
        <is>
          <t>E — Commercial-only</t>
        </is>
      </c>
      <c r="X91" s="96" t="inlineStr">
        <is>
          <t>N/M (commercial-card underwriting)</t>
        </is>
      </c>
      <c r="Y91" s="96" t="inlineStr">
        <is>
          <t>None (C&amp;I, venture debt, ABL, fund finance — full underwriting)</t>
        </is>
      </c>
      <c r="Z91" s="96" t="inlineStr">
        <is>
          <t>Yes (commercial customers)</t>
        </is>
      </c>
      <c r="AA91" s="96" t="inlineStr">
        <is>
          <t>Commercial / full underwriting</t>
        </is>
      </c>
      <c r="AB91" s="96" t="inlineStr">
        <is>
          <t>Corporate &amp; Business Credit Card + virtual cards</t>
        </is>
      </c>
      <c r="AC91" s="96" t="inlineStr">
        <is>
          <t>NorCal / Silicon Valley</t>
        </is>
      </c>
      <c r="AD91" s="96" t="inlineStr">
        <is>
          <t>San Jose</t>
        </is>
      </c>
      <c r="AE91" s="96" t="inlineStr">
        <is>
          <t>38</t>
        </is>
      </c>
      <c r="AF91" s="96" t="inlineStr">
        <is>
          <t>MED-HIGH commercial-only/self-CorServ; N/M card specifics, HP, reports. 2026-05-28</t>
        </is>
      </c>
      <c r="AG91" s="96" t="inlineStr">
        <is>
          <t>corservsolutions.com (Avidbank); pymnts.com; avidbank.com corporate/lending</t>
        </is>
      </c>
    </row>
    <row r="92" ht="15.75" customHeight="1">
      <c r="A92" s="96" t="inlineStr">
        <is>
          <t>89</t>
        </is>
      </c>
      <c r="B92" s="96" t="inlineStr">
        <is>
          <t>85</t>
        </is>
      </c>
      <c r="C92" s="96" t="inlineStr">
        <is>
          <t>Farmers &amp; Merchants Bank of Central California</t>
        </is>
      </c>
      <c r="D92" s="96" t="inlineStr">
        <is>
          <t>CA Bank</t>
        </is>
      </c>
      <c r="E92" s="96" t="inlineStr">
        <is>
          <t>Other — NorCal</t>
        </is>
      </c>
      <c r="F92" s="96" t="inlineStr">
        <is>
          <t>1/4  ✗SUW ✗Onl ✗SoCal ✓Card</t>
        </is>
      </c>
      <c r="G92" s="96" t="inlineStr">
        <is>
          <t>N/M (no bank-specific data point found)</t>
        </is>
      </c>
      <c r="H92" s="96" t="inlineStr">
        <is>
          <t>$5.84B</t>
        </is>
      </c>
      <c r="I92" s="96" t="inlineStr">
        <is>
          <t>$5.12B</t>
        </is>
      </c>
      <c r="J92" s="96" t="inlineStr">
        <is>
          <t>29 CA branches Central Valley + East Bay (Lodi, Stockton, Sacramento, Modesto, Oakland)</t>
        </is>
      </c>
      <c r="K92" s="96" t="inlineStr">
        <is>
          <t>CA-HQ'd</t>
        </is>
      </c>
      <c r="L92" s="96" t="inlineStr">
        <is>
          <t>No</t>
        </is>
      </c>
      <c r="M92" s="96" t="inlineStr">
        <is>
          <t>✅ no 0%; APR N/M; Simply Rewards 3X</t>
        </is>
      </c>
      <c r="N92" s="96" t="inlineStr">
        <is>
          <t>UMB Bank, N.A. (Card Center Direct)</t>
        </is>
      </c>
      <c r="O92" s="96" t="inlineStr">
        <is>
          <t>In-person</t>
        </is>
      </c>
      <c r="P92" s="96" t="inlineStr">
        <is>
          <t>Visit branch / contact a banker (no online application)</t>
        </is>
      </c>
      <c r="Q92" s="96" t="inlineStr">
        <is>
          <t>https://www.fmbonline.com</t>
        </is>
      </c>
      <c r="R92" s="96" t="inlineStr">
        <is>
          <t>https://www.fmbonline.com/loans/credit-cards/business-credit-cards.html</t>
        </is>
      </c>
      <c r="S92" s="96" t="inlineStr">
        <is>
          <t>N/M (UMB not on DoC list)</t>
        </is>
      </c>
      <c r="T92" s="96" t="inlineStr">
        <is>
          <t>N/M</t>
        </is>
      </c>
      <c r="U92" s="96" t="inlineStr">
        <is>
          <t>N/M (no forum data; search collides w/ same-name banks)</t>
        </is>
      </c>
      <c r="V92" s="96" t="inlineStr">
        <is>
          <t>2</t>
        </is>
      </c>
      <c r="W92" s="96" t="inlineStr">
        <is>
          <t>D — White-label, apply offline</t>
        </is>
      </c>
      <c r="X92" s="96" t="inlineStr">
        <is>
          <t>PG likely (UMB standard); tax returns N/M</t>
        </is>
      </c>
      <c r="Y92" s="96" t="inlineStr">
        <is>
          <t>None (term/LOC/equipment/CRE/ag/SBA full-doc)</t>
        </is>
      </c>
      <c r="Z92" s="96" t="inlineStr">
        <is>
          <t>N/M</t>
        </is>
      </c>
      <c r="AA92" s="96" t="inlineStr">
        <is>
          <t>No-doc card — apply in branch</t>
        </is>
      </c>
      <c r="AB92" s="96" t="inlineStr">
        <is>
          <t>Business Visa Signature (&gt;=$5K); Business Visa Platinum (&lt;$5K); Simply Rewards</t>
        </is>
      </c>
      <c r="AC92" s="96" t="inlineStr">
        <is>
          <t>NorCal / Sacramento-Stockton</t>
        </is>
      </c>
      <c r="AD92" s="96" t="inlineStr">
        <is>
          <t>Lodi</t>
        </is>
      </c>
      <c r="AE92" s="96" t="inlineStr">
        <is>
          <t>20</t>
        </is>
      </c>
      <c r="AF92" s="96" t="inlineStr">
        <is>
          <t>HIGH products/issuer (UMB)/footprint; LOW/N-M terms, HP, reports. Not fmb.com/fandm.bank (Elan). 2026-05-28</t>
        </is>
      </c>
      <c r="AG92" s="96" t="inlineStr">
        <is>
          <t>fmbonline.com/loans/credit-cards/business-credit-cards; cardcenterdirect.com + umb.com</t>
        </is>
      </c>
    </row>
    <row r="93" ht="15.75" customHeight="1">
      <c r="A93" s="96" t="inlineStr">
        <is>
          <t>90</t>
        </is>
      </c>
      <c r="B93" s="96" t="inlineStr">
        <is>
          <t>86</t>
        </is>
      </c>
      <c r="C93" s="96" t="inlineStr">
        <is>
          <t>Redwood Capital Bank</t>
        </is>
      </c>
      <c r="D93" s="96" t="inlineStr">
        <is>
          <t>CA Bank</t>
        </is>
      </c>
      <c r="E93" s="96" t="inlineStr">
        <is>
          <t>Other — NorCal</t>
        </is>
      </c>
      <c r="F93" s="96" t="inlineStr">
        <is>
          <t>1/4  ✗SUW ✗Onl ✗SoCal ✓Card</t>
        </is>
      </c>
      <c r="G93" s="96" t="inlineStr">
        <is>
          <t>N/M (TIB; financials typically required $10K+)</t>
        </is>
      </c>
      <c r="H93" s="96" t="inlineStr">
        <is>
          <t>$0.54B</t>
        </is>
      </c>
      <c r="I93" s="96" t="inlineStr">
        <is>
          <t>N/M</t>
        </is>
      </c>
      <c r="J93" s="96" t="inlineStr">
        <is>
          <t>~4 branches all Humboldt County (Eureka, Arcata, Fortuna); CA-only; SBA Preferred Lender</t>
        </is>
      </c>
      <c r="K93" s="96" t="inlineStr">
        <is>
          <t>CA-HQ'd</t>
        </is>
      </c>
      <c r="L93" s="96" t="inlineStr">
        <is>
          <t>No</t>
        </is>
      </c>
      <c r="M93" s="96" t="inlineStr">
        <is>
          <t>✅ no 0%; var APR capped at 21%; $0/$49 AF; 1pt/$1 to 10K/mo (Preferred)</t>
        </is>
      </c>
      <c r="N93" s="96" t="inlineStr">
        <is>
          <t>TIB</t>
        </is>
      </c>
      <c r="O93" s="96" t="inlineStr">
        <is>
          <t>In-person</t>
        </is>
      </c>
      <c r="P93" s="96" t="inlineStr">
        <is>
          <t>PDF application → fax 877-809-9162 or mail (TIB Card Service Center, Dallas); or via online banking if member</t>
        </is>
      </c>
      <c r="Q93" s="96" t="inlineStr">
        <is>
          <t>https://www.redwoodcapitalbank.com</t>
        </is>
      </c>
      <c r="R93" s="96" t="inlineStr">
        <is>
          <t>https://www.redwoodcapitalbank.com/business/business-credit-cards</t>
        </is>
      </c>
      <c r="S93" s="96" t="inlineStr">
        <is>
          <t>N/M (TIB; personal pull on guarantor)</t>
        </is>
      </c>
      <c r="T93" s="96" t="inlineStr">
        <is>
          <t>N/M (TIB)</t>
        </is>
      </c>
      <c r="U93" s="96" t="inlineStr">
        <is>
          <t>TIB program (Card Service Center PO Box 569120 Dallas + 800-367-7576 = TIB fingerprint). 25-day grace; 3% CA/BT; 2% FX. No bank DPs.</t>
        </is>
      </c>
      <c r="V93" s="96" t="inlineStr">
        <is>
          <t>2</t>
        </is>
      </c>
      <c r="W93" s="96" t="inlineStr">
        <is>
          <t>D — White-label, apply offline</t>
        </is>
      </c>
      <c r="X93" s="96" t="inlineStr">
        <is>
          <t>PG likely (TIB standard); docs N/M</t>
        </is>
      </c>
      <c r="Y93" s="96" t="inlineStr">
        <is>
          <t>None (SBA 7(a)/504/LOC/term/equipment full-doc)</t>
        </is>
      </c>
      <c r="Z93" s="96" t="inlineStr">
        <is>
          <t>N/M</t>
        </is>
      </c>
      <c r="AA93" s="96" t="inlineStr">
        <is>
          <t>No-doc card — apply in branch</t>
        </is>
      </c>
      <c r="AB93" s="96" t="inlineStr">
        <is>
          <t>Standard Card (MC + Visa, $0 AF); Preferred Points Rewards (MC + Visa, $49 AF)</t>
        </is>
      </c>
      <c r="AC93" s="96" t="inlineStr">
        <is>
          <t>NorCal / North Coast (Humboldt)</t>
        </is>
      </c>
      <c r="AD93" s="96" t="inlineStr">
        <is>
          <t>Eureka</t>
        </is>
      </c>
      <c r="AE93" s="96" t="inlineStr">
        <is>
          <t>78</t>
        </is>
      </c>
      <c r="AF93" s="96" t="inlineStr">
        <is>
          <t>HIGH issuer=TIB (PO Box + phone fingerprint)/products/terms (APR cap 21%); no online apply; N/M HP, reports. 2026-05-29</t>
        </is>
      </c>
      <c r="AG93" s="96" t="inlineStr">
        <is>
          <t>redwoodcapitalbank.com/business/business-credit-cards; bbb.org (PO Box 569120=TIB); FDIC cert 57610</t>
        </is>
      </c>
    </row>
    <row r="94" ht="15.75" customHeight="1">
      <c r="A94" s="96" t="inlineStr">
        <is>
          <t>91</t>
        </is>
      </c>
      <c r="B94" s="96" t="inlineStr">
        <is>
          <t>87</t>
        </is>
      </c>
      <c r="C94" s="96" t="inlineStr">
        <is>
          <t>Summit Bank (Oakland)</t>
        </is>
      </c>
      <c r="D94" s="96" t="inlineStr">
        <is>
          <t>CA Bank</t>
        </is>
      </c>
      <c r="E94" s="96" t="inlineStr">
        <is>
          <t>Other — NorCal</t>
        </is>
      </c>
      <c r="F94" s="96" t="inlineStr">
        <is>
          <t>1/4  ✗SUW ✗Onl ✗SoCal ✓Card</t>
        </is>
      </c>
      <c r="G94" s="96" t="inlineStr">
        <is>
          <t>N/M (TIB; financials typically required $10K+)</t>
        </is>
      </c>
      <c r="H94" s="96" t="inlineStr">
        <is>
          <t>$0.27B</t>
        </is>
      </c>
      <c r="I94" s="96" t="inlineStr">
        <is>
          <t>N/M</t>
        </is>
      </c>
      <c r="J94" s="96" t="inlineStr">
        <is>
          <t>~3 CA branches (Oakland HQ + East Bay); est 1982. NOT Summit State Bank (Santa Rosa)</t>
        </is>
      </c>
      <c r="K94" s="96" t="inlineStr">
        <is>
          <t>CA-HQ'd</t>
        </is>
      </c>
      <c r="L94" s="96" t="inlineStr">
        <is>
          <t>No</t>
        </is>
      </c>
      <c r="M94" s="96" t="inlineStr">
        <is>
          <t>✅ no 0%; 16.49% var (Prime+10.99%, cap 21%); $0/$49 AF; 1pt/$1 to 10K/mo (Preferred). FULL-DOC: financials required</t>
        </is>
      </c>
      <c r="N94" s="96" t="inlineStr">
        <is>
          <t>TIB</t>
        </is>
      </c>
      <c r="O94" s="96" t="inlineStr">
        <is>
          <t>In-person</t>
        </is>
      </c>
      <c r="P94" s="96" t="inlineStr">
        <is>
          <t>PDF application → fax 877-809-9162 / email banksupport@tib.bank / branch (TIB)</t>
        </is>
      </c>
      <c r="Q94" s="96" t="inlineStr">
        <is>
          <t>https://www.summitbanking.com</t>
        </is>
      </c>
      <c r="R94" s="96" t="inlineStr">
        <is>
          <t>https://www.summitbanking.com/business/loans/credit-cards/</t>
        </is>
      </c>
      <c r="S94" s="96" t="inlineStr">
        <is>
          <t>N/M (TIB; consumer+commercial pull on guarantor)</t>
        </is>
      </c>
      <c r="T94" s="96" t="inlineStr">
        <is>
          <t>N/M (TIB)</t>
        </is>
      </c>
      <c r="U94" s="96" t="inlineStr">
        <is>
          <t>TIB ('issuer and administrator is TIB... performable in Dallas County, TX'). PG joint &amp; several. NOTE: terms dated 2019, verify.</t>
        </is>
      </c>
      <c r="V94" s="96" t="inlineStr">
        <is>
          <t>2</t>
        </is>
      </c>
      <c r="W94" s="96" t="inlineStr">
        <is>
          <t>D — White-label, apply offline</t>
        </is>
      </c>
      <c r="X94" s="96" t="inlineStr">
        <is>
          <t>PG YES (joint &amp; several) + YEAR-END FINANCIAL STATEMENTS required (balance sheet + income stmt) — NOT no-doc</t>
        </is>
      </c>
      <c r="Y94" s="96" t="inlineStr">
        <is>
          <t>None (card is full-doc; commercial loans/CDARS relationship-based)</t>
        </is>
      </c>
      <c r="Z94" s="96" t="inlineStr">
        <is>
          <t>N/M</t>
        </is>
      </c>
      <c r="AA94" s="96" t="inlineStr">
        <is>
          <t>No-doc card — apply in branch</t>
        </is>
      </c>
      <c r="AB94" s="96" t="inlineStr">
        <is>
          <t>Standard Card ($0 AF); Preferred Points Card ($49 AF) — Mastercard (Visa on request), TIB</t>
        </is>
      </c>
      <c r="AC94" s="96" t="inlineStr">
        <is>
          <t>NorCal / SF-East Bay</t>
        </is>
      </c>
      <c r="AD94" s="96" t="inlineStr">
        <is>
          <t>Oakland</t>
        </is>
      </c>
      <c r="AE94" s="96" t="inlineStr">
        <is>
          <t>97</t>
        </is>
      </c>
      <c r="AF94" s="96" t="inlineStr">
        <is>
          <t>HIGH issuer=TIB (PDF verbatim)/terms (APR cap 21%)/full-doc (financials+PG = NOT no-doc); no online apply. 2026-05-29</t>
        </is>
      </c>
      <c r="AG94" s="96" t="inlineStr">
        <is>
          <t>summitbanking.com/business/loans/credit-cards + Business-Credit-Card-Application PDF (TIB issuer, PG, financials); FDIC cert 23864</t>
        </is>
      </c>
    </row>
    <row r="95" ht="15.75" customHeight="1">
      <c r="A95" s="96" t="inlineStr">
        <is>
          <t>92</t>
        </is>
      </c>
      <c r="B95" s="96" t="n"/>
      <c r="C95" s="96" t="inlineStr">
        <is>
          <t>American Business Bank</t>
        </is>
      </c>
      <c r="D95" s="96" t="inlineStr">
        <is>
          <t>CA Bank</t>
        </is>
      </c>
      <c r="E95" s="96" t="inlineStr">
        <is>
          <t>★ Core SoCal</t>
        </is>
      </c>
      <c r="F95" s="96" t="inlineStr">
        <is>
          <t>1/4  ✗SUW ✗Onl ✓SoCal ✗Card</t>
        </is>
      </c>
      <c r="G95" s="96" t="inlineStr">
        <is>
          <t>—</t>
        </is>
      </c>
      <c r="H95" s="96" t="inlineStr">
        <is>
          <t>$4.37B</t>
        </is>
      </c>
      <c r="I95" s="96" t="inlineStr">
        <is>
          <t>$3.90B</t>
        </is>
      </c>
      <c r="J95" s="96" t="inlineStr">
        <is>
          <t>LA HQ + 9 LPOs (Woodland Hills, Torrance, Long Beach, Irvine, Anaheim, Ontario, Corona, Riverside, San Diego)</t>
        </is>
      </c>
      <c r="K95" s="96" t="inlineStr">
        <is>
          <t>CA-HQ'd</t>
        </is>
      </c>
      <c r="L95" s="96" t="inlineStr">
        <is>
          <t>Unknown</t>
        </is>
      </c>
      <c r="M95" s="96" t="inlineStr">
        <is>
          <t>⚠️ Commercial — 'Corporate Cards'; issuer/terms N/M</t>
        </is>
      </c>
      <c r="N95" s="96" t="inlineStr">
        <is>
          <t>Unknown (not disclosed)</t>
        </is>
      </c>
      <c r="O95" s="96" t="inlineStr">
        <is>
          <t>In-person</t>
        </is>
      </c>
      <c r="P95" s="96" t="inlineStr">
        <is>
          <t>Visit branch / contact a banker (no online application)</t>
        </is>
      </c>
      <c r="Q95" s="96" t="inlineStr">
        <is>
          <t>https://americanbb.bank</t>
        </is>
      </c>
      <c r="R95" s="96" t="inlineStr">
        <is>
          <t>https://americanbb.bank/services/relationship-banking/credit-services/</t>
        </is>
      </c>
      <c r="S95" s="96" t="inlineStr">
        <is>
          <t>N/M</t>
        </is>
      </c>
      <c r="T95" s="96" t="inlineStr">
        <is>
          <t>N/M</t>
        </is>
      </c>
      <c r="U95" s="96" t="inlineStr">
        <is>
          <t>N/M (no forum data; relationship product)</t>
        </is>
      </c>
      <c r="V95" s="96" t="inlineStr">
        <is>
          <t>0</t>
        </is>
      </c>
      <c r="W95" s="96" t="inlineStr">
        <is>
          <t>E — Commercial-only</t>
        </is>
      </c>
      <c r="X95" s="96" t="inlineStr">
        <is>
          <t>PG likely; 2yr tax returns for loans (3rd-party review)</t>
        </is>
      </c>
      <c r="Y95" s="96" t="inlineStr">
        <is>
          <t>ABL (AR/inventory/equipment) asset-based — lighter on income docs but NOT stated no-doc</t>
        </is>
      </c>
      <c r="Z95" s="96" t="inlineStr">
        <is>
          <t>Likely Yes (relationship bank)</t>
        </is>
      </c>
      <c r="AA95" s="96" t="inlineStr">
        <is>
          <t>Commercial / full underwriting</t>
        </is>
      </c>
      <c r="AB95" s="96" t="inlineStr">
        <is>
          <t>'Corporate Credit Cards' (generic; no name/terms)</t>
        </is>
      </c>
      <c r="AC95" s="96" t="inlineStr">
        <is>
          <t>SoCal / LA</t>
        </is>
      </c>
      <c r="AD95" s="96" t="inlineStr">
        <is>
          <t>Los Angeles</t>
        </is>
      </c>
      <c r="AE95" s="96" t="inlineStr">
        <is>
          <t>25</t>
        </is>
      </c>
      <c r="AF95" s="96" t="inlineStr">
        <is>
          <t>HIGH commercial-only/no-online; N/M issuer, terms, HP. 2026-05-28</t>
        </is>
      </c>
      <c r="AG95" s="96" t="inlineStr">
        <is>
          <t>americanbb.bank/services/relationship-banking/credit-services; usbanklocations.com</t>
        </is>
      </c>
    </row>
    <row r="96" ht="15.75" customHeight="1">
      <c r="A96" s="96" t="inlineStr">
        <is>
          <t>93</t>
        </is>
      </c>
      <c r="B96" s="96" t="inlineStr">
        <is>
          <t>88</t>
        </is>
      </c>
      <c r="C96" s="96" t="inlineStr">
        <is>
          <t>United Business Bank</t>
        </is>
      </c>
      <c r="D96" s="96" t="inlineStr">
        <is>
          <t>CA Bank</t>
        </is>
      </c>
      <c r="E96" s="96" t="inlineStr">
        <is>
          <t>Other — NorCal</t>
        </is>
      </c>
      <c r="F96" s="96" t="inlineStr">
        <is>
          <t>1/4  ✗SUW ✗Onl ✗SoCal ✓Card</t>
        </is>
      </c>
      <c r="G96" s="96" t="inlineStr">
        <is>
          <t>N/M (no bank-specific data point found)</t>
        </is>
      </c>
      <c r="H96" s="96" t="inlineStr">
        <is>
          <t>$2.63B</t>
        </is>
      </c>
      <c r="I96" s="96" t="inlineStr">
        <is>
          <t>$2.27B</t>
        </is>
      </c>
      <c r="J96" s="96" t="inlineStr">
        <is>
          <t>Walnut Creek HQ; San Jose, Stockton, Pleasanton + CO/NV/NM/WA (BayCom Corp)</t>
        </is>
      </c>
      <c r="K96" s="96" t="inlineStr">
        <is>
          <t>CA-HQ'd</t>
        </is>
      </c>
      <c r="L96" s="96" t="inlineStr">
        <is>
          <t>Unknown</t>
        </is>
      </c>
      <c r="M96" s="96" t="inlineStr">
        <is>
          <t>✅ card exists; issuer/terms unknown; Request-Info only</t>
        </is>
      </c>
      <c r="N96" s="96" t="inlineStr">
        <is>
          <t>Unknown (not named; no portal links)</t>
        </is>
      </c>
      <c r="O96" s="96" t="inlineStr">
        <is>
          <t>In-person</t>
        </is>
      </c>
      <c r="P96" s="96" t="inlineStr">
        <is>
          <t>Visit branch / contact a banker (no online application)</t>
        </is>
      </c>
      <c r="Q96" s="96" t="inlineStr">
        <is>
          <t>https://www.unitedbusinessbank.com</t>
        </is>
      </c>
      <c r="R96" s="96" t="inlineStr">
        <is>
          <t>https://www.unitedbusinessbank.com/loans-credit/business-credit/business-credit-cards.html</t>
        </is>
      </c>
      <c r="S96" s="96" t="inlineStr">
        <is>
          <t>N/M</t>
        </is>
      </c>
      <c r="T96" s="96" t="inlineStr">
        <is>
          <t>N/M</t>
        </is>
      </c>
      <c r="U96" s="96" t="inlineStr">
        <is>
          <t>N/M (no forum data)</t>
        </is>
      </c>
      <c r="V96" s="96" t="inlineStr">
        <is>
          <t>2</t>
        </is>
      </c>
      <c r="W96" s="96" t="inlineStr">
        <is>
          <t>D — White-label, apply offline</t>
        </is>
      </c>
      <c r="X96" s="96" t="inlineStr">
        <is>
          <t>N/M ('subject to credit approval')</t>
        </is>
      </c>
      <c r="Y96" s="96" t="inlineStr">
        <is>
          <t>None (LOC/ABL/term/equipment/CRE/SBA Express full-doc)</t>
        </is>
      </c>
      <c r="Z96" s="96" t="inlineStr">
        <is>
          <t>N/M</t>
        </is>
      </c>
      <c r="AA96" s="96" t="inlineStr">
        <is>
          <t>No-doc card — apply in branch</t>
        </is>
      </c>
      <c r="AB96" s="96" t="inlineStr">
        <is>
          <t>'Business Credit Cards' (generic; no brand named)</t>
        </is>
      </c>
      <c r="AC96" s="96" t="inlineStr">
        <is>
          <t>NorCal / SF-East Bay</t>
        </is>
      </c>
      <c r="AD96" s="96" t="inlineStr">
        <is>
          <t>Walnut Creek</t>
        </is>
      </c>
      <c r="AE96" s="96" t="inlineStr">
        <is>
          <t>37</t>
        </is>
      </c>
      <c r="AF96" s="96" t="inlineStr">
        <is>
          <t>MED-HIGH negatives (no issuer named, no online app, no terms). Not 'United Bankers Bank' (ubb.bank). 2026-05-28</t>
        </is>
      </c>
      <c r="AG96" s="96" t="inlineStr">
        <is>
          <t>unitedbusinessbank.com/loans-credit/business-credit/business-credit-cards; dfpi.ca.gov</t>
        </is>
      </c>
    </row>
    <row r="97" ht="15.75" customHeight="1">
      <c r="A97" s="96" t="inlineStr">
        <is>
          <t>94</t>
        </is>
      </c>
      <c r="B97" s="96" t="inlineStr">
        <is>
          <t>89</t>
        </is>
      </c>
      <c r="C97" s="96" t="inlineStr">
        <is>
          <t>American Riviera Bank</t>
        </is>
      </c>
      <c r="D97" s="96" t="inlineStr">
        <is>
          <t>CA Bank</t>
        </is>
      </c>
      <c r="E97" s="96" t="inlineStr">
        <is>
          <t>Other — Central Coast</t>
        </is>
      </c>
      <c r="F97" s="96" t="inlineStr">
        <is>
          <t>2/4  ✗SUW ✓Onl ✗SoCal ✓Card</t>
        </is>
      </c>
      <c r="G97" s="96" t="inlineStr">
        <is>
          <t>Elan platform: ~$3K–$10K start, to ~$20K strong files (~$500 seen at 800+ FICO)  [myFICO #6658960]</t>
        </is>
      </c>
      <c r="H97" s="96" t="inlineStr">
        <is>
          <t>$1.42B</t>
        </is>
      </c>
      <c r="I97" s="96" t="inlineStr">
        <is>
          <t>$1.27B</t>
        </is>
      </c>
      <c r="J97" s="96" t="inlineStr">
        <is>
          <t>Santa Barbara + SLO counties (Santa Barbara, Montecito, Goleta, Santa Maria, SLO, Paso Robles)</t>
        </is>
      </c>
      <c r="K97" s="96" t="inlineStr">
        <is>
          <t>CA-HQ'd</t>
        </is>
      </c>
      <c r="L97" s="96" t="inlineStr">
        <is>
          <t>No</t>
        </is>
      </c>
      <c r="M97" s="96" t="inlineStr">
        <is>
          <t>✅ Elan biz cards; terms N/M; apply online</t>
        </is>
      </c>
      <c r="N97" s="96" t="inlineStr">
        <is>
          <t>Elan</t>
        </is>
      </c>
      <c r="O97" s="96" t="inlineStr">
        <is>
          <t>Online</t>
        </is>
      </c>
      <c r="P97" s="96" t="inlineStr">
        <is>
          <t>Online — apply at https://creditcard.arb.bank/choose</t>
        </is>
      </c>
      <c r="Q97" s="96" t="inlineStr">
        <is>
          <t>https://americanriviera.bank</t>
        </is>
      </c>
      <c r="R97" s="96" t="inlineStr">
        <is>
          <t>https://creditcard.arb.bank/choose</t>
        </is>
      </c>
      <c r="S97" s="96" t="inlineStr">
        <is>
          <t>TransUnion (Elan; varies)</t>
        </is>
      </c>
      <c r="T97" s="96" t="inlineStr">
        <is>
          <t>Personal default-only; D&amp;B weak/unconfirmed</t>
        </is>
      </c>
      <c r="U97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97" s="96" t="inlineStr">
        <is>
          <t>3</t>
        </is>
      </c>
      <c r="W97" s="96" t="inlineStr">
        <is>
          <t>C — White-label, apply online</t>
        </is>
      </c>
      <c r="X97" s="96" t="inlineStr">
        <is>
          <t>PG yes; no tax returns (&lt;$25K)</t>
        </is>
      </c>
      <c r="Y97" s="96" t="inlineStr">
        <is>
          <t>None (commercial LOC/ag/construction/SBA underwritten)</t>
        </is>
      </c>
      <c r="Z97" s="96" t="inlineStr">
        <is>
          <t>No</t>
        </is>
      </c>
      <c r="AA97" s="96" t="inlineStr">
        <is>
          <t>No-doc card — apply online (Elan)</t>
        </is>
      </c>
      <c r="AB97" s="96" t="inlineStr">
        <is>
          <t>Elan business cards (names not on site)</t>
        </is>
      </c>
      <c r="AC97" s="96" t="inlineStr">
        <is>
          <t>Central Coast</t>
        </is>
      </c>
      <c r="AD97" s="96" t="inlineStr">
        <is>
          <t>Santa Barbara</t>
        </is>
      </c>
      <c r="AE97" s="96" t="inlineStr">
        <is>
          <t>50</t>
        </is>
      </c>
      <c r="AF97" s="96" t="inlineStr">
        <is>
          <t>MED-HIGH issuer/online/Elan behavior; N/M card names, terms. 2026-05-28</t>
        </is>
      </c>
      <c r="AG97" s="96" t="inlineStr">
        <is>
          <t>americanriviera.bank/product/business-credit-cards; creditcard.arb.bank/choose</t>
        </is>
      </c>
    </row>
    <row r="98" ht="15.75" customHeight="1">
      <c r="A98" s="96" t="inlineStr">
        <is>
          <t>95</t>
        </is>
      </c>
      <c r="B98" s="96" t="inlineStr">
        <is>
          <t>90</t>
        </is>
      </c>
      <c r="C98" s="96" t="inlineStr">
        <is>
          <t>Savings Bank of Mendocino County</t>
        </is>
      </c>
      <c r="D98" s="96" t="inlineStr">
        <is>
          <t>CA Bank</t>
        </is>
      </c>
      <c r="E98" s="96" t="inlineStr">
        <is>
          <t>Other — NorCal</t>
        </is>
      </c>
      <c r="F98" s="96" t="inlineStr">
        <is>
          <t>2/4  ✗SUW ✓Onl ✗SoCal ✓Card</t>
        </is>
      </c>
      <c r="G98" s="96" t="inlineStr">
        <is>
          <t>Elan platform: ~$3K–$10K start, to ~$20K strong files (~$500 seen at 800+ FICO)  [myFICO #6658960]</t>
        </is>
      </c>
      <c r="H98" s="96" t="inlineStr">
        <is>
          <t>$1.29B</t>
        </is>
      </c>
      <c r="I98" s="96" t="inlineStr">
        <is>
          <t>N/M</t>
        </is>
      </c>
      <c r="J98" s="96" t="inlineStr">
        <is>
          <t>CA-only; Mendocino/Lake/Sonoma county branches</t>
        </is>
      </c>
      <c r="K98" s="96" t="inlineStr">
        <is>
          <t>CA-HQ'd</t>
        </is>
      </c>
      <c r="L98" s="96" t="inlineStr">
        <is>
          <t>No</t>
        </is>
      </c>
      <c r="M98" s="96" t="inlineStr">
        <is>
          <t>✅ Elan biz cards (low rate / cash back / rewards buckets); terms N/M</t>
        </is>
      </c>
      <c r="N98" s="96" t="inlineStr">
        <is>
          <t>Elan</t>
        </is>
      </c>
      <c r="O98" s="96" t="inlineStr">
        <is>
          <t>Online</t>
        </is>
      </c>
      <c r="P98" s="96" t="inlineStr">
        <is>
          <t>Online — apply at https://www.savingsbank.com/business/bank-cards/</t>
        </is>
      </c>
      <c r="Q98" s="96" t="inlineStr">
        <is>
          <t>https://www.savingsbank.com</t>
        </is>
      </c>
      <c r="R98" s="96" t="inlineStr">
        <is>
          <t>https://www.savingsbank.com/business/bank-cards/</t>
        </is>
      </c>
      <c r="S98" s="96" t="inlineStr">
        <is>
          <t>TransUnion (varies EX/EQ)</t>
        </is>
      </c>
      <c r="T98" s="96" t="inlineStr">
        <is>
          <t>D&amp;B; not personal in good standing</t>
        </is>
      </c>
      <c r="U98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98" s="96" t="inlineStr">
        <is>
          <t>3</t>
        </is>
      </c>
      <c r="W98" s="96" t="inlineStr">
        <is>
          <t>C — White-label, apply online</t>
        </is>
      </c>
      <c r="X98" s="96" t="inlineStr">
        <is>
          <t>PG yes; no tax returns (&lt;$25K)</t>
        </is>
      </c>
      <c r="Y98" s="96" t="inlineStr">
        <is>
          <t>None (commercial/SBA full-doc)</t>
        </is>
      </c>
      <c r="Z98" s="96" t="inlineStr">
        <is>
          <t>N/M</t>
        </is>
      </c>
      <c r="AA98" s="96" t="inlineStr">
        <is>
          <t>No-doc card — apply online (Elan)</t>
        </is>
      </c>
      <c r="AB98" s="96" t="inlineStr">
        <is>
          <t>Elan business suite (Cash Preferred / Real Rewards / Smart / Zero+; names not enumerated)</t>
        </is>
      </c>
      <c r="AC98" s="96" t="inlineStr">
        <is>
          <t>NorCal / North Coast (Mendocino)</t>
        </is>
      </c>
      <c r="AD98" s="96" t="inlineStr">
        <is>
          <t>Ukiah</t>
        </is>
      </c>
      <c r="AE98" s="96" t="inlineStr">
        <is>
          <t>54</t>
        </is>
      </c>
      <c r="AF98" s="96" t="inlineStr">
        <is>
          <t>HIGH issuer=Elan (own footer disclosure)/online; N/M terms, HP. 2026-05-29</t>
        </is>
      </c>
      <c r="AG98" s="96" t="inlineStr">
        <is>
          <t>savingsbank.com/business/bank-cards (Elan creditor disclosure); dfpi.ca.gov; elanfinancialservices.com</t>
        </is>
      </c>
    </row>
    <row r="99" ht="15.75" customHeight="1">
      <c r="A99" s="96" t="inlineStr">
        <is>
          <t>96</t>
        </is>
      </c>
      <c r="B99" s="96" t="inlineStr">
        <is>
          <t>91</t>
        </is>
      </c>
      <c r="C99" s="96" t="inlineStr">
        <is>
          <t>River Valley Community Bank</t>
        </is>
      </c>
      <c r="D99" s="96" t="inlineStr">
        <is>
          <t>CA Bank</t>
        </is>
      </c>
      <c r="E99" s="96" t="inlineStr">
        <is>
          <t>Other — NorCal</t>
        </is>
      </c>
      <c r="F99" s="96" t="inlineStr">
        <is>
          <t>2/4  ✗SUW ✓Onl ✗SoCal ✓Card</t>
        </is>
      </c>
      <c r="G99" s="96" t="inlineStr">
        <is>
          <t>Elan platform: ~$3K–$10K start, to ~$20K strong files (~$500 seen at 800+ FICO)  [myFICO #6658960]</t>
        </is>
      </c>
      <c r="H99" s="96" t="inlineStr">
        <is>
          <t>$0.76B</t>
        </is>
      </c>
      <c r="I99" s="96" t="inlineStr">
        <is>
          <t>$0.67B</t>
        </is>
      </c>
      <c r="J99" s="96" t="inlineStr">
        <is>
          <t>CA-only; Yuba City, Marysville, Grass Valley, Auburn; est 2006</t>
        </is>
      </c>
      <c r="K99" s="96" t="inlineStr">
        <is>
          <t>CA-HQ'd</t>
        </is>
      </c>
      <c r="L99" s="96" t="inlineStr">
        <is>
          <t>No</t>
        </is>
      </c>
      <c r="M99" s="96" t="inlineStr">
        <is>
          <t>✅ Elan biz Visa (low rate / cash back / rewards); terms N/M</t>
        </is>
      </c>
      <c r="N99" s="96" t="inlineStr">
        <is>
          <t>Elan</t>
        </is>
      </c>
      <c r="O99" s="96" t="inlineStr">
        <is>
          <t>Online</t>
        </is>
      </c>
      <c r="P99" s="96" t="inlineStr">
        <is>
          <t>Online — apply at https://www.mycardapply.com/synindex/?ecdma-lc=33345&amp;ecid=OTHE_25940&amp;offertype=0</t>
        </is>
      </c>
      <c r="Q99" s="96" t="inlineStr">
        <is>
          <t>https://www.myrvcb.com</t>
        </is>
      </c>
      <c r="R99" s="96" t="inlineStr">
        <is>
          <t>https://www.mycardapply.com/synindex/?ecdma-lc=33345&amp;ecid=OTHE_25940&amp;offertype=0</t>
        </is>
      </c>
      <c r="S99" s="96" t="inlineStr">
        <is>
          <t>TransUnion (varies EX/EQ)</t>
        </is>
      </c>
      <c r="T99" s="96" t="inlineStr">
        <is>
          <t>D&amp;B; not personal in good standing</t>
        </is>
      </c>
      <c r="U99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99" s="96" t="inlineStr">
        <is>
          <t>3</t>
        </is>
      </c>
      <c r="W99" s="96" t="inlineStr">
        <is>
          <t>C — White-label, apply online</t>
        </is>
      </c>
      <c r="X99" s="96" t="inlineStr">
        <is>
          <t>PG yes; no tax returns (&lt;$25K)</t>
        </is>
      </c>
      <c r="Y99" s="96" t="inlineStr">
        <is>
          <t>None (commercial/SBA 504/ag/construction/HELOC full-doc)</t>
        </is>
      </c>
      <c r="Z99" s="96" t="inlineStr">
        <is>
          <t>N/M</t>
        </is>
      </c>
      <c r="AA99" s="96" t="inlineStr">
        <is>
          <t>No-doc card — apply online (Elan)</t>
        </is>
      </c>
      <c r="AB99" s="96" t="inlineStr">
        <is>
          <t>Elan business Visa (Cash Preferred / Real Rewards / Platinum; names not enumerated)</t>
        </is>
      </c>
      <c r="AC99" s="96" t="inlineStr">
        <is>
          <t>NorCal / Sacramento (Sacramento Valley)</t>
        </is>
      </c>
      <c r="AD99" s="96" t="inlineStr">
        <is>
          <t>Yuba City</t>
        </is>
      </c>
      <c r="AE99" s="96" t="inlineStr">
        <is>
          <t>73</t>
        </is>
      </c>
      <c r="AF99" s="96" t="inlineStr">
        <is>
          <t>HIGH issuer=Elan (own footer disclosure)/online/lc=33345; N/M terms, HP, reports. 2026-05-29</t>
        </is>
      </c>
      <c r="AG99" s="96" t="inlineStr">
        <is>
          <t>myrvcb.com/business/business-credit-cards-debit (Elan disclosure); mycardapply.com (33345); FDIC cert 58276</t>
        </is>
      </c>
    </row>
    <row r="100" ht="15.75" customHeight="1">
      <c r="A100" s="96" t="inlineStr">
        <is>
          <t>97</t>
        </is>
      </c>
      <c r="B100" s="96" t="inlineStr">
        <is>
          <t>92</t>
        </is>
      </c>
      <c r="C100" s="96" t="inlineStr">
        <is>
          <t>California Bank of Commerce, N.A.</t>
        </is>
      </c>
      <c r="D100" s="96" t="inlineStr">
        <is>
          <t>CA Bank</t>
        </is>
      </c>
      <c r="E100" s="96" t="inlineStr">
        <is>
          <t>★ Core SoCal</t>
        </is>
      </c>
      <c r="F100" s="96" t="inlineStr">
        <is>
          <t>2/4  ✗SUW ✗Onl ✓SoCal ✓Card</t>
        </is>
      </c>
      <c r="G100" s="96" t="inlineStr">
        <is>
          <t>Elan DP: $4K (D&amp;B 80, no relationship)  [myFICO #6478775]</t>
        </is>
      </c>
      <c r="H100" s="96" t="inlineStr">
        <is>
          <t>$4.05B</t>
        </is>
      </c>
      <c r="I100" s="96" t="inlineStr">
        <is>
          <t>$3.40B</t>
        </is>
      </c>
      <c r="J100" s="96" t="inlineStr">
        <is>
          <t>18 CA locations statewide (Southern Cal Bancorp + California Bancorp 2024)</t>
        </is>
      </c>
      <c r="K100" s="96" t="inlineStr">
        <is>
          <t>CA-HQ'd</t>
        </is>
      </c>
      <c r="L100" s="96" t="inlineStr">
        <is>
          <t>No</t>
        </is>
      </c>
      <c r="M100" s="96" t="inlineStr">
        <is>
          <t>✅ Elan biz cards; intro/APR N/M; no public apply page</t>
        </is>
      </c>
      <c r="N100" s="96" t="inlineStr">
        <is>
          <t>Elan</t>
        </is>
      </c>
      <c r="O100" s="96" t="inlineStr">
        <is>
          <t>In-person</t>
        </is>
      </c>
      <c r="P100" s="96" t="inlineStr">
        <is>
          <t>Visit branch / contact a banker (no online application)</t>
        </is>
      </c>
      <c r="Q100" s="96" t="inlineStr">
        <is>
          <t>https://www.californiabankofcommerce.com</t>
        </is>
      </c>
      <c r="R100" s="96" t="inlineStr">
        <is>
          <t>https://www.californiabankofcommerce.com/business-financing-solutions/</t>
        </is>
      </c>
      <c r="S100" s="96" t="inlineStr">
        <is>
          <t>TransUnion (forum 'Elan = HP TU-9')</t>
        </is>
      </c>
      <c r="T100" s="96" t="inlineStr">
        <is>
          <t>D&amp;B; personal delinquency-only</t>
        </is>
      </c>
      <c r="U100" s="96" t="inlineStr">
        <is>
          <t>Elan DP: Smart Business Rewards $4K, D&amp;B 80/EX-Biz 82, TU pull, no relationship (2022). myfico.com #6478775</t>
        </is>
      </c>
      <c r="V100" s="96" t="inlineStr">
        <is>
          <t>2</t>
        </is>
      </c>
      <c r="W100" s="96" t="inlineStr">
        <is>
          <t>D — White-label, apply offline</t>
        </is>
      </c>
      <c r="X100" s="96" t="inlineStr">
        <is>
          <t>PG yes; no tax returns (&lt;$25K)</t>
        </is>
      </c>
      <c r="Y100" s="96" t="inlineStr">
        <is>
          <t>None (LOC/term/CRE/SBA underwritten)</t>
        </is>
      </c>
      <c r="Z100" s="96" t="inlineStr">
        <is>
          <t>No (forum-corroborated)</t>
        </is>
      </c>
      <c r="AA100" s="96" t="inlineStr">
        <is>
          <t>No-doc card — apply in branch (Elan)</t>
        </is>
      </c>
      <c r="AB100" s="96" t="inlineStr">
        <is>
          <t>Elan business suite (names N/M on site); separate commercialcardportal.com</t>
        </is>
      </c>
      <c r="AC100" s="96" t="inlineStr">
        <is>
          <t>SoCal / San Diego</t>
        </is>
      </c>
      <c r="AD100" s="96" t="inlineStr">
        <is>
          <t>San Diego</t>
        </is>
      </c>
      <c r="AE100" s="96" t="inlineStr">
        <is>
          <t>27</t>
        </is>
      </c>
      <c r="AF100" s="96" t="inlineStr">
        <is>
          <t>HIGH issuer (Elan via portal)/PG/HP=TU/D&amp;B; N/M card name, apply URL. 2026-05-28</t>
        </is>
      </c>
      <c r="AG100" s="96" t="inlineStr">
        <is>
          <t>californiabankofcommerce.com/online-banking-logins (theme=elan1, loc=28679); myfico.com #6478775</t>
        </is>
      </c>
    </row>
    <row r="101" ht="15.75" customHeight="1">
      <c r="A101" s="96" t="inlineStr">
        <is>
          <t>98</t>
        </is>
      </c>
      <c r="B101" s="96" t="inlineStr">
        <is>
          <t>93</t>
        </is>
      </c>
      <c r="C101" s="96" t="inlineStr">
        <is>
          <t>Pinnacle Bank (Gilroy, CA)</t>
        </is>
      </c>
      <c r="D101" s="96" t="inlineStr">
        <is>
          <t>Regional</t>
        </is>
      </c>
      <c r="E101" s="96" t="inlineStr">
        <is>
          <t>Other — NorCal</t>
        </is>
      </c>
      <c r="F101" s="96" t="inlineStr">
        <is>
          <t>1/4  ✗SUW ✗Onl ✗SoCal ✓Card</t>
        </is>
      </c>
      <c r="G101" s="96" t="inlineStr">
        <is>
          <t>N/M (TIB; financials typically required $10K+)</t>
        </is>
      </c>
      <c r="H101" s="96" t="inlineStr">
        <is>
          <t>~$0.95B</t>
        </is>
      </c>
      <c r="I101" s="96" t="inlineStr">
        <is>
          <t>—</t>
        </is>
      </c>
      <c r="J101" s="96" t="inlineStr">
        <is>
          <t>HQ Gilroy (Santa Clara/South Bay); 4 branches (Gilroy, Morgan Hill, Salinas, Campbell)</t>
        </is>
      </c>
      <c r="K101" s="96" t="inlineStr">
        <is>
          <t>N/M</t>
        </is>
      </c>
      <c r="L101" s="96" t="inlineStr">
        <is>
          <t>No</t>
        </is>
      </c>
      <c r="M101" s="96" t="inlineStr">
        <is>
          <t>✅ Mastercard business (Platinum / Rewards / World); terms N/M; apply in-branch</t>
        </is>
      </c>
      <c r="N101" s="96" t="inlineStr">
        <is>
          <t>TIB (The Independent BankersBank)</t>
        </is>
      </c>
      <c r="O101" s="96" t="inlineStr">
        <is>
          <t>In-person</t>
        </is>
      </c>
      <c r="P101" s="96" t="inlineStr">
        <is>
          <t>Branch / contact (TIB; no online app)</t>
        </is>
      </c>
      <c r="Q101" s="96" t="inlineStr">
        <is>
          <t>https://pinnacle.bank</t>
        </is>
      </c>
      <c r="R101" s="96" t="inlineStr">
        <is>
          <t>https://pinnacle.bank/business/financing.php/1000</t>
        </is>
      </c>
      <c r="S101" s="96" t="inlineStr">
        <is>
          <t>N/M (TIB typically Experian)</t>
        </is>
      </c>
      <c r="T101" s="96" t="inlineStr">
        <is>
          <t>N/M</t>
        </is>
      </c>
      <c r="U101" s="96" t="inlineStr">
        <is>
          <t>No online application; branch/contact only. (CA Pinnacle, NOT Pinnacle Financial Partners TN.)</t>
        </is>
      </c>
      <c r="V101" s="96" t="inlineStr">
        <is>
          <t>2</t>
        </is>
      </c>
      <c r="W101" s="96" t="inlineStr">
        <is>
          <t>D — White-label, apply offline</t>
        </is>
      </c>
      <c r="X101" s="96" t="inlineStr">
        <is>
          <t>PG likely (TIB standard); N/M</t>
        </is>
      </c>
      <c r="Y101" s="96" t="inlineStr">
        <is>
          <t>None (SBA Preferred + ABL full-doc)</t>
        </is>
      </c>
      <c r="Z101" s="96" t="inlineStr">
        <is>
          <t>N/M (relationship likely)</t>
        </is>
      </c>
      <c r="AA101" s="96" t="inlineStr">
        <is>
          <t>No-doc card — apply in branch</t>
        </is>
      </c>
      <c r="AB101" s="96" t="inlineStr">
        <is>
          <t>Mastercard Small Business Platinum / Rewards / World (via TIB)</t>
        </is>
      </c>
      <c r="AC101" s="96" t="inlineStr">
        <is>
          <t>NorCal / Silicon Valley (Gilroy, South Bay)</t>
        </is>
      </c>
      <c r="AD101" s="96" t="inlineStr">
        <is>
          <t>Gilroy, CA</t>
        </is>
      </c>
      <c r="AE101" s="96" t="inlineStr">
        <is>
          <t>Reg</t>
        </is>
      </c>
      <c r="AF101" s="96" t="inlineStr">
        <is>
          <t>HIGH issuer=TIB/relevance/footprint; apply N (branch); N/M terms, HP. 2026-05-28</t>
        </is>
      </c>
      <c r="AG101" s="96" t="inlineStr">
        <is>
          <t>pinnacle.bank/business/financing (TIB issuer disclosure); FDIC cert 58297; wallethub.com</t>
        </is>
      </c>
    </row>
    <row r="102" ht="15.75" customHeight="1">
      <c r="A102" s="96" t="inlineStr">
        <is>
          <t>99</t>
        </is>
      </c>
      <c r="B102" s="96" t="inlineStr">
        <is>
          <t>94</t>
        </is>
      </c>
      <c r="C102" s="96" t="inlineStr">
        <is>
          <t>Golden Valley Bank</t>
        </is>
      </c>
      <c r="D102" s="96" t="inlineStr">
        <is>
          <t>CA Bank</t>
        </is>
      </c>
      <c r="E102" s="96" t="inlineStr">
        <is>
          <t>Other — NorCal</t>
        </is>
      </c>
      <c r="F102" s="96" t="inlineStr">
        <is>
          <t>2/4  ✗SUW ✓Onl ✗SoCal ✓Card</t>
        </is>
      </c>
      <c r="G102" s="96" t="inlineStr">
        <is>
          <t>Elan platform: ~$3K–$10K start, to ~$20K strong files (~$500 seen at 800+ FICO)  [myFICO #6658960]</t>
        </is>
      </c>
      <c r="H102" s="96" t="inlineStr">
        <is>
          <t>$0.58B</t>
        </is>
      </c>
      <c r="I102" s="96" t="inlineStr">
        <is>
          <t>N/M</t>
        </is>
      </c>
      <c r="J102" s="96" t="inlineStr">
        <is>
          <t>Community bank; Chico/Butte County focus; est ~2006</t>
        </is>
      </c>
      <c r="K102" s="96" t="inlineStr">
        <is>
          <t>CA-HQ'd</t>
        </is>
      </c>
      <c r="L102" s="96" t="inlineStr">
        <is>
          <t>No</t>
        </is>
      </c>
      <c r="M102" s="96" t="inlineStr">
        <is>
          <t>✅ Elan biz cards (low rate / cash back / rewards); terms N/M</t>
        </is>
      </c>
      <c r="N102" s="96" t="inlineStr">
        <is>
          <t>Elan</t>
        </is>
      </c>
      <c r="O102" s="96" t="inlineStr">
        <is>
          <t>Online</t>
        </is>
      </c>
      <c r="P102" s="96" t="inlineStr">
        <is>
          <t>Online — apply at https://www.goldenvalley.bank/credit-cards/</t>
        </is>
      </c>
      <c r="Q102" s="96" t="inlineStr">
        <is>
          <t>https://www.goldenvalley.bank</t>
        </is>
      </c>
      <c r="R102" s="96" t="inlineStr">
        <is>
          <t>https://www.goldenvalley.bank/credit-cards/</t>
        </is>
      </c>
      <c r="S102" s="96" t="inlineStr">
        <is>
          <t>TransUnion (varies EX/EQ)</t>
        </is>
      </c>
      <c r="T102" s="96" t="inlineStr">
        <is>
          <t>D&amp;B; not personal in good standing</t>
        </is>
      </c>
      <c r="U102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</t>
        </is>
      </c>
      <c r="V102" s="96" t="inlineStr">
        <is>
          <t>3</t>
        </is>
      </c>
      <c r="W102" s="96" t="inlineStr">
        <is>
          <t>C — White-label, apply online</t>
        </is>
      </c>
      <c r="X102" s="96" t="inlineStr">
        <is>
          <t>PG yes; no tax returns (&lt;$25K)</t>
        </is>
      </c>
      <c r="Y102" s="96" t="inlineStr">
        <is>
          <t>None (business lending; no no-doc advertised)</t>
        </is>
      </c>
      <c r="Z102" s="96" t="inlineStr">
        <is>
          <t>N/M</t>
        </is>
      </c>
      <c r="AA102" s="96" t="inlineStr">
        <is>
          <t>No-doc card — apply online (Elan)</t>
        </is>
      </c>
      <c r="AB102" s="96" t="inlineStr">
        <is>
          <t>Elan business Visa (Business Card / Company / Community; names not enumerated)</t>
        </is>
      </c>
      <c r="AC102" s="96" t="inlineStr">
        <is>
          <t>NorCal / Sacramento (Butte County)</t>
        </is>
      </c>
      <c r="AD102" s="96" t="inlineStr">
        <is>
          <t>Chico</t>
        </is>
      </c>
      <c r="AE102" s="96" t="inlineStr">
        <is>
          <t>77</t>
        </is>
      </c>
      <c r="AF102" s="96" t="inlineStr">
        <is>
          <t>HIGH issuer=Elan (own footer disclosure + myaccountaccess.com)/online; N/M terms, HP, reports. 2026-05-29</t>
        </is>
      </c>
      <c r="AG102" s="96" t="inlineStr">
        <is>
          <t>goldenvalley.bank/credit-cards (Elan disclosure); card.myaccountaccess.com; FDIC cert 58278</t>
        </is>
      </c>
    </row>
    <row r="103" ht="15.75" customHeight="1">
      <c r="A103" s="96" t="inlineStr">
        <is>
          <t>100</t>
        </is>
      </c>
      <c r="B103" s="96" t="inlineStr">
        <is>
          <t>95</t>
        </is>
      </c>
      <c r="C103" s="96" t="inlineStr">
        <is>
          <t>First Federal S&amp;L of San Rafael</t>
        </is>
      </c>
      <c r="D103" s="96" t="inlineStr">
        <is>
          <t>CA Bank</t>
        </is>
      </c>
      <c r="E103" s="96" t="inlineStr">
        <is>
          <t>Other — NorCal</t>
        </is>
      </c>
      <c r="F103" s="96" t="inlineStr">
        <is>
          <t>2/4  ✗SUW ✓Onl ✗SoCal ✓Card</t>
        </is>
      </c>
      <c r="G103" s="96" t="inlineStr">
        <is>
          <t>Elan platform: ~$3K–$10K start, to ~$20K strong files (~$500 seen at 800+ FICO)  [myFICO #6658960]</t>
        </is>
      </c>
      <c r="H103" s="96" t="inlineStr">
        <is>
          <t>$0.22B</t>
        </is>
      </c>
      <c r="I103" s="96" t="inlineStr">
        <is>
          <t>$0.18B</t>
        </is>
      </c>
      <c r="J103" s="96" t="inlineStr">
        <is>
          <t>CA-only thrift; ~5 Bay Area branches (Marin/SF/Oakland); est 1963</t>
        </is>
      </c>
      <c r="K103" s="96" t="inlineStr">
        <is>
          <t>CA-HQ'd</t>
        </is>
      </c>
      <c r="L103" s="96" t="inlineStr">
        <is>
          <t>No</t>
        </is>
      </c>
      <c r="M103" s="96" t="inlineStr">
        <is>
          <t>✅ Elan biz cards (personal + business referenced); terms N/M; servicing via myaccountaccess.com</t>
        </is>
      </c>
      <c r="N103" s="96" t="inlineStr">
        <is>
          <t>Elan</t>
        </is>
      </c>
      <c r="O103" s="96" t="inlineStr">
        <is>
          <t>Online</t>
        </is>
      </c>
      <c r="P103" s="96" t="inlineStr">
        <is>
          <t>Online — apply at https://ffsavings.com</t>
        </is>
      </c>
      <c r="Q103" s="96" t="inlineStr">
        <is>
          <t>https://ffsavings.com</t>
        </is>
      </c>
      <c r="R103" s="96" t="inlineStr">
        <is>
          <t>—</t>
        </is>
      </c>
      <c r="S103" s="96" t="inlineStr">
        <is>
          <t>TransUnion (varies EX/EQ)</t>
        </is>
      </c>
      <c r="T103" s="96" t="inlineStr">
        <is>
          <t>D&amp;B; not personal in good standing</t>
        </is>
      </c>
      <c r="U103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Bank card pages 403 to fetch; issuer=Elan inferred from myaccountaccess.com portal.</t>
        </is>
      </c>
      <c r="V103" s="96" t="inlineStr">
        <is>
          <t>3</t>
        </is>
      </c>
      <c r="W103" s="96" t="inlineStr">
        <is>
          <t>C — White-label, apply online</t>
        </is>
      </c>
      <c r="X103" s="96" t="inlineStr">
        <is>
          <t>PG yes; no tax returns (&lt;$25K)</t>
        </is>
      </c>
      <c r="Y103" s="96" t="inlineStr">
        <is>
          <t>None (residential/CRE/multifamily/small-business full-doc thrift)</t>
        </is>
      </c>
      <c r="Z103" s="96" t="inlineStr">
        <is>
          <t>N/M</t>
        </is>
      </c>
      <c r="AA103" s="96" t="inlineStr">
        <is>
          <t>No-doc card — apply online (Elan)</t>
        </is>
      </c>
      <c r="AB103" s="96" t="inlineStr">
        <is>
          <t>Elan business Visa (names N/M; myaccountaccess.com servicing confirms Elan)</t>
        </is>
      </c>
      <c r="AC103" s="96" t="inlineStr">
        <is>
          <t>NorCal / SF (Marin)</t>
        </is>
      </c>
      <c r="AD103" s="96" t="inlineStr">
        <is>
          <t>San Rafael</t>
        </is>
      </c>
      <c r="AE103" s="96" t="inlineStr">
        <is>
          <t>103</t>
        </is>
      </c>
      <c r="AF103" s="96" t="inlineStr">
        <is>
          <t>MED-HIGH issuer=Elan (myaccountaccess.com tell)/biz-card-referenced; bank pages 403, terms N/M. 2026-05-29</t>
        </is>
      </c>
      <c r="AG103" s="96" t="inlineStr">
        <is>
          <t>ffsavings.com (home: personal+business cards, myaccountaccess.com); FDIC cert 31406</t>
        </is>
      </c>
    </row>
    <row r="104" ht="15.75" customHeight="1">
      <c r="A104" s="96" t="inlineStr">
        <is>
          <t>101</t>
        </is>
      </c>
      <c r="B104" s="96" t="n"/>
      <c r="C104" s="96" t="inlineStr">
        <is>
          <t>East West Bank</t>
        </is>
      </c>
      <c r="D104" s="96" t="inlineStr">
        <is>
          <t>CA Bank</t>
        </is>
      </c>
      <c r="E104" s="96" t="inlineStr">
        <is>
          <t>★ Core SoCal</t>
        </is>
      </c>
      <c r="F104" s="96" t="inlineStr">
        <is>
          <t>1/4  ✗SUW ✗Onl ✓SoCal ✗Card</t>
        </is>
      </c>
      <c r="G104" s="96" t="inlineStr">
        <is>
          <t>—</t>
        </is>
      </c>
      <c r="H104" s="96" t="inlineStr">
        <is>
          <t>$82.47B</t>
        </is>
      </c>
      <c r="I104" s="96" t="inlineStr">
        <is>
          <t>$69.09B</t>
        </is>
      </c>
      <c r="J104" s="96" t="inlineStr">
        <is>
          <t>~70 branches/43 CA cities; SGV + SF Bay heavy</t>
        </is>
      </c>
      <c r="K104" s="96" t="inlineStr">
        <is>
          <t>CA-HQ'd</t>
        </is>
      </c>
      <c r="L104" s="96" t="inlineStr">
        <is>
          <t>No</t>
        </is>
      </c>
      <c r="M104" s="96" t="inlineStr">
        <is>
          <t>⚠️ Commercial only — One Card (corporate); terms N/M; no online apply</t>
        </is>
      </c>
      <c r="N104" s="96" t="inlineStr">
        <is>
          <t>Elan</t>
        </is>
      </c>
      <c r="O104" s="96" t="inlineStr">
        <is>
          <t>In-person</t>
        </is>
      </c>
      <c r="P104" s="96" t="inlineStr">
        <is>
          <t>Visit branch / contact a banker (no online application)</t>
        </is>
      </c>
      <c r="Q104" s="96" t="inlineStr">
        <is>
          <t>https://www.eastwestbank.com</t>
        </is>
      </c>
      <c r="R104" s="96" t="inlineStr">
        <is>
          <t>https://www.eastwestbank.com/en/small-mid-size-businesses/disbursements-and-payments#corporate-card</t>
        </is>
      </c>
      <c r="S104" s="96" t="inlineStr">
        <is>
          <t>TransUnion (varies EX/EQ)</t>
        </is>
      </c>
      <c r="T104" s="96" t="inlineStr">
        <is>
          <t>D&amp;B; not personal in good standing</t>
        </is>
      </c>
      <c r="U104" s="96" t="inlineStr">
        <is>
          <t>N/M East West-specific; Elan issuer-level only</t>
        </is>
      </c>
      <c r="V104" s="96" t="inlineStr">
        <is>
          <t>0</t>
        </is>
      </c>
      <c r="W104" s="96" t="inlineStr">
        <is>
          <t>E — Commercial-only</t>
        </is>
      </c>
      <c r="X104" s="96" t="inlineStr">
        <is>
          <t>PG yes (Elan); full commercial underwriting</t>
        </is>
      </c>
      <c r="Y104" s="96" t="inlineStr">
        <is>
          <t>None (commercial LOC/term/SBA 'subject to review')</t>
        </is>
      </c>
      <c r="Z104" s="96" t="inlineStr">
        <is>
          <t>N/M</t>
        </is>
      </c>
      <c r="AA104" s="96" t="inlineStr">
        <is>
          <t>Commercial / full underwriting (Elan)</t>
        </is>
      </c>
      <c r="AB104" s="96" t="inlineStr">
        <is>
          <t>East West Bank One Card (corporate T&amp;E/purchasing)</t>
        </is>
      </c>
      <c r="AC104" s="96" t="inlineStr">
        <is>
          <t>SoCal / LA</t>
        </is>
      </c>
      <c r="AD104" s="96" t="inlineStr">
        <is>
          <t>Pasadena</t>
        </is>
      </c>
      <c r="AE104" s="96" t="inlineStr">
        <is>
          <t>2</t>
        </is>
      </c>
      <c r="AF104" s="96" t="inlineStr">
        <is>
          <t>MED-HIGH product/issuer/no-online; LOW terms/HP. 2026-05-28</t>
        </is>
      </c>
      <c r="AG104" s="96" t="inlineStr">
        <is>
          <t>eastwestbank.com corporate-card page (Elan disclosure); wallethub.com</t>
        </is>
      </c>
    </row>
    <row r="105" ht="15.75" customHeight="1">
      <c r="A105" s="96" t="inlineStr">
        <is>
          <t>102</t>
        </is>
      </c>
      <c r="B105" s="96" t="n"/>
      <c r="C105" s="96" t="inlineStr">
        <is>
          <t>Oak Valley Community Bank</t>
        </is>
      </c>
      <c r="D105" s="96" t="inlineStr">
        <is>
          <t>CA Bank</t>
        </is>
      </c>
      <c r="E105" s="96" t="inlineStr">
        <is>
          <t>Other — Central Valley</t>
        </is>
      </c>
      <c r="F105" s="96" t="inlineStr">
        <is>
          <t>0/4  ✗SUW ✗Onl ✗SoCal ✗Card</t>
        </is>
      </c>
      <c r="G105" s="96" t="inlineStr">
        <is>
          <t>—</t>
        </is>
      </c>
      <c r="H105" s="96" t="inlineStr">
        <is>
          <t>$2.01B</t>
        </is>
      </c>
      <c r="I105" s="96" t="inlineStr">
        <is>
          <t>$1.78B</t>
        </is>
      </c>
      <c r="J105" s="96" t="inlineStr">
        <is>
          <t>Central Valley (Modesto, Oakdale, Stockton) + Eastern Sierra division</t>
        </is>
      </c>
      <c r="K105" s="96" t="inlineStr">
        <is>
          <t>CA-HQ'd</t>
        </is>
      </c>
      <c r="L105" s="96" t="inlineStr">
        <is>
          <t>No</t>
        </is>
      </c>
      <c r="M105" s="96" t="inlineStr">
        <is>
          <t>⚠️ TCM white-label; terms N/M; existing-cardholders only</t>
        </is>
      </c>
      <c r="N105" s="96" t="inlineStr">
        <is>
          <t>TCM Bank, N.A.</t>
        </is>
      </c>
      <c r="O105" s="96" t="inlineStr">
        <is>
          <t>In-person</t>
        </is>
      </c>
      <c r="P105" s="96" t="inlineStr">
        <is>
          <t>Visit branch / contact a banker (no online application)</t>
        </is>
      </c>
      <c r="Q105" s="96" t="inlineStr">
        <is>
          <t>https://www.ovcb.com</t>
        </is>
      </c>
      <c r="R105" s="96" t="inlineStr">
        <is>
          <t>https://www.ovcb.com/commercial/loans/credit-cards/</t>
        </is>
      </c>
      <c r="S105" s="96" t="inlineStr">
        <is>
          <t>Experian</t>
        </is>
      </c>
      <c r="T105" s="96" t="inlineStr">
        <is>
          <t>N/M</t>
        </is>
      </c>
      <c r="U105" s="96" t="inlineStr">
        <is>
          <t>TCM: Experian pull (apps + CLIs); conservative; partner bank no underwriting say. myfico.com #6303273</t>
        </is>
      </c>
      <c r="V105" s="96" t="inlineStr">
        <is>
          <t>0</t>
        </is>
      </c>
      <c r="W105" s="96" t="inlineStr">
        <is>
          <t>E — Commercial-only</t>
        </is>
      </c>
      <c r="X105" s="96" t="inlineStr">
        <is>
          <t>N/M (SBA-eligible small-biz cards; personal-credit underwritten)</t>
        </is>
      </c>
      <c r="Y105" s="96" t="inlineStr">
        <is>
          <t>N/M (LOC/equipment/SBA + $25K-$150K loans documentation-based)</t>
        </is>
      </c>
      <c r="Z105" s="96" t="inlineStr">
        <is>
          <t>N/M</t>
        </is>
      </c>
      <c r="AA105" s="96" t="inlineStr">
        <is>
          <t>Commercial / full underwriting</t>
        </is>
      </c>
      <c r="AB105" s="96" t="inlineStr">
        <is>
          <t>TCM business suite (Rewards/Cash Rewards/Edition/Company/Purchasing)</t>
        </is>
      </c>
      <c r="AC105" s="96" t="inlineStr">
        <is>
          <t>Central Valley / Eastern Sierra</t>
        </is>
      </c>
      <c r="AD105" s="96" t="inlineStr">
        <is>
          <t>Oakdale</t>
        </is>
      </c>
      <c r="AE105" s="96" t="inlineStr">
        <is>
          <t>42</t>
        </is>
      </c>
      <c r="AF105" s="96" t="inlineStr">
        <is>
          <t>MED-HIGH issuer (TCM); LOW/N-M terms, apply, HP forum-only, reports. Low no-doc utility. 2026-05-28</t>
        </is>
      </c>
      <c r="AG105" s="96" t="inlineStr">
        <is>
          <t>ovcb.com/commercial/loans/credit-cards; tcmbank.com/cardholder-services; myfico.com #6303273</t>
        </is>
      </c>
    </row>
    <row r="106" ht="15.75" customHeight="1">
      <c r="A106" s="96" t="inlineStr">
        <is>
          <t>103</t>
        </is>
      </c>
      <c r="B106" s="96" t="inlineStr">
        <is>
          <t>96</t>
        </is>
      </c>
      <c r="C106" s="96" t="inlineStr">
        <is>
          <t>Bank of San Francisco</t>
        </is>
      </c>
      <c r="D106" s="96" t="inlineStr">
        <is>
          <t>CA Bank</t>
        </is>
      </c>
      <c r="E106" s="96" t="inlineStr">
        <is>
          <t>Other — NorCal</t>
        </is>
      </c>
      <c r="F106" s="96" t="inlineStr">
        <is>
          <t>1/4  ✗SUW ✗Onl ✗SoCal ✓Card</t>
        </is>
      </c>
      <c r="G106" s="96" t="inlineStr">
        <is>
          <t>Elan platform: ~$3K–$10K start, to ~$20K strong files (~$500 seen at 800+ FICO)  [myFICO #6658960]</t>
        </is>
      </c>
      <c r="H106" s="96" t="inlineStr">
        <is>
          <t>$0.77B</t>
        </is>
      </c>
      <c r="I106" s="96" t="inlineStr">
        <is>
          <t>N/M</t>
        </is>
      </c>
      <c r="J106" s="96" t="inlineStr">
        <is>
          <t>1-2 SF offices (Laurel Village); est 2005. NOTE: call-report assets ~$612M (Q1'25) — FDIC list shows $0.77B; flagged</t>
        </is>
      </c>
      <c r="K106" s="96" t="inlineStr">
        <is>
          <t>CA-HQ'd</t>
        </is>
      </c>
      <c r="L106" s="96" t="inlineStr">
        <is>
          <t>No</t>
        </is>
      </c>
      <c r="M106" s="96" t="inlineStr">
        <is>
          <t>✅ Elan biz cards; terms N/M; no public apply (servicing login only)</t>
        </is>
      </c>
      <c r="N106" s="96" t="inlineStr">
        <is>
          <t>Elan</t>
        </is>
      </c>
      <c r="O106" s="96" t="inlineStr">
        <is>
          <t>In-person</t>
        </is>
      </c>
      <c r="P106" s="96" t="inlineStr">
        <is>
          <t>Visit branch / contact a banker (no online application)</t>
        </is>
      </c>
      <c r="Q106" s="96" t="inlineStr">
        <is>
          <t>https://www.bankbsf.com</t>
        </is>
      </c>
      <c r="R106" s="96" t="inlineStr">
        <is>
          <t>—</t>
        </is>
      </c>
      <c r="S106" s="96" t="inlineStr">
        <is>
          <t>TransUnion (varies EX/EQ)</t>
        </is>
      </c>
      <c r="T106" s="96" t="inlineStr">
        <is>
          <t>D&amp;B; not personal in good standing</t>
        </is>
      </c>
      <c r="U106" s="96" t="inlineStr">
        <is>
          <t>Elan platform: starts ~$3-10K (to $20K strong files; ~$500 seen even at 800+ FICO). PG required; ~2yr TIB preferred not required; D&amp;B profile helps. Multiple cards same day = SEPARATE hard pull each (no 1-HP-multi). Don't check 'balance transfer' on app (=low limit). myfico.com #6658960 / #6308920 / #6244031 No BSF-specific apply page indexed; banker-initiated.</t>
        </is>
      </c>
      <c r="V106" s="96" t="inlineStr">
        <is>
          <t>2</t>
        </is>
      </c>
      <c r="W106" s="96" t="inlineStr">
        <is>
          <t>D — White-label, apply offline</t>
        </is>
      </c>
      <c r="X106" s="96" t="inlineStr">
        <is>
          <t>PG yes; no tax returns (&lt;$25K)</t>
        </is>
      </c>
      <c r="Y106" s="96" t="inlineStr">
        <is>
          <t>None (CRE/working-capital/equipment/acquisition/SBA full-doc)</t>
        </is>
      </c>
      <c r="Z106" s="96" t="inlineStr">
        <is>
          <t>N/M</t>
        </is>
      </c>
      <c r="AA106" s="96" t="inlineStr">
        <is>
          <t>No-doc card — apply in branch (Elan)</t>
        </is>
      </c>
      <c r="AB106" s="96" t="inlineStr">
        <is>
          <t>Elan business Visa (names N/M; myaccountaccess.com login confirms Elan)</t>
        </is>
      </c>
      <c r="AC106" s="96" t="inlineStr">
        <is>
          <t>NorCal / SF</t>
        </is>
      </c>
      <c r="AD106" s="96" t="inlineStr">
        <is>
          <t>San Francisco</t>
        </is>
      </c>
      <c r="AE106" s="96" t="inlineStr">
        <is>
          <t>72</t>
        </is>
      </c>
      <c r="AF106" s="96" t="inlineStr">
        <is>
          <t>HIGH issuer=Elan (myaccountaccess.com login tell); no public apply/terms; asset figure flagged. 2026-05-29</t>
        </is>
      </c>
      <c r="AG106" s="96" t="inlineStr">
        <is>
          <t>bankbsf.com (business, login→myaccountaccess.com=Elan); FDIC cert 58069</t>
        </is>
      </c>
    </row>
    <row r="107" ht="15.75" customHeight="1">
      <c r="A107" s="96" t="inlineStr">
        <is>
          <t>104</t>
        </is>
      </c>
      <c r="B107" s="96" t="n"/>
      <c r="C107" s="96" t="inlineStr">
        <is>
          <t>Pacific Premier Bank</t>
        </is>
      </c>
      <c r="D107" s="96" t="inlineStr">
        <is>
          <t>Regional</t>
        </is>
      </c>
      <c r="E107" s="96" t="inlineStr">
        <is>
          <t>★ Core SoCal</t>
        </is>
      </c>
      <c r="F107" s="96" t="inlineStr">
        <is>
          <t>1/4  ✗SUW ✗Onl ✓SoCal ✗Card</t>
        </is>
      </c>
      <c r="G107" s="96" t="inlineStr">
        <is>
          <t>—</t>
        </is>
      </c>
      <c r="H107" s="96" t="inlineStr">
        <is>
          <t>~$70B (Columbia combined)</t>
        </is>
      </c>
      <c r="I107" s="96" t="inlineStr">
        <is>
          <t>—</t>
        </is>
      </c>
      <c r="J107" s="96" t="inlineStr">
        <is>
          <t>HQ Irvine (OC); acquired by Columbia Banking System (closed Aug 31 2025), ~$70B combined; PPB brand retired</t>
        </is>
      </c>
      <c r="K107" s="96" t="inlineStr">
        <is>
          <t>N/M</t>
        </is>
      </c>
      <c r="L107" s="96" t="inlineStr">
        <is>
          <t>—</t>
        </is>
      </c>
      <c r="M107" s="96" t="inlineStr">
        <is>
          <t>⚠️ DEFUNCT — brand retired Aug 2025 (acquired by Columbia Banking); legacy cards FNBO-issued; successor = Columbia Bank (Elan)</t>
        </is>
      </c>
      <c r="N107" s="96" t="inlineStr">
        <is>
          <t>(legacy FNBO; now Columbia / Elan)</t>
        </is>
      </c>
      <c r="O107" s="96" t="inlineStr">
        <is>
          <t>No</t>
        </is>
      </c>
      <c r="P107" s="96" t="inlineStr">
        <is>
          <t>— (no business card)</t>
        </is>
      </c>
      <c r="Q107" s="96" t="inlineStr">
        <is>
          <t>https://www.columbiabank.com/ppbi</t>
        </is>
      </c>
      <c r="R107" s="96" t="inlineStr">
        <is>
          <t>—</t>
        </is>
      </c>
      <c r="S107" s="96" t="inlineStr">
        <is>
          <t>N/M</t>
        </is>
      </c>
      <c r="T107" s="96" t="inlineStr">
        <is>
          <t>N/M</t>
        </is>
      </c>
      <c r="U107" s="96" t="inlineStr">
        <is>
          <t>Brand retired; customers migrated to Columbia Bank (Elan cards).</t>
        </is>
      </c>
      <c r="V107" s="96" t="inlineStr">
        <is>
          <t>0</t>
        </is>
      </c>
      <c r="W107" s="96" t="inlineStr">
        <is>
          <t>F — No card</t>
        </is>
      </c>
      <c r="X107" s="96" t="inlineStr">
        <is>
          <t>N/M</t>
        </is>
      </c>
      <c r="Y107" s="96" t="inlineStr">
        <is>
          <t>None</t>
        </is>
      </c>
      <c r="Z107" s="96" t="inlineStr">
        <is>
          <t>N/M</t>
        </is>
      </c>
      <c r="AA107" s="96" t="inlineStr">
        <is>
          <t>Not a card source</t>
        </is>
      </c>
      <c r="AB107" s="96" t="inlineStr">
        <is>
          <t>(legacy FNBO Business Edition Visa — now Columbia/Elan)</t>
        </is>
      </c>
      <c r="AC107" s="96" t="inlineStr">
        <is>
          <t>SoCal / Orange County (Irvine) — DEFUNCT</t>
        </is>
      </c>
      <c r="AD107" s="96" t="inlineStr">
        <is>
          <t>Irvine, CA</t>
        </is>
      </c>
      <c r="AE107" s="96" t="inlineStr">
        <is>
          <t>Reg</t>
        </is>
      </c>
      <c r="AF107" s="96" t="inlineStr">
        <is>
          <t>HIGH defunct (brand retired Aug 2025). Legacy=FNBO; successor=Columbia (Elan). Not a current target. 2026-05-28</t>
        </is>
      </c>
      <c r="AG107" s="96" t="inlineStr">
        <is>
          <t>columbiabank.com/ppbi (transition); card.fnbo.com/mpp/fi/ppb/business/pb-visa (legacy, 404); prnewswire (merger close)</t>
        </is>
      </c>
    </row>
    <row r="108" ht="15.75" customHeight="1">
      <c r="A108" s="96" t="inlineStr">
        <is>
          <t>105</t>
        </is>
      </c>
      <c r="B108" s="96" t="n"/>
      <c r="C108" s="96" t="inlineStr">
        <is>
          <t>SchoolsFirst Federal Credit Union</t>
        </is>
      </c>
      <c r="D108" s="96" t="inlineStr">
        <is>
          <t>Credit Union</t>
        </is>
      </c>
      <c r="E108" s="96" t="inlineStr">
        <is>
          <t>★ Core SoCal</t>
        </is>
      </c>
      <c r="F108" s="96" t="inlineStr">
        <is>
          <t>1/4  ✗SUW ✗Onl ✓SoCal ✗Card</t>
        </is>
      </c>
      <c r="G108" s="96" t="inlineStr">
        <is>
          <t>—</t>
        </is>
      </c>
      <c r="H108" s="96" t="inlineStr">
        <is>
          <t>~$31.9B</t>
        </is>
      </c>
      <c r="I108" s="96" t="inlineStr">
        <is>
          <t>—</t>
        </is>
      </c>
      <c r="J108" s="96" t="inlineStr">
        <is>
          <t>HQ Tustin (Orange County); educators-only FOM; ~70 branches; largest US educator CU</t>
        </is>
      </c>
      <c r="K108" s="96" t="inlineStr">
        <is>
          <t>CA-HQ'd</t>
        </is>
      </c>
      <c r="L108" s="96" t="inlineStr">
        <is>
          <t>—</t>
        </is>
      </c>
      <c r="M108" s="96" t="inlineStr">
        <is>
          <t>❌ No business card (educator-only CU; consumer cards + no business banking)</t>
        </is>
      </c>
      <c r="N108" s="96" t="inlineStr">
        <is>
          <t>None</t>
        </is>
      </c>
      <c r="O108" s="96" t="inlineStr">
        <is>
          <t>No</t>
        </is>
      </c>
      <c r="P108" s="96" t="inlineStr">
        <is>
          <t>— (no business card)</t>
        </is>
      </c>
      <c r="Q108" s="96" t="inlineStr">
        <is>
          <t>https://www.schoolsfirstfcu.org/products/credit-cards-personal-loans/credit-cards/</t>
        </is>
      </c>
      <c r="R108" s="96" t="inlineStr">
        <is>
          <t>—</t>
        </is>
      </c>
      <c r="S108" s="96" t="inlineStr">
        <is>
          <t>N/M</t>
        </is>
      </c>
      <c r="T108" s="96" t="inlineStr">
        <is>
          <t>N/M</t>
        </is>
      </c>
      <c r="U108" s="96" t="inlineStr">
        <is>
          <t>N/M (no business card)</t>
        </is>
      </c>
      <c r="V108" s="96" t="inlineStr">
        <is>
          <t>0</t>
        </is>
      </c>
      <c r="W108" s="96" t="inlineStr">
        <is>
          <t>F — No card</t>
        </is>
      </c>
      <c r="X108" s="96" t="inlineStr">
        <is>
          <t>N/M</t>
        </is>
      </c>
      <c r="Y108" s="96" t="inlineStr">
        <is>
          <t>None (consumer-only; no business lending)</t>
        </is>
      </c>
      <c r="Z108" s="96" t="inlineStr">
        <is>
          <t>Membership = CA educators only (closed FOM; no open path)</t>
        </is>
      </c>
      <c r="AA108" s="96" t="inlineStr">
        <is>
          <t>Not a card source</t>
        </is>
      </c>
      <c r="AB108" s="96" t="inlineStr">
        <is>
          <t>None (consumer cards only)</t>
        </is>
      </c>
      <c r="AC108" s="96" t="inlineStr">
        <is>
          <t>SoCal / Orange County (Tustin/Santa Ana)</t>
        </is>
      </c>
      <c r="AD108" s="96" t="inlineStr">
        <is>
          <t>Tustin, CA</t>
        </is>
      </c>
      <c r="AE108" s="96" t="inlineStr">
        <is>
          <t>CU</t>
        </is>
      </c>
      <c r="AF108" s="96" t="inlineStr">
        <is>
          <t>HIGH no-business-card (educator consumer-only). 2026-05-28</t>
        </is>
      </c>
      <c r="AG108" s="96" t="inlineStr">
        <is>
          <t>schoolsfirstfcu.org/products/credit-cards + eligibility; en.wikipedia.org</t>
        </is>
      </c>
    </row>
    <row r="109" ht="15.75" customHeight="1">
      <c r="A109" s="96" t="inlineStr">
        <is>
          <t>106</t>
        </is>
      </c>
      <c r="B109" s="96" t="n"/>
      <c r="C109" s="96" t="inlineStr">
        <is>
          <t>HomeStreet Bank</t>
        </is>
      </c>
      <c r="D109" s="96" t="inlineStr">
        <is>
          <t>Regional</t>
        </is>
      </c>
      <c r="E109" s="96" t="inlineStr">
        <is>
          <t>Other — West Coast — SoCal + WA</t>
        </is>
      </c>
      <c r="F109" s="96" t="inlineStr">
        <is>
          <t>0/4  ✗SUW ✗Onl ✗SoCal ✗Card</t>
        </is>
      </c>
      <c r="G109" s="96" t="inlineStr">
        <is>
          <t>—</t>
        </is>
      </c>
      <c r="H109" s="96" t="inlineStr">
        <is>
          <t>~$23B (combined)</t>
        </is>
      </c>
      <c r="I109" s="96" t="inlineStr">
        <is>
          <t>—</t>
        </is>
      </c>
      <c r="J109" s="96" t="inlineStr">
        <is>
          <t>HomeStreet merged into Mechanics Bank Sept 2025; ex-HomeStreet had SoCal + WA/OR/HI branches; combined ~$22-23B</t>
        </is>
      </c>
      <c r="K109" s="96" t="inlineStr">
        <is>
          <t>N/M</t>
        </is>
      </c>
      <c r="L109" s="96" t="inlineStr">
        <is>
          <t>—</t>
        </is>
      </c>
      <c r="M109" s="96" t="inlineStr">
        <is>
          <t>⚠️ MERGED into Mechanics Bank (Sept 2025); cards = Elan Smart Business Rewards (see Mechanics Bank row)</t>
        </is>
      </c>
      <c r="N109" s="96" t="inlineStr">
        <is>
          <t>Elan (now Mechanics Bank)</t>
        </is>
      </c>
      <c r="O109" s="96" t="inlineStr">
        <is>
          <t>No</t>
        </is>
      </c>
      <c r="P109" s="96" t="inlineStr">
        <is>
          <t>— (no business card)</t>
        </is>
      </c>
      <c r="Q109" s="96" t="inlineStr">
        <is>
          <t>https://www.mymechanics.com/business/loans-credit/business-credit-cards/</t>
        </is>
      </c>
      <c r="R109" s="96" t="inlineStr">
        <is>
          <t>—</t>
        </is>
      </c>
      <c r="S109" s="96" t="inlineStr">
        <is>
          <t>N/M</t>
        </is>
      </c>
      <c r="T109" s="96" t="inlineStr">
        <is>
          <t>N/M</t>
        </is>
      </c>
      <c r="U109" s="96" t="inlineStr">
        <is>
          <t>HomeStreet merged into Mechanics Bank; Elan-issued (duplicate of Mechanics).</t>
        </is>
      </c>
      <c r="V109" s="96" t="inlineStr">
        <is>
          <t>0</t>
        </is>
      </c>
      <c r="W109" s="96" t="inlineStr">
        <is>
          <t>F — No card</t>
        </is>
      </c>
      <c r="X109" s="96" t="inlineStr">
        <is>
          <t>N/M</t>
        </is>
      </c>
      <c r="Y109" s="96" t="inlineStr">
        <is>
          <t>None</t>
        </is>
      </c>
      <c r="Z109" s="96" t="inlineStr">
        <is>
          <t>N/M</t>
        </is>
      </c>
      <c r="AA109" s="96" t="inlineStr">
        <is>
          <t>Not a card source (Elan)</t>
        </is>
      </c>
      <c r="AB109" s="96" t="inlineStr">
        <is>
          <t>Smart Business Rewards (Elan; now Mechanics-branded — see rank for Mechanics Bank)</t>
        </is>
      </c>
      <c r="AC109" s="96" t="inlineStr">
        <is>
          <t>West Coast — SoCal + WA/OR/HI (now Mechanics Bank)</t>
        </is>
      </c>
      <c r="AD109" s="96" t="inlineStr">
        <is>
          <t>Seattle, WA (now Walnut Creek / Mechanics Bank)</t>
        </is>
      </c>
      <c r="AE109" s="96" t="inlineStr">
        <is>
          <t>Reg</t>
        </is>
      </c>
      <c r="AF109" s="96" t="inlineStr">
        <is>
          <t>HIGH merged into Mechanics Bank (Elan). Duplicate of Mechanics row. 2026-05-28</t>
        </is>
      </c>
      <c r="AG109" s="96" t="inlineStr">
        <is>
          <t>mymechanics.com business credit cards (Elan disclosure); homestreet.com (redirects to mechanicsbank); ir.mechanicsbank.com (merger)</t>
        </is>
      </c>
    </row>
    <row r="110" ht="15.75" customHeight="1">
      <c r="A110" s="96" t="inlineStr">
        <is>
          <t>107</t>
        </is>
      </c>
      <c r="B110" s="96" t="n"/>
      <c r="C110" s="96" t="inlineStr">
        <is>
          <t>Golden 1 Credit Union</t>
        </is>
      </c>
      <c r="D110" s="96" t="inlineStr">
        <is>
          <t>Credit Union</t>
        </is>
      </c>
      <c r="E110" s="96" t="inlineStr">
        <is>
          <t>Other — NorCal</t>
        </is>
      </c>
      <c r="F110" s="96" t="inlineStr">
        <is>
          <t>0/4  ✗SUW ✗Onl ✗SoCal ✗Card</t>
        </is>
      </c>
      <c r="G110" s="96" t="inlineStr">
        <is>
          <t>—</t>
        </is>
      </c>
      <c r="H110" s="96" t="inlineStr">
        <is>
          <t>~$21.08B (2nd-largest CA credit union)</t>
        </is>
      </c>
      <c r="I110" s="96" t="inlineStr">
        <is>
          <t>—</t>
        </is>
      </c>
      <c r="J110" s="96" t="inlineStr">
        <is>
          <t>CA-only; ~63-70 branches; open to all Californians</t>
        </is>
      </c>
      <c r="K110" s="96" t="inlineStr">
        <is>
          <t>CA-HQ'd</t>
        </is>
      </c>
      <c r="L110" s="96" t="inlineStr">
        <is>
          <t>—</t>
        </is>
      </c>
      <c r="M110" s="96" t="inlineStr">
        <is>
          <t>❌ No business card (business services = deposit-only; personal cards prohibit business use)</t>
        </is>
      </c>
      <c r="N110" s="96" t="inlineStr">
        <is>
          <t>None (self-issues personal cards only)</t>
        </is>
      </c>
      <c r="O110" s="96" t="inlineStr">
        <is>
          <t>No</t>
        </is>
      </c>
      <c r="P110" s="96" t="inlineStr">
        <is>
          <t>— (no business card)</t>
        </is>
      </c>
      <c r="Q110" s="96" t="inlineStr">
        <is>
          <t>https://www.golden1.com/business-services</t>
        </is>
      </c>
      <c r="R110" s="96" t="inlineStr">
        <is>
          <t>—</t>
        </is>
      </c>
      <c r="S110" s="96" t="inlineStr">
        <is>
          <t>N/M</t>
        </is>
      </c>
      <c r="T110" s="96" t="inlineStr">
        <is>
          <t>N/M</t>
        </is>
      </c>
      <c r="U110" s="96" t="inlineStr">
        <is>
          <t>N/M (no business card)</t>
        </is>
      </c>
      <c r="V110" s="96" t="inlineStr">
        <is>
          <t>0</t>
        </is>
      </c>
      <c r="W110" s="96" t="inlineStr">
        <is>
          <t>F — No card</t>
        </is>
      </c>
      <c r="X110" s="96" t="inlineStr">
        <is>
          <t>N/M</t>
        </is>
      </c>
      <c r="Y110" s="96" t="inlineStr">
        <is>
          <t>None (business = deposit accounts + digital banking only)</t>
        </is>
      </c>
      <c r="Z110" s="96" t="inlineStr">
        <is>
          <t>Membership required (open to all CA residents, $1)</t>
        </is>
      </c>
      <c r="AA110" s="96" t="inlineStr">
        <is>
          <t>Not a card source</t>
        </is>
      </c>
      <c r="AB110" s="96" t="inlineStr">
        <is>
          <t>None (business = deposit accounts + digital banking only)</t>
        </is>
      </c>
      <c r="AC110" s="96" t="inlineStr">
        <is>
          <t>NorCal / Sacramento (CA-statewide CU)</t>
        </is>
      </c>
      <c r="AD110" s="96" t="inlineStr">
        <is>
          <t>Sacramento, CA</t>
        </is>
      </c>
      <c r="AE110" s="96" t="inlineStr">
        <is>
          <t>CU</t>
        </is>
      </c>
      <c r="AF110" s="96" t="inlineStr">
        <is>
          <t>HIGH no-business-card (own pages + consumer agreement bars business use). 2026-05-28</t>
        </is>
      </c>
      <c r="AG110" s="96" t="inlineStr">
        <is>
          <t>golden1.com/business-services; CFPB Platinum Secured agreement (self; bars business use); wallethub.com</t>
        </is>
      </c>
    </row>
    <row r="111" ht="15.75" customHeight="1">
      <c r="A111" s="96" t="inlineStr">
        <is>
          <t>108</t>
        </is>
      </c>
      <c r="B111" s="96" t="n"/>
      <c r="C111" s="96" t="inlineStr">
        <is>
          <t>Bank of America California, N.A.</t>
        </is>
      </c>
      <c r="D111" s="96" t="inlineStr">
        <is>
          <t>CA Bank</t>
        </is>
      </c>
      <c r="E111" s="96" t="inlineStr">
        <is>
          <t>Other — NorCal</t>
        </is>
      </c>
      <c r="F111" s="96" t="inlineStr">
        <is>
          <t>0/4  ✗SUW ✗Onl ✗SoCal ✗Card</t>
        </is>
      </c>
      <c r="G111" s="96" t="inlineStr">
        <is>
          <t>—</t>
        </is>
      </c>
      <c r="H111" s="96" t="inlineStr">
        <is>
          <t>$15.13B</t>
        </is>
      </c>
      <c r="I111" s="96" t="inlineStr">
        <is>
          <t>$12.64B</t>
        </is>
      </c>
      <c r="J111" s="96" t="inlineStr">
        <is>
          <t>Single office 555 California St; no branch network; no trust powers</t>
        </is>
      </c>
      <c r="K111" s="96" t="inlineStr">
        <is>
          <t>CA-HQ'd</t>
        </is>
      </c>
      <c r="L111" s="96" t="inlineStr">
        <is>
          <t>—</t>
        </is>
      </c>
      <c r="M111" s="96" t="inlineStr">
        <is>
          <t>❌ No card (subsidiary shell; parent BofA issues)</t>
        </is>
      </c>
      <c r="N111" s="96" t="inlineStr">
        <is>
          <t>None (parent self-issues)</t>
        </is>
      </c>
      <c r="O111" s="96" t="inlineStr">
        <is>
          <t>No</t>
        </is>
      </c>
      <c r="P111" s="96" t="inlineStr">
        <is>
          <t>— (no business card)</t>
        </is>
      </c>
      <c r="Q111" s="96" t="inlineStr">
        <is>
          <t>https://www.bankofamerica.com</t>
        </is>
      </c>
      <c r="R111" s="96" t="inlineStr">
        <is>
          <t>—</t>
        </is>
      </c>
      <c r="S111" s="96" t="inlineStr">
        <is>
          <t>N/M</t>
        </is>
      </c>
      <c r="T111" s="96" t="inlineStr">
        <is>
          <t>N/M</t>
        </is>
      </c>
      <c r="U111" s="96" t="inlineStr">
        <is>
          <t>N/M (all BofA card chatter = parent, not cert 25178)</t>
        </is>
      </c>
      <c r="V111" s="96" t="inlineStr">
        <is>
          <t>0</t>
        </is>
      </c>
      <c r="W111" s="96" t="inlineStr">
        <is>
          <t>F — No card</t>
        </is>
      </c>
      <c r="X111" s="96" t="inlineStr">
        <is>
          <t>N/M</t>
        </is>
      </c>
      <c r="Y111" s="96" t="inlineStr">
        <is>
          <t>N/M (mortgage/community-development vehicle)</t>
        </is>
      </c>
      <c r="Z111" s="96" t="inlineStr">
        <is>
          <t>N/M</t>
        </is>
      </c>
      <c r="AA111" s="96" t="inlineStr">
        <is>
          <t>Not a card source</t>
        </is>
      </c>
      <c r="AB111" s="96" t="inlineStr">
        <is>
          <t>None (parent 'Bank of America, N.A.' issues Business Advantage cards)</t>
        </is>
      </c>
      <c r="AC111" s="96" t="inlineStr">
        <is>
          <t>NorCal / SF</t>
        </is>
      </c>
      <c r="AD111" s="96" t="inlineStr">
        <is>
          <t>San Francisco</t>
        </is>
      </c>
      <c r="AE111" s="96" t="inlineStr">
        <is>
          <t>9</t>
        </is>
      </c>
      <c r="AF111" s="96" t="inlineStr">
        <is>
          <t>HIGH no-card. Real BofA biz cards = parent (national issuer, capture separately). 2026-05-28</t>
        </is>
      </c>
      <c r="AG111" s="96" t="inlineStr">
        <is>
          <t>FDIC cert 25178; CFPB (no agreement); investor.bankofamerica.com</t>
        </is>
      </c>
    </row>
    <row r="112" ht="15.75" customHeight="1">
      <c r="A112" s="96" t="inlineStr">
        <is>
          <t>109</t>
        </is>
      </c>
      <c r="B112" s="96" t="n"/>
      <c r="C112" s="96" t="inlineStr">
        <is>
          <t>Star One Credit Union</t>
        </is>
      </c>
      <c r="D112" s="96" t="inlineStr">
        <is>
          <t>Credit Union</t>
        </is>
      </c>
      <c r="E112" s="96" t="inlineStr">
        <is>
          <t>Other — NorCal</t>
        </is>
      </c>
      <c r="F112" s="96" t="inlineStr">
        <is>
          <t>0/4  ✗SUW ✗Onl ✗SoCal ✗Card</t>
        </is>
      </c>
      <c r="G112" s="96" t="inlineStr">
        <is>
          <t>—</t>
        </is>
      </c>
      <c r="H112" s="96" t="inlineStr">
        <is>
          <t>~$9.5B</t>
        </is>
      </c>
      <c r="I112" s="96" t="inlineStr">
        <is>
          <t>—</t>
        </is>
      </c>
      <c r="J112" s="96" t="inlineStr">
        <is>
          <t>HQ Sunnyvale; consumer-only; sole-prop deposits only; ~10 Bay Area branches</t>
        </is>
      </c>
      <c r="K112" s="96" t="inlineStr">
        <is>
          <t>CA-HQ'd</t>
        </is>
      </c>
      <c r="L112" s="96" t="inlineStr">
        <is>
          <t>—</t>
        </is>
      </c>
      <c r="M112" s="96" t="inlineStr">
        <is>
          <t>❌ No business card (consumer-only; sole-prop deposits only, no corp/LLC accounts)</t>
        </is>
      </c>
      <c r="N112" s="96" t="inlineStr">
        <is>
          <t>None (self-issues consumer cards)</t>
        </is>
      </c>
      <c r="O112" s="96" t="inlineStr">
        <is>
          <t>No</t>
        </is>
      </c>
      <c r="P112" s="96" t="inlineStr">
        <is>
          <t>— (no business card)</t>
        </is>
      </c>
      <c r="Q112" s="96" t="inlineStr">
        <is>
          <t>https://www.starone.org/borrow/credit-cards</t>
        </is>
      </c>
      <c r="R112" s="96" t="inlineStr">
        <is>
          <t>—</t>
        </is>
      </c>
      <c r="S112" s="96" t="inlineStr">
        <is>
          <t>N/M</t>
        </is>
      </c>
      <c r="T112" s="96" t="inlineStr">
        <is>
          <t>N/M</t>
        </is>
      </c>
      <c r="U112" s="96" t="inlineStr">
        <is>
          <t>N/M (no business card)</t>
        </is>
      </c>
      <c r="V112" s="96" t="inlineStr">
        <is>
          <t>0</t>
        </is>
      </c>
      <c r="W112" s="96" t="inlineStr">
        <is>
          <t>F — No card</t>
        </is>
      </c>
      <c r="X112" s="96" t="inlineStr">
        <is>
          <t>N/M</t>
        </is>
      </c>
      <c r="Y112" s="96" t="inlineStr">
        <is>
          <t>None (consumer-only; no business lending)</t>
        </is>
      </c>
      <c r="Z112" s="96" t="inlineStr">
        <is>
          <t>Membership required (9 NorCal counties + SEGs; no open path)</t>
        </is>
      </c>
      <c r="AA112" s="96" t="inlineStr">
        <is>
          <t>Not a card source</t>
        </is>
      </c>
      <c r="AB112" s="96" t="inlineStr">
        <is>
          <t>None (consumer Visa only)</t>
        </is>
      </c>
      <c r="AC112" s="96" t="inlineStr">
        <is>
          <t>NorCal / Silicon Valley (Sunnyvale)</t>
        </is>
      </c>
      <c r="AD112" s="96" t="inlineStr">
        <is>
          <t>Sunnyvale, CA</t>
        </is>
      </c>
      <c r="AE112" s="96" t="inlineStr">
        <is>
          <t>CU</t>
        </is>
      </c>
      <c r="AF112" s="96" t="inlineStr">
        <is>
          <t>HIGH no-business-card (consumer-only; excludes corp/LLC). 2026-05-28</t>
        </is>
      </c>
      <c r="AG112" s="96" t="inlineStr">
        <is>
          <t>starone.org/borrow/credit-cards + who-can-join + sole-prop membership</t>
        </is>
      </c>
    </row>
    <row r="113" ht="15.75" customHeight="1">
      <c r="A113" s="96" t="inlineStr">
        <is>
          <t>110</t>
        </is>
      </c>
      <c r="B113" s="96" t="n"/>
      <c r="C113" s="96" t="inlineStr">
        <is>
          <t>First American Trust, FSB</t>
        </is>
      </c>
      <c r="D113" s="96" t="inlineStr">
        <is>
          <t>CA Bank</t>
        </is>
      </c>
      <c r="E113" s="96" t="inlineStr">
        <is>
          <t>★ Core SoCal</t>
        </is>
      </c>
      <c r="F113" s="96" t="inlineStr">
        <is>
          <t>1/4  ✗SUW ✗Onl ✓SoCal ✗Card</t>
        </is>
      </c>
      <c r="G113" s="96" t="inlineStr">
        <is>
          <t>—</t>
        </is>
      </c>
      <c r="H113" s="96" t="inlineStr">
        <is>
          <t>$8.32B</t>
        </is>
      </c>
      <c r="I113" s="96" t="inlineStr">
        <is>
          <t>$7.80B</t>
        </is>
      </c>
      <c r="J113" s="96" t="inlineStr">
        <is>
          <t>Santa Ana HQ (sole CA); trust/escrow/wealth; 10 branches nationwide</t>
        </is>
      </c>
      <c r="K113" s="96" t="inlineStr">
        <is>
          <t>CA-HQ'd</t>
        </is>
      </c>
      <c r="L113" s="96" t="inlineStr">
        <is>
          <t>—</t>
        </is>
      </c>
      <c r="M113" s="96" t="inlineStr">
        <is>
          <t>❌ No card (trust/escrow bank)</t>
        </is>
      </c>
      <c r="N113" s="96" t="inlineStr">
        <is>
          <t>None</t>
        </is>
      </c>
      <c r="O113" s="96" t="inlineStr">
        <is>
          <t>No</t>
        </is>
      </c>
      <c r="P113" s="96" t="inlineStr">
        <is>
          <t>— (no business card)</t>
        </is>
      </c>
      <c r="Q113" s="96" t="inlineStr">
        <is>
          <t>https://www.firstamtrust.com</t>
        </is>
      </c>
      <c r="R113" s="96" t="inlineStr">
        <is>
          <t>—</t>
        </is>
      </c>
      <c r="S113" s="96" t="inlineStr">
        <is>
          <t>N/M</t>
        </is>
      </c>
      <c r="T113" s="96" t="inlineStr">
        <is>
          <t>N/M</t>
        </is>
      </c>
      <c r="U113" s="96" t="inlineStr">
        <is>
          <t>N/M</t>
        </is>
      </c>
      <c r="V113" s="96" t="inlineStr">
        <is>
          <t>0</t>
        </is>
      </c>
      <c r="W113" s="96" t="inlineStr">
        <is>
          <t>F — No card</t>
        </is>
      </c>
      <c r="X113" s="96" t="inlineStr">
        <is>
          <t>N/M</t>
        </is>
      </c>
      <c r="Y113" s="96" t="inlineStr">
        <is>
          <t>None ('does not originate any real estate, commercial, or personal loans')</t>
        </is>
      </c>
      <c r="Z113" s="96" t="inlineStr">
        <is>
          <t>N/M (deposits restricted to title/escrow/wealth)</t>
        </is>
      </c>
      <c r="AA113" s="96" t="inlineStr">
        <is>
          <t>Not a card source</t>
        </is>
      </c>
      <c r="AB113" s="96" t="inlineStr">
        <is>
          <t>None</t>
        </is>
      </c>
      <c r="AC113" s="96" t="inlineStr">
        <is>
          <t>SoCal / Orange County</t>
        </is>
      </c>
      <c r="AD113" s="96" t="inlineStr">
        <is>
          <t>Santa Ana</t>
        </is>
      </c>
      <c r="AE113" s="96" t="inlineStr">
        <is>
          <t>12</t>
        </is>
      </c>
      <c r="AF113" s="96" t="inlineStr">
        <is>
          <t>HIGH no-card (own 'no loans' statement). 2026-05-28</t>
        </is>
      </c>
      <c r="AG113" s="96" t="inlineStr">
        <is>
          <t>firstamtrust.com/about-us + /banking-services; FDIC cert 26312</t>
        </is>
      </c>
    </row>
    <row r="114" ht="15.75" customHeight="1">
      <c r="A114" s="96" t="inlineStr">
        <is>
          <t>111</t>
        </is>
      </c>
      <c r="B114" s="96" t="n"/>
      <c r="C114" s="96" t="inlineStr">
        <is>
          <t>Mizrahi Tefahot Bank, Ltd. (UMTB USA)</t>
        </is>
      </c>
      <c r="D114" s="96" t="inlineStr">
        <is>
          <t>CA Bank</t>
        </is>
      </c>
      <c r="E114" s="96" t="inlineStr">
        <is>
          <t>★ Core SoCal</t>
        </is>
      </c>
      <c r="F114" s="96" t="inlineStr">
        <is>
          <t>1/4  ✗SUW ✗Onl ✓SoCal ✗Card</t>
        </is>
      </c>
      <c r="G114" s="96" t="inlineStr">
        <is>
          <t>—</t>
        </is>
      </c>
      <c r="H114" s="96" t="inlineStr">
        <is>
          <t>$6.84B</t>
        </is>
      </c>
      <c r="I114" s="96" t="inlineStr">
        <is>
          <t>$4.38B</t>
        </is>
      </c>
      <c r="J114" s="96" t="inlineStr">
        <is>
          <t>Single LA office; insured US branch of Israeli bank; wholesale/commercial</t>
        </is>
      </c>
      <c r="K114" s="96" t="inlineStr">
        <is>
          <t>CA-HQ'd</t>
        </is>
      </c>
      <c r="L114" s="96" t="inlineStr">
        <is>
          <t>—</t>
        </is>
      </c>
      <c r="M114" s="96" t="inlineStr">
        <is>
          <t>❌ No card (foreign-bank US branch)</t>
        </is>
      </c>
      <c r="N114" s="96" t="inlineStr">
        <is>
          <t>None</t>
        </is>
      </c>
      <c r="O114" s="96" t="inlineStr">
        <is>
          <t>No</t>
        </is>
      </c>
      <c r="P114" s="96" t="inlineStr">
        <is>
          <t>— (no business card)</t>
        </is>
      </c>
      <c r="Q114" s="96" t="inlineStr">
        <is>
          <t>https://www.umtbusa.com</t>
        </is>
      </c>
      <c r="R114" s="96" t="inlineStr">
        <is>
          <t>—</t>
        </is>
      </c>
      <c r="S114" s="96" t="inlineStr">
        <is>
          <t>N/M</t>
        </is>
      </c>
      <c r="T114" s="96" t="inlineStr">
        <is>
          <t>N/M</t>
        </is>
      </c>
      <c r="U114" s="96" t="inlineStr">
        <is>
          <t>N/M</t>
        </is>
      </c>
      <c r="V114" s="96" t="inlineStr">
        <is>
          <t>0</t>
        </is>
      </c>
      <c r="W114" s="96" t="inlineStr">
        <is>
          <t>F — No card</t>
        </is>
      </c>
      <c r="X114" s="96" t="inlineStr">
        <is>
          <t>N/M (commercial loans full underwriting)</t>
        </is>
      </c>
      <c r="Y114" s="96" t="inlineStr">
        <is>
          <t>None (venture debt/LOC/term fully underwritten)</t>
        </is>
      </c>
      <c r="Z114" s="96" t="inlineStr">
        <is>
          <t>N/M (commercial-only deposits)</t>
        </is>
      </c>
      <c r="AA114" s="96" t="inlineStr">
        <is>
          <t>Not a card source</t>
        </is>
      </c>
      <c r="AB114" s="96" t="inlineStr">
        <is>
          <t>None (Venture Debt, LOC, Term, Bridge, Construction + commercial deposits)</t>
        </is>
      </c>
      <c r="AC114" s="96" t="inlineStr">
        <is>
          <t>SoCal / LA</t>
        </is>
      </c>
      <c r="AD114" s="96" t="inlineStr">
        <is>
          <t>Los Angeles</t>
        </is>
      </c>
      <c r="AE114" s="96" t="inlineStr">
        <is>
          <t>17</t>
        </is>
      </c>
      <c r="AF114" s="96" t="inlineStr">
        <is>
          <t>HIGH no-card (wholesale foreign-bank branch). 2026-05-28</t>
        </is>
      </c>
      <c r="AG114" s="96" t="inlineStr">
        <is>
          <t>umtbusa.com; dfpi.ca.gov; FDIC cert 33661</t>
        </is>
      </c>
    </row>
    <row r="115" ht="15.75" customHeight="1">
      <c r="A115" s="96" t="inlineStr">
        <is>
          <t>112</t>
        </is>
      </c>
      <c r="B115" s="96" t="n"/>
      <c r="C115" s="96" t="inlineStr">
        <is>
          <t>Mission Federal Credit Union (Mission Fed)</t>
        </is>
      </c>
      <c r="D115" s="96" t="inlineStr">
        <is>
          <t>Credit Union</t>
        </is>
      </c>
      <c r="E115" s="96" t="inlineStr">
        <is>
          <t>★ Core SoCal</t>
        </is>
      </c>
      <c r="F115" s="96" t="inlineStr">
        <is>
          <t>1/4  ✗SUW ✗Onl ✓SoCal ✗Card</t>
        </is>
      </c>
      <c r="G115" s="96" t="inlineStr">
        <is>
          <t>—</t>
        </is>
      </c>
      <c r="H115" s="96" t="inlineStr">
        <is>
          <t>~$6.5B</t>
        </is>
      </c>
      <c r="I115" s="96" t="inlineStr">
        <is>
          <t>—</t>
        </is>
      </c>
      <c r="J115" s="96" t="inlineStr">
        <is>
          <t>HQ San Diego; ~$6.5B; ~34 branches (all San Diego County); 300K+ members</t>
        </is>
      </c>
      <c r="K115" s="96" t="inlineStr">
        <is>
          <t>CA-HQ'd</t>
        </is>
      </c>
      <c r="L115" s="96" t="inlineStr">
        <is>
          <t>—</t>
        </is>
      </c>
      <c r="M115" s="96" t="inlineStr">
        <is>
          <t>❌ No BUSINESS card (consumer Mastercards only; business = deposits only)</t>
        </is>
      </c>
      <c r="N115" s="96" t="inlineStr">
        <is>
          <t>Self (consumer cards; no business card)</t>
        </is>
      </c>
      <c r="O115" s="96" t="inlineStr">
        <is>
          <t>No</t>
        </is>
      </c>
      <c r="P115" s="96" t="inlineStr">
        <is>
          <t>— (no business card)</t>
        </is>
      </c>
      <c r="Q115" s="96" t="inlineStr">
        <is>
          <t>https://www.missionfed.com/credit-card-benefits/</t>
        </is>
      </c>
      <c r="R115" s="96" t="inlineStr">
        <is>
          <t>—</t>
        </is>
      </c>
      <c r="S115" s="96" t="inlineStr">
        <is>
          <t>N/M</t>
        </is>
      </c>
      <c r="T115" s="96" t="inlineStr">
        <is>
          <t>N/M</t>
        </is>
      </c>
      <c r="U115" s="96" t="inlineStr">
        <is>
          <t>Consumer-only: Preferred Platinum (0% 12mo purch+BT, 11.99-17.99%), Preferred Platinum Rewards, Premier World. No business card; no business loans/LOC marketed.</t>
        </is>
      </c>
      <c r="V115" s="96" t="inlineStr">
        <is>
          <t>0</t>
        </is>
      </c>
      <c r="W115" s="96" t="inlineStr">
        <is>
          <t>F — No card</t>
        </is>
      </c>
      <c r="X115" s="96" t="inlineStr">
        <is>
          <t>N/M (no business card)</t>
        </is>
      </c>
      <c r="Y115" s="96" t="inlineStr">
        <is>
          <t>None (business = checking + savings only; no business card/LOC)</t>
        </is>
      </c>
      <c r="Z115" s="96" t="inlineStr">
        <is>
          <t>Membership required (single-county: live/work/worship/school in San Diego County + family; NO nationwide path)</t>
        </is>
      </c>
      <c r="AA115" s="96" t="inlineStr">
        <is>
          <t>Not a card source</t>
        </is>
      </c>
      <c r="AB115" s="96" t="inlineStr">
        <is>
          <t>Consumer Mastercards only (Preferred Platinum / Rewards / Premier World)</t>
        </is>
      </c>
      <c r="AC115" s="96" t="inlineStr">
        <is>
          <t>SoCal / San Diego</t>
        </is>
      </c>
      <c r="AD115" s="96" t="inlineStr">
        <is>
          <t>San Diego</t>
        </is>
      </c>
      <c r="AE115" s="96" t="inlineStr">
        <is>
          <t>CU</t>
        </is>
      </c>
      <c r="AF115" s="96" t="inlineStr">
        <is>
          <t>HIGH no business card (consumer-only; business=deposits). Single-county FOM, no open path. 2026-05-29</t>
        </is>
      </c>
      <c r="AG115" s="96" t="inlineStr">
        <is>
          <t>missionfed.com/credit-card-benefits + /business + /checking-spending/business-checking; /membership</t>
        </is>
      </c>
    </row>
    <row r="116" ht="15.75" customHeight="1">
      <c r="A116" s="96" t="inlineStr">
        <is>
          <t>113</t>
        </is>
      </c>
      <c r="B116" s="96" t="n"/>
      <c r="C116" s="96" t="inlineStr">
        <is>
          <t>Wescom Credit Union</t>
        </is>
      </c>
      <c r="D116" s="96" t="inlineStr">
        <is>
          <t>Credit Union</t>
        </is>
      </c>
      <c r="E116" s="96" t="inlineStr">
        <is>
          <t>★ Core SoCal</t>
        </is>
      </c>
      <c r="F116" s="96" t="inlineStr">
        <is>
          <t>1/4  ✗SUW ✗Onl ✓SoCal ✗Card</t>
        </is>
      </c>
      <c r="G116" s="96" t="inlineStr">
        <is>
          <t>—</t>
        </is>
      </c>
      <c r="H116" s="96" t="inlineStr">
        <is>
          <t>~$6.3B</t>
        </is>
      </c>
      <c r="I116" s="96" t="inlineStr">
        <is>
          <t>—</t>
        </is>
      </c>
      <c r="J116" s="96" t="inlineStr">
        <is>
          <t>HQ Pasadena; consumer-only; SoCal + Central Coast; ~30 branches</t>
        </is>
      </c>
      <c r="K116" s="96" t="inlineStr">
        <is>
          <t>CA-HQ'd</t>
        </is>
      </c>
      <c r="L116" s="96" t="inlineStr">
        <is>
          <t>—</t>
        </is>
      </c>
      <c r="M116" s="96" t="inlineStr">
        <is>
          <t>❌ No business card (consumer-only CU; no business banking/lending)</t>
        </is>
      </c>
      <c r="N116" s="96" t="inlineStr">
        <is>
          <t>None (self-issues consumer cards)</t>
        </is>
      </c>
      <c r="O116" s="96" t="inlineStr">
        <is>
          <t>No</t>
        </is>
      </c>
      <c r="P116" s="96" t="inlineStr">
        <is>
          <t>— (no business card)</t>
        </is>
      </c>
      <c r="Q116" s="96" t="inlineStr">
        <is>
          <t>https://www.wescom.org/cards/credit-cards</t>
        </is>
      </c>
      <c r="R116" s="96" t="inlineStr">
        <is>
          <t>—</t>
        </is>
      </c>
      <c r="S116" s="96" t="inlineStr">
        <is>
          <t>N/M</t>
        </is>
      </c>
      <c r="T116" s="96" t="inlineStr">
        <is>
          <t>N/M</t>
        </is>
      </c>
      <c r="U116" s="96" t="inlineStr">
        <is>
          <t>N/M (no business card)</t>
        </is>
      </c>
      <c r="V116" s="96" t="inlineStr">
        <is>
          <t>0</t>
        </is>
      </c>
      <c r="W116" s="96" t="inlineStr">
        <is>
          <t>F — No card</t>
        </is>
      </c>
      <c r="X116" s="96" t="inlineStr">
        <is>
          <t>N/M</t>
        </is>
      </c>
      <c r="Y116" s="96" t="inlineStr">
        <is>
          <t>None (consumer-only; no business lending)</t>
        </is>
      </c>
      <c r="Z116" s="96" t="inlineStr">
        <is>
          <t>Membership required (SoCal + Central Coast; no open nationwide path)</t>
        </is>
      </c>
      <c r="AA116" s="96" t="inlineStr">
        <is>
          <t>Not a card source</t>
        </is>
      </c>
      <c r="AB116" s="96" t="inlineStr">
        <is>
          <t>None (consumer Visa only)</t>
        </is>
      </c>
      <c r="AC116" s="96" t="inlineStr">
        <is>
          <t>SoCal / Los Angeles (Pasadena)</t>
        </is>
      </c>
      <c r="AD116" s="96" t="inlineStr">
        <is>
          <t>Pasadena, CA</t>
        </is>
      </c>
      <c r="AE116" s="96" t="inlineStr">
        <is>
          <t>CU</t>
        </is>
      </c>
      <c r="AF116" s="96" t="inlineStr">
        <is>
          <t>HIGH no-business-card (consumer-only CU). 2026-05-28</t>
        </is>
      </c>
      <c r="AG116" s="96" t="inlineStr">
        <is>
          <t>wescom.org/cards + /loans (consumer-only); en.wikipedia.org</t>
        </is>
      </c>
    </row>
    <row r="117" ht="15.75" customHeight="1">
      <c r="A117" s="96" t="inlineStr">
        <is>
          <t>114</t>
        </is>
      </c>
      <c r="B117" s="96" t="n"/>
      <c r="C117" s="96" t="inlineStr">
        <is>
          <t>River City Bank</t>
        </is>
      </c>
      <c r="D117" s="96" t="inlineStr">
        <is>
          <t>CA Bank</t>
        </is>
      </c>
      <c r="E117" s="96" t="inlineStr">
        <is>
          <t>Other — NorCal</t>
        </is>
      </c>
      <c r="F117" s="96" t="inlineStr">
        <is>
          <t>0/4  ✗SUW ✗Onl ✗SoCal ✗Card</t>
        </is>
      </c>
      <c r="G117" s="96" t="inlineStr">
        <is>
          <t>—</t>
        </is>
      </c>
      <c r="H117" s="96" t="inlineStr">
        <is>
          <t>$6.05B</t>
        </is>
      </c>
      <c r="I117" s="96" t="inlineStr">
        <is>
          <t>$5.39B</t>
        </is>
      </c>
      <c r="J117" s="96" t="inlineStr">
        <is>
          <t>Sacramento metro (Citrus Heights, Davis, Elk Grove, Granite Bay, Placerville, Woodland)</t>
        </is>
      </c>
      <c r="K117" s="96" t="inlineStr">
        <is>
          <t>CA-HQ'd</t>
        </is>
      </c>
      <c r="L117" s="96" t="inlineStr">
        <is>
          <t>—</t>
        </is>
      </c>
      <c r="M117" s="96" t="inlineStr">
        <is>
          <t>⚠️ No consumer card (debit + commercial lending only)</t>
        </is>
      </c>
      <c r="N117" s="96" t="inlineStr">
        <is>
          <t>None (Sacramento entity)</t>
        </is>
      </c>
      <c r="O117" s="96" t="inlineStr">
        <is>
          <t>No</t>
        </is>
      </c>
      <c r="P117" s="96" t="inlineStr">
        <is>
          <t>— (no business card)</t>
        </is>
      </c>
      <c r="Q117" s="96" t="inlineStr">
        <is>
          <t>https://rivercitybank.com</t>
        </is>
      </c>
      <c r="R117" s="96" t="inlineStr">
        <is>
          <t>—</t>
        </is>
      </c>
      <c r="S117" s="96" t="inlineStr">
        <is>
          <t>N/M</t>
        </is>
      </c>
      <c r="T117" s="96" t="inlineStr">
        <is>
          <t>N/M</t>
        </is>
      </c>
      <c r="U117" s="96" t="inlineStr">
        <is>
          <t>N/M</t>
        </is>
      </c>
      <c r="V117" s="96" t="inlineStr">
        <is>
          <t>0</t>
        </is>
      </c>
      <c r="W117" s="96" t="inlineStr">
        <is>
          <t>F — No card</t>
        </is>
      </c>
      <c r="X117" s="96" t="inlineStr">
        <is>
          <t>N/M (commercial loans full underwriting)</t>
        </is>
      </c>
      <c r="Y117" s="96" t="inlineStr">
        <is>
          <t>None (Revolving/Non-Revolving LOC, Term, LCs, CRE - full-doc)</t>
        </is>
      </c>
      <c r="Z117" s="96" t="inlineStr">
        <is>
          <t>N/M</t>
        </is>
      </c>
      <c r="AA117" s="96" t="inlineStr">
        <is>
          <t>Not a card source</t>
        </is>
      </c>
      <c r="AB117" s="96" t="inlineStr">
        <is>
          <t>Business Debit Mastercard only ('Business Credit Card' is an unlinked heading)</t>
        </is>
      </c>
      <c r="AC117" s="96" t="inlineStr">
        <is>
          <t>NorCal / Sacramento</t>
        </is>
      </c>
      <c r="AD117" s="96" t="inlineStr">
        <is>
          <t>Sacramento</t>
        </is>
      </c>
      <c r="AE117" s="96" t="inlineStr">
        <is>
          <t>18</t>
        </is>
      </c>
      <c r="AF117" s="96" t="inlineStr">
        <is>
          <t>HIGH no-consumer-card. NOT rivercity.bank GA (ServisFirst cards) nor rivercitybankky.com. 2026-05-28</t>
        </is>
      </c>
      <c r="AG117" s="96" t="inlineStr">
        <is>
          <t>rivercitybank.com home + /commercial-lending + /business-debit-card</t>
        </is>
      </c>
    </row>
    <row r="118" ht="15.75" customHeight="1">
      <c r="A118" s="96" t="inlineStr">
        <is>
          <t>115</t>
        </is>
      </c>
      <c r="B118" s="96" t="n"/>
      <c r="C118" s="96" t="inlineStr">
        <is>
          <t>Heritage Bank of Commerce</t>
        </is>
      </c>
      <c r="D118" s="96" t="inlineStr">
        <is>
          <t>Regional</t>
        </is>
      </c>
      <c r="E118" s="96" t="inlineStr">
        <is>
          <t>Other — NorCal</t>
        </is>
      </c>
      <c r="F118" s="96" t="inlineStr">
        <is>
          <t>0/4  ✗SUW ✗Onl ✗SoCal ✗Card</t>
        </is>
      </c>
      <c r="G118" s="96" t="inlineStr">
        <is>
          <t>—</t>
        </is>
      </c>
      <c r="H118" s="96" t="inlineStr">
        <is>
          <t>~$5.6B (pre-merger)</t>
        </is>
      </c>
      <c r="I118" s="96" t="inlineStr">
        <is>
          <t>—</t>
        </is>
      </c>
      <c r="J118" s="96" t="inlineStr">
        <is>
          <t>HQ San Jose; merged into Citizens Business Bank Apr 17 2026; Bay Area business bank</t>
        </is>
      </c>
      <c r="K118" s="96" t="inlineStr">
        <is>
          <t>N/M</t>
        </is>
      </c>
      <c r="L118" s="96" t="inlineStr">
        <is>
          <t>—</t>
        </is>
      </c>
      <c r="M118" s="96" t="inlineStr">
        <is>
          <t>⚠️ MERGED into Citizens Business Bank (Apr 2026); no standalone card; successor card = Elan (see Citizens Business Bank row)</t>
        </is>
      </c>
      <c r="N118" s="96" t="inlineStr">
        <is>
          <t>(merged -&gt; Citizens Business Bank, Elan)</t>
        </is>
      </c>
      <c r="O118" s="96" t="inlineStr">
        <is>
          <t>No</t>
        </is>
      </c>
      <c r="P118" s="96" t="inlineStr">
        <is>
          <t>— (no business card)</t>
        </is>
      </c>
      <c r="Q118" s="96" t="inlineStr">
        <is>
          <t>https://heritagebankofcommerce.bank/</t>
        </is>
      </c>
      <c r="R118" s="96" t="inlineStr">
        <is>
          <t>—</t>
        </is>
      </c>
      <c r="S118" s="96" t="inlineStr">
        <is>
          <t>N/M</t>
        </is>
      </c>
      <c r="T118" s="96" t="inlineStr">
        <is>
          <t>N/M</t>
        </is>
      </c>
      <c r="U118" s="96" t="inlineStr">
        <is>
          <t>Merged into Citizens Business Bank (CVB Financial) Apr 17 2026.</t>
        </is>
      </c>
      <c r="V118" s="96" t="inlineStr">
        <is>
          <t>0</t>
        </is>
      </c>
      <c r="W118" s="96" t="inlineStr">
        <is>
          <t>F — No card</t>
        </is>
      </c>
      <c r="X118" s="96" t="inlineStr">
        <is>
          <t>N/M</t>
        </is>
      </c>
      <c r="Y118" s="96" t="inlineStr">
        <is>
          <t>None</t>
        </is>
      </c>
      <c r="Z118" s="96" t="inlineStr">
        <is>
          <t>N/M</t>
        </is>
      </c>
      <c r="AA118" s="96" t="inlineStr">
        <is>
          <t>Not a card source</t>
        </is>
      </c>
      <c r="AB118" s="96" t="inlineStr">
        <is>
          <t>None standalone (now Citizens Business Bank, Elan)</t>
        </is>
      </c>
      <c r="AC118" s="96" t="inlineStr">
        <is>
          <t>NorCal / Silicon Valley (San Jose) — now Citizens Business Bank</t>
        </is>
      </c>
      <c r="AD118" s="96" t="inlineStr">
        <is>
          <t>San Jose, CA</t>
        </is>
      </c>
      <c r="AE118" s="96" t="inlineStr">
        <is>
          <t>Reg</t>
        </is>
      </c>
      <c r="AF118" s="96" t="inlineStr">
        <is>
          <t>HIGH merged into Citizens Business Bank (Elan). No standalone card. 2026-05-28</t>
        </is>
      </c>
      <c r="AG118" s="96" t="inlineStr">
        <is>
          <t>heritagebankofcommerce.bank (now Citizens); cbbank.com/business-cards (Elan); SEC 10-K; CVB merger PR</t>
        </is>
      </c>
    </row>
    <row r="119" ht="15.75" customHeight="1">
      <c r="A119" s="96" t="inlineStr">
        <is>
          <t>116</t>
        </is>
      </c>
      <c r="B119" s="96" t="n"/>
      <c r="C119" s="96" t="inlineStr">
        <is>
          <t>CTBC Bank Corp. (USA)</t>
        </is>
      </c>
      <c r="D119" s="96" t="inlineStr">
        <is>
          <t>CA Bank</t>
        </is>
      </c>
      <c r="E119" s="96" t="inlineStr">
        <is>
          <t>★ Core SoCal</t>
        </is>
      </c>
      <c r="F119" s="96" t="inlineStr">
        <is>
          <t>1/4  ✗SUW ✗Onl ✓SoCal ✗Card</t>
        </is>
      </c>
      <c r="G119" s="96" t="inlineStr">
        <is>
          <t>—</t>
        </is>
      </c>
      <c r="H119" s="96" t="inlineStr">
        <is>
          <t>$5.37B</t>
        </is>
      </c>
      <c r="I119" s="96" t="inlineStr">
        <is>
          <t>$4.55B</t>
        </is>
      </c>
      <c r="J119" s="96" t="inlineStr">
        <is>
          <t>17 of 20 branches in CA; LA, SF, Irvine, Cupertino, SGV; CTBC Taiwan subsidiary</t>
        </is>
      </c>
      <c r="K119" s="96" t="inlineStr">
        <is>
          <t>CA-HQ'd</t>
        </is>
      </c>
      <c r="L119" s="96" t="inlineStr">
        <is>
          <t>—</t>
        </is>
      </c>
      <c r="M119" s="96" t="inlineStr">
        <is>
          <t>❌ No BUSINESS card (consumer-only via TCM)</t>
        </is>
      </c>
      <c r="N119" s="96" t="inlineStr">
        <is>
          <t>None for business (TCM issues its consumer cards)</t>
        </is>
      </c>
      <c r="O119" s="96" t="inlineStr">
        <is>
          <t>No</t>
        </is>
      </c>
      <c r="P119" s="96" t="inlineStr">
        <is>
          <t>— (no business card)</t>
        </is>
      </c>
      <c r="Q119" s="96" t="inlineStr">
        <is>
          <t>https://www.ctbcbankusa.com</t>
        </is>
      </c>
      <c r="R119" s="96" t="inlineStr">
        <is>
          <t>—</t>
        </is>
      </c>
      <c r="S119" s="96" t="inlineStr">
        <is>
          <t>N/M</t>
        </is>
      </c>
      <c r="T119" s="96" t="inlineStr">
        <is>
          <t>N/M</t>
        </is>
      </c>
      <c r="U119" s="96" t="inlineStr">
        <is>
          <t>N/M (no business card)</t>
        </is>
      </c>
      <c r="V119" s="96" t="inlineStr">
        <is>
          <t>0</t>
        </is>
      </c>
      <c r="W119" s="96" t="inlineStr">
        <is>
          <t>F — No card</t>
        </is>
      </c>
      <c r="X119" s="96" t="inlineStr">
        <is>
          <t>N/M</t>
        </is>
      </c>
      <c r="Y119" s="96" t="inlineStr">
        <is>
          <t>None (SBA/ABL/equipment/trade/CRE full-doc)</t>
        </is>
      </c>
      <c r="Z119" s="96" t="inlineStr">
        <is>
          <t>N/M</t>
        </is>
      </c>
      <c r="AA119" s="96" t="inlineStr">
        <is>
          <t>Not a card source</t>
        </is>
      </c>
      <c r="AB119" s="96" t="inlineStr">
        <is>
          <t>3 CONSUMER Visa cards (TCM); no business card</t>
        </is>
      </c>
      <c r="AC119" s="96" t="inlineStr">
        <is>
          <t>SoCal / LA</t>
        </is>
      </c>
      <c r="AD119" s="96" t="inlineStr">
        <is>
          <t>Los Angeles</t>
        </is>
      </c>
      <c r="AE119" s="96" t="inlineStr">
        <is>
          <t>22</t>
        </is>
      </c>
      <c r="AF119" s="96" t="inlineStr">
        <is>
          <t>HIGH no-business-card + TCM consumer issuer. 2026-05-28</t>
        </is>
      </c>
      <c r="AG119" s="96" t="inlineStr">
        <is>
          <t>ctbcbankusa.com/Consumer-Credit-Cards + /Commercial-Banking; tcmbank.com</t>
        </is>
      </c>
    </row>
    <row r="120" ht="15.75" customHeight="1">
      <c r="A120" s="96" t="inlineStr">
        <is>
          <t>117</t>
        </is>
      </c>
      <c r="B120" s="96" t="n"/>
      <c r="C120" s="96" t="inlineStr">
        <is>
          <t>Technology Credit Union (Tech CU)</t>
        </is>
      </c>
      <c r="D120" s="96" t="inlineStr">
        <is>
          <t>Credit Union</t>
        </is>
      </c>
      <c r="E120" s="96" t="inlineStr">
        <is>
          <t>Other — NorCal</t>
        </is>
      </c>
      <c r="F120" s="96" t="inlineStr">
        <is>
          <t>0/4  ✗SUW ✗Onl ✗SoCal ✗Card</t>
        </is>
      </c>
      <c r="G120" s="96" t="inlineStr">
        <is>
          <t>—</t>
        </is>
      </c>
      <c r="H120" s="96" t="inlineStr">
        <is>
          <t>~$4.8B</t>
        </is>
      </c>
      <c r="I120" s="96" t="inlineStr">
        <is>
          <t>—</t>
        </is>
      </c>
      <c r="J120" s="96" t="inlineStr">
        <is>
          <t>9 Bay Area branches + TX/ID; 15 CA counties FOM</t>
        </is>
      </c>
      <c r="K120" s="96" t="inlineStr">
        <is>
          <t>CA-HQ'd</t>
        </is>
      </c>
      <c r="L120" s="96" t="inlineStr">
        <is>
          <t>—</t>
        </is>
      </c>
      <c r="M120" s="96" t="inlineStr">
        <is>
          <t>❌ No business card (business = LOC / term / SBA only)</t>
        </is>
      </c>
      <c r="N120" s="96" t="inlineStr">
        <is>
          <t>None (self-issues personal cards)</t>
        </is>
      </c>
      <c r="O120" s="96" t="inlineStr">
        <is>
          <t>No</t>
        </is>
      </c>
      <c r="P120" s="96" t="inlineStr">
        <is>
          <t>— (no business card)</t>
        </is>
      </c>
      <c r="Q120" s="96" t="inlineStr">
        <is>
          <t>https://www.techcu.com/Business</t>
        </is>
      </c>
      <c r="R120" s="96" t="inlineStr">
        <is>
          <t>—</t>
        </is>
      </c>
      <c r="S120" s="96" t="inlineStr">
        <is>
          <t>N/M (Experian for personal)</t>
        </is>
      </c>
      <c r="T120" s="96" t="inlineStr">
        <is>
          <t>N/M</t>
        </is>
      </c>
      <c r="U120" s="96" t="inlineStr">
        <is>
          <t>N/M (no business card)</t>
        </is>
      </c>
      <c r="V120" s="96" t="inlineStr">
        <is>
          <t>0</t>
        </is>
      </c>
      <c r="W120" s="96" t="inlineStr">
        <is>
          <t>F — No card</t>
        </is>
      </c>
      <c r="X120" s="96" t="inlineStr">
        <is>
          <t>N/M</t>
        </is>
      </c>
      <c r="Y120" s="96" t="inlineStr">
        <is>
          <t>Working Capital LOC / Term / SBA = underwritten, not no-doc</t>
        </is>
      </c>
      <c r="Z120" s="96" t="inlineStr">
        <is>
          <t>Membership required (15 CA counties + tech employers + family)</t>
        </is>
      </c>
      <c r="AA120" s="96" t="inlineStr">
        <is>
          <t>Not a card source</t>
        </is>
      </c>
      <c r="AB120" s="96" t="inlineStr">
        <is>
          <t>None (business = LOC/term/SBA; consumer Visa only)</t>
        </is>
      </c>
      <c r="AC120" s="96" t="inlineStr">
        <is>
          <t>NorCal / Silicon Valley</t>
        </is>
      </c>
      <c r="AD120" s="96" t="inlineStr">
        <is>
          <t>San Jose, CA</t>
        </is>
      </c>
      <c r="AE120" s="96" t="inlineStr">
        <is>
          <t>CU</t>
        </is>
      </c>
      <c r="AF120" s="96" t="inlineStr">
        <is>
          <t>HIGH no-business-card (sitemap + business pages confirm). 2026-05-28</t>
        </is>
      </c>
      <c r="AG120" s="96" t="inlineStr">
        <is>
          <t>techcu.com/Business + /Small-Business-and-Commercial-Banking + /Sitemap; en.wikipedia.org</t>
        </is>
      </c>
    </row>
    <row r="121" ht="15.75" customHeight="1">
      <c r="A121" s="96" t="inlineStr">
        <is>
          <t>118</t>
        </is>
      </c>
      <c r="B121" s="96" t="n"/>
      <c r="C121" s="96" t="inlineStr">
        <is>
          <t>Commercial Bank of California</t>
        </is>
      </c>
      <c r="D121" s="96" t="inlineStr">
        <is>
          <t>CA Bank</t>
        </is>
      </c>
      <c r="E121" s="96" t="inlineStr">
        <is>
          <t>★ Core SoCal</t>
        </is>
      </c>
      <c r="F121" s="96" t="inlineStr">
        <is>
          <t>1/4  ✗SUW ✗Onl ✓SoCal ✗Card</t>
        </is>
      </c>
      <c r="G121" s="96" t="inlineStr">
        <is>
          <t>—</t>
        </is>
      </c>
      <c r="H121" s="96" t="inlineStr">
        <is>
          <t>$3.90B</t>
        </is>
      </c>
      <c r="I121" s="96" t="inlineStr">
        <is>
          <t>$3.39B</t>
        </is>
      </c>
      <c r="J121" s="96" t="inlineStr">
        <is>
          <t>~6 offices Orange County + Greater LA (Irvine, Costa Mesa, Anaheim, Santa Monica, LA)</t>
        </is>
      </c>
      <c r="K121" s="96" t="inlineStr">
        <is>
          <t>CA-HQ'd</t>
        </is>
      </c>
      <c r="L121" s="96" t="inlineStr">
        <is>
          <t>—</t>
        </is>
      </c>
      <c r="M121" s="96" t="inlineStr">
        <is>
          <t>❌ No card (merchant acquirer, not issuer)</t>
        </is>
      </c>
      <c r="N121" s="96" t="inlineStr">
        <is>
          <t>None (card acceptance, not issuance)</t>
        </is>
      </c>
      <c r="O121" s="96" t="inlineStr">
        <is>
          <t>No</t>
        </is>
      </c>
      <c r="P121" s="96" t="inlineStr">
        <is>
          <t>— (no business card)</t>
        </is>
      </c>
      <c r="Q121" s="96" t="inlineStr">
        <is>
          <t>https://cbcal.com</t>
        </is>
      </c>
      <c r="R121" s="96" t="inlineStr">
        <is>
          <t>—</t>
        </is>
      </c>
      <c r="S121" s="96" t="inlineStr">
        <is>
          <t>N/M</t>
        </is>
      </c>
      <c r="T121" s="96" t="inlineStr">
        <is>
          <t>N/M</t>
        </is>
      </c>
      <c r="U121" s="96" t="inlineStr">
        <is>
          <t>N/M</t>
        </is>
      </c>
      <c r="V121" s="96" t="inlineStr">
        <is>
          <t>0</t>
        </is>
      </c>
      <c r="W121" s="96" t="inlineStr">
        <is>
          <t>F — No card</t>
        </is>
      </c>
      <c r="X121" s="96" t="inlineStr">
        <is>
          <t>N/M</t>
        </is>
      </c>
      <c r="Y121" s="96" t="inlineStr">
        <is>
          <t>None (working-capital/ABL LOC, term, SBA PLP, USDA, equipment - underwritten)</t>
        </is>
      </c>
      <c r="Z121" s="96" t="inlineStr">
        <is>
          <t>N/M</t>
        </is>
      </c>
      <c r="AA121" s="96" t="inlineStr">
        <is>
          <t>Not a card source</t>
        </is>
      </c>
      <c r="AB121" s="96" t="inlineStr">
        <is>
          <t>None (merchant acquiring/processing only)</t>
        </is>
      </c>
      <c r="AC121" s="96" t="inlineStr">
        <is>
          <t>SoCal / Orange County</t>
        </is>
      </c>
      <c r="AD121" s="96" t="inlineStr">
        <is>
          <t>Irvine</t>
        </is>
      </c>
      <c r="AE121" s="96" t="inlineStr">
        <is>
          <t>29</t>
        </is>
      </c>
      <c r="AF121" s="96" t="inlineStr">
        <is>
          <t>HIGH no-card. Not Banc of California nor California Bank of Commerce. 2026-05-28</t>
        </is>
      </c>
      <c r="AG121" s="96" t="inlineStr">
        <is>
          <t>cbcal.com/business-lending + /payment-processing + /locations; FDIC cert 57417</t>
        </is>
      </c>
    </row>
    <row r="122" ht="15.75" customHeight="1">
      <c r="A122" s="96" t="inlineStr">
        <is>
          <t>119</t>
        </is>
      </c>
      <c r="B122" s="96" t="n"/>
      <c r="C122" s="96" t="inlineStr">
        <is>
          <t>Credit Union of Southern California (CU SoCal)</t>
        </is>
      </c>
      <c r="D122" s="96" t="inlineStr">
        <is>
          <t>Credit Union</t>
        </is>
      </c>
      <c r="E122" s="96" t="inlineStr">
        <is>
          <t>★ Core SoCal</t>
        </is>
      </c>
      <c r="F122" s="96" t="inlineStr">
        <is>
          <t>1/4  ✗SUW ✗Onl ✓SoCal ✗Card</t>
        </is>
      </c>
      <c r="G122" s="96" t="inlineStr">
        <is>
          <t>—</t>
        </is>
      </c>
      <c r="H122" s="96" t="inlineStr">
        <is>
          <t>~$3.7B</t>
        </is>
      </c>
      <c r="I122" s="96" t="inlineStr">
        <is>
          <t>—</t>
        </is>
      </c>
      <c r="J122" s="96" t="inlineStr">
        <is>
          <t>HQ Anaheim (OC); ~$3.7B; ~25 SoCal branches + Lake Havasu AZ; est 1954</t>
        </is>
      </c>
      <c r="K122" s="96" t="inlineStr">
        <is>
          <t>CA-HQ'd</t>
        </is>
      </c>
      <c r="L122" s="96" t="inlineStr">
        <is>
          <t>—</t>
        </is>
      </c>
      <c r="M122" s="96" t="inlineStr">
        <is>
          <t>❌ No BUSINESS card (consumer Visa only; 'may not be used for business purposes'); SELF-issued</t>
        </is>
      </c>
      <c r="N122" s="96" t="inlineStr">
        <is>
          <t>Self (consumer cards; no business card)</t>
        </is>
      </c>
      <c r="O122" s="96" t="inlineStr">
        <is>
          <t>No</t>
        </is>
      </c>
      <c r="P122" s="96" t="inlineStr">
        <is>
          <t>— (no business card)</t>
        </is>
      </c>
      <c r="Q122" s="96" t="inlineStr">
        <is>
          <t>https://www.cusocal.org/cards/credit-card/</t>
        </is>
      </c>
      <c r="R122" s="96" t="inlineStr">
        <is>
          <t>—</t>
        </is>
      </c>
      <c r="S122" s="96" t="inlineStr">
        <is>
          <t>N/M</t>
        </is>
      </c>
      <c r="T122" s="96" t="inlineStr">
        <is>
          <t>N/M (consumer cards report to personal bureaus)</t>
        </is>
      </c>
      <c r="U122" s="96" t="inlineStr">
        <is>
          <t>Consumer-only: Platinum Rewards, Topaz (0% 9mo on BT only), Share Secured. No business card.</t>
        </is>
      </c>
      <c r="V122" s="96" t="inlineStr">
        <is>
          <t>0</t>
        </is>
      </c>
      <c r="W122" s="96" t="inlineStr">
        <is>
          <t>F — No card</t>
        </is>
      </c>
      <c r="X122" s="96" t="inlineStr">
        <is>
          <t>N/M (no business card)</t>
        </is>
      </c>
      <c r="Y122" s="96" t="inlineStr">
        <is>
          <t>None (business banking = deposits + business loans; no business card)</t>
        </is>
      </c>
      <c r="Z122" s="96" t="inlineStr">
        <is>
          <t>Membership required (LA/OC/IE + Lake Havasu AZ + 500 SEGs; OPEN nationwide via complimentary nonprofit association)</t>
        </is>
      </c>
      <c r="AA122" s="96" t="inlineStr">
        <is>
          <t>Not a card source</t>
        </is>
      </c>
      <c r="AB122" s="96" t="inlineStr">
        <is>
          <t>Consumer Visa only (Platinum Rewards, Topaz, Share Secured) — explicitly NOT for business use</t>
        </is>
      </c>
      <c r="AC122" s="96" t="inlineStr">
        <is>
          <t>SoCal / LA-OC-Inland Empire</t>
        </is>
      </c>
      <c r="AD122" s="96" t="inlineStr">
        <is>
          <t>Anaheim</t>
        </is>
      </c>
      <c r="AE122" s="96" t="inlineStr">
        <is>
          <t>CU</t>
        </is>
      </c>
      <c r="AF122" s="96" t="inlineStr">
        <is>
          <t>HIGH no business card (cards explicitly consumer-only). Easy nationwide membership path noted. 2026-05-29</t>
        </is>
      </c>
      <c r="AG122" s="96" t="inlineStr">
        <is>
          <t>cusocal.org/cards/credit-card + cardholder agreement (consumer-only, self-issued); /business-banking (no card)</t>
        </is>
      </c>
    </row>
    <row r="123" ht="15.75" customHeight="1">
      <c r="A123" s="96" t="inlineStr">
        <is>
          <t>120</t>
        </is>
      </c>
      <c r="B123" s="96" t="n"/>
      <c r="C123" s="96" t="inlineStr">
        <is>
          <t>California Coast Credit Union</t>
        </is>
      </c>
      <c r="D123" s="96" t="inlineStr">
        <is>
          <t>Credit Union</t>
        </is>
      </c>
      <c r="E123" s="96" t="inlineStr">
        <is>
          <t>★ Core SoCal</t>
        </is>
      </c>
      <c r="F123" s="96" t="inlineStr">
        <is>
          <t>1/4  ✗SUW ✗Onl ✓SoCal ✗Card</t>
        </is>
      </c>
      <c r="G123" s="96" t="inlineStr">
        <is>
          <t>—</t>
        </is>
      </c>
      <c r="H123" s="96" t="inlineStr">
        <is>
          <t>~$3.36B</t>
        </is>
      </c>
      <c r="I123" s="96" t="inlineStr">
        <is>
          <t>—</t>
        </is>
      </c>
      <c r="J123" s="96" t="inlineStr">
        <is>
          <t>7 SoCal counties; ~26 branches</t>
        </is>
      </c>
      <c r="K123" s="96" t="inlineStr">
        <is>
          <t>CA-HQ'd</t>
        </is>
      </c>
      <c r="L123" s="96" t="inlineStr">
        <is>
          <t>—</t>
        </is>
      </c>
      <c r="M123" s="96" t="inlineStr">
        <is>
          <t>❌ No business card (consumer cards only; business = loans via NewtekOne)</t>
        </is>
      </c>
      <c r="N123" s="96" t="inlineStr">
        <is>
          <t>None (no business card)</t>
        </is>
      </c>
      <c r="O123" s="96" t="inlineStr">
        <is>
          <t>No</t>
        </is>
      </c>
      <c r="P123" s="96" t="inlineStr">
        <is>
          <t>— (no business card)</t>
        </is>
      </c>
      <c r="Q123" s="96" t="inlineStr">
        <is>
          <t>https://www.calcoastcu.org/business-home-page/business-services/</t>
        </is>
      </c>
      <c r="R123" s="96" t="inlineStr">
        <is>
          <t>—</t>
        </is>
      </c>
      <c r="S123" s="96" t="inlineStr">
        <is>
          <t>N/M</t>
        </is>
      </c>
      <c r="T123" s="96" t="inlineStr">
        <is>
          <t>N/M</t>
        </is>
      </c>
      <c r="U123" s="96" t="inlineStr">
        <is>
          <t>N/M (no business card)</t>
        </is>
      </c>
      <c r="V123" s="96" t="inlineStr">
        <is>
          <t>0</t>
        </is>
      </c>
      <c r="W123" s="96" t="inlineStr">
        <is>
          <t>F — No card</t>
        </is>
      </c>
      <c r="X123" s="96" t="inlineStr">
        <is>
          <t>N/M</t>
        </is>
      </c>
      <c r="Y123" s="96" t="inlineStr">
        <is>
          <t>Business loans via NewtekOne ($50K-$15M, LOC &lt;=$5M) — full-doc, not no-doc</t>
        </is>
      </c>
      <c r="Z123" s="96" t="inlineStr">
        <is>
          <t>Membership required (7 SoCal counties, $5)</t>
        </is>
      </c>
      <c r="AA123" s="96" t="inlineStr">
        <is>
          <t>Not a card source</t>
        </is>
      </c>
      <c r="AB123" s="96" t="inlineStr">
        <is>
          <t>None (business = NewtekOne loans; consumer cards only)</t>
        </is>
      </c>
      <c r="AC123" s="96" t="inlineStr">
        <is>
          <t>SoCal / San Diego (7-county FOM)</t>
        </is>
      </c>
      <c r="AD123" s="96" t="inlineStr">
        <is>
          <t>San Diego, CA</t>
        </is>
      </c>
      <c r="AE123" s="96" t="inlineStr">
        <is>
          <t>CU</t>
        </is>
      </c>
      <c r="AF123" s="96" t="inlineStr">
        <is>
          <t>HIGH no-business-card (3 product pages confirm). 2026-05-28</t>
        </is>
      </c>
      <c r="AG123" s="96" t="inlineStr">
        <is>
          <t>calcoastcu.org/business-services + /loans/business-loans + /credit-cards; en.wikipedia.org</t>
        </is>
      </c>
    </row>
    <row r="124" ht="15.75" customHeight="1">
      <c r="A124" s="96" t="inlineStr">
        <is>
          <t>121</t>
        </is>
      </c>
      <c r="B124" s="96" t="n"/>
      <c r="C124" s="96" t="inlineStr">
        <is>
          <t>El Dorado Savings Bank, F.S.B.</t>
        </is>
      </c>
      <c r="D124" s="96" t="inlineStr">
        <is>
          <t>CA Bank</t>
        </is>
      </c>
      <c r="E124" s="96" t="inlineStr">
        <is>
          <t>Other — NorCal</t>
        </is>
      </c>
      <c r="F124" s="96" t="inlineStr">
        <is>
          <t>0/4  ✗SUW ✗Onl ✗SoCal ✗Card</t>
        </is>
      </c>
      <c r="G124" s="96" t="inlineStr">
        <is>
          <t>—</t>
        </is>
      </c>
      <c r="H124" s="96" t="inlineStr">
        <is>
          <t>$2.47B</t>
        </is>
      </c>
      <c r="I124" s="96" t="inlineStr">
        <is>
          <t>$2.13B</t>
        </is>
      </c>
      <c r="J124" s="96" t="inlineStr">
        <is>
          <t>31 CA branches Greater Sacramento + Sierra/Eastern Sierra</t>
        </is>
      </c>
      <c r="K124" s="96" t="inlineStr">
        <is>
          <t>CA-HQ'd</t>
        </is>
      </c>
      <c r="L124" s="96" t="inlineStr">
        <is>
          <t>—</t>
        </is>
      </c>
      <c r="M124" s="96" t="inlineStr">
        <is>
          <t>❌ No card (thrift; debit only)</t>
        </is>
      </c>
      <c r="N124" s="96" t="inlineStr">
        <is>
          <t>None</t>
        </is>
      </c>
      <c r="O124" s="96" t="inlineStr">
        <is>
          <t>No</t>
        </is>
      </c>
      <c r="P124" s="96" t="inlineStr">
        <is>
          <t>— (no business card)</t>
        </is>
      </c>
      <c r="Q124" s="96" t="inlineStr">
        <is>
          <t>https://www.eldoradosavingsbank.com</t>
        </is>
      </c>
      <c r="R124" s="96" t="inlineStr">
        <is>
          <t>—</t>
        </is>
      </c>
      <c r="S124" s="96" t="inlineStr">
        <is>
          <t>N/M</t>
        </is>
      </c>
      <c r="T124" s="96" t="inlineStr">
        <is>
          <t>N/M</t>
        </is>
      </c>
      <c r="U124" s="96" t="inlineStr">
        <is>
          <t>N/M</t>
        </is>
      </c>
      <c r="V124" s="96" t="inlineStr">
        <is>
          <t>0</t>
        </is>
      </c>
      <c r="W124" s="96" t="inlineStr">
        <is>
          <t>F — No card</t>
        </is>
      </c>
      <c r="X124" s="96" t="inlineStr">
        <is>
          <t>N/M</t>
        </is>
      </c>
      <c r="Y124" s="96" t="inlineStr">
        <is>
          <t>None (lending is exclusively residential: Home Loans, Refi, HELOC)</t>
        </is>
      </c>
      <c r="Z124" s="96" t="inlineStr">
        <is>
          <t>N/M</t>
        </is>
      </c>
      <c r="AA124" s="96" t="inlineStr">
        <is>
          <t>Not a card source</t>
        </is>
      </c>
      <c r="AB124" s="96" t="inlineStr">
        <is>
          <t>Business Visa DEBIT only</t>
        </is>
      </c>
      <c r="AC124" s="96" t="inlineStr">
        <is>
          <t>NorCal / Sacramento (foothills)</t>
        </is>
      </c>
      <c r="AD124" s="96" t="inlineStr">
        <is>
          <t>Placerville</t>
        </is>
      </c>
      <c r="AE124" s="96" t="inlineStr">
        <is>
          <t>39</t>
        </is>
      </c>
      <c r="AF124" s="96" t="inlineStr">
        <is>
          <t>HIGH no-card (thrift; residential-only lending). 2026-05-28</t>
        </is>
      </c>
      <c r="AG124" s="96" t="inlineStr">
        <is>
          <t>eldoradosavingsbank.com/Business + /Lending; branchspot.com</t>
        </is>
      </c>
    </row>
    <row r="125" ht="15.75" customHeight="1">
      <c r="A125" s="96" t="inlineStr">
        <is>
          <t>122</t>
        </is>
      </c>
      <c r="B125" s="96" t="n"/>
      <c r="C125" s="96" t="inlineStr">
        <is>
          <t>Financial Partners Credit Union</t>
        </is>
      </c>
      <c r="D125" s="96" t="inlineStr">
        <is>
          <t>Credit Union</t>
        </is>
      </c>
      <c r="E125" s="96" t="inlineStr">
        <is>
          <t>★ Core SoCal</t>
        </is>
      </c>
      <c r="F125" s="96" t="inlineStr">
        <is>
          <t>1/4  ✗SUW ✗Onl ✓SoCal ✗Card</t>
        </is>
      </c>
      <c r="G125" s="96" t="inlineStr">
        <is>
          <t>—</t>
        </is>
      </c>
      <c r="H125" s="96" t="inlineStr">
        <is>
          <t>~$2.4B</t>
        </is>
      </c>
      <c r="I125" s="96" t="inlineStr">
        <is>
          <t>—</t>
        </is>
      </c>
      <c r="J125" s="96" t="inlineStr">
        <is>
          <t>HQ Downey (LA County); ~$2.3-2.5B; ~7 branches; LA/OC + Bay Area; Boeing-legacy SEGs</t>
        </is>
      </c>
      <c r="K125" s="96" t="inlineStr">
        <is>
          <t>CA-HQ'd</t>
        </is>
      </c>
      <c r="L125" s="96" t="inlineStr">
        <is>
          <t>—</t>
        </is>
      </c>
      <c r="M125" s="96" t="inlineStr">
        <is>
          <t>❌ No BUSINESS card (consumer Visa only; business = deposit accounts only)</t>
        </is>
      </c>
      <c r="N125" s="96" t="inlineStr">
        <is>
          <t>Self (consumer cards; no business card)</t>
        </is>
      </c>
      <c r="O125" s="96" t="inlineStr">
        <is>
          <t>No</t>
        </is>
      </c>
      <c r="P125" s="96" t="inlineStr">
        <is>
          <t>— (no business card)</t>
        </is>
      </c>
      <c r="Q125" s="96" t="inlineStr">
        <is>
          <t>https://fpcu.org/loans-credit/credit-cards</t>
        </is>
      </c>
      <c r="R125" s="96" t="inlineStr">
        <is>
          <t>—</t>
        </is>
      </c>
      <c r="S125" s="96" t="inlineStr">
        <is>
          <t>N/M</t>
        </is>
      </c>
      <c r="T125" s="96" t="inlineStr">
        <is>
          <t>N/M</t>
        </is>
      </c>
      <c r="U125" s="96" t="inlineStr">
        <is>
          <t>Consumer-only (Visa Platinum Rewards 0% 12mo purch+BT, 12.74-30.49%, $0 AF; Platinum; Savings Secured). No business card.</t>
        </is>
      </c>
      <c r="V125" s="96" t="inlineStr">
        <is>
          <t>0</t>
        </is>
      </c>
      <c r="W125" s="96" t="inlineStr">
        <is>
          <t>F — No card</t>
        </is>
      </c>
      <c r="X125" s="96" t="inlineStr">
        <is>
          <t>N/M</t>
        </is>
      </c>
      <c r="Y125" s="96" t="inlineStr">
        <is>
          <t>None (business = checking/savings only)</t>
        </is>
      </c>
      <c r="Z125" s="96" t="inlineStr">
        <is>
          <t>Membership required (LA/Orange/San Diego/Riverside counties + S.SF/Alameda + ~700 SEGs + family + AARP; OPEN nationwide via American Consumer Council)</t>
        </is>
      </c>
      <c r="AA125" s="96" t="inlineStr">
        <is>
          <t>Not a card source</t>
        </is>
      </c>
      <c r="AB125" s="96" t="inlineStr">
        <is>
          <t>Consumer Visa only (Platinum Rewards, Platinum, Savings Secured)</t>
        </is>
      </c>
      <c r="AC125" s="96" t="inlineStr">
        <is>
          <t>SoCal / LA</t>
        </is>
      </c>
      <c r="AD125" s="96" t="inlineStr">
        <is>
          <t>Downey</t>
        </is>
      </c>
      <c r="AE125" s="96" t="inlineStr">
        <is>
          <t>CU</t>
        </is>
      </c>
      <c r="AF125" s="96" t="inlineStr">
        <is>
          <t>HIGH no business card (personal Visa only; business=deposits). ACC nationwide path noted. 2026-05-29</t>
        </is>
      </c>
      <c r="AG125" s="96" t="inlineStr">
        <is>
          <t>fpcu.org/loans-credit/credit-cards + /checking-savings/business-accounts; depositaccounts.com</t>
        </is>
      </c>
    </row>
    <row r="126" ht="15.75" customHeight="1">
      <c r="A126" s="96" t="inlineStr">
        <is>
          <t>123</t>
        </is>
      </c>
      <c r="B126" s="96" t="n"/>
      <c r="C126" s="96" t="inlineStr">
        <is>
          <t>Arrowhead Credit Union</t>
        </is>
      </c>
      <c r="D126" s="96" t="inlineStr">
        <is>
          <t>Credit Union</t>
        </is>
      </c>
      <c r="E126" s="96" t="inlineStr">
        <is>
          <t>★ Core SoCal</t>
        </is>
      </c>
      <c r="F126" s="96" t="inlineStr">
        <is>
          <t>1/4  ✗SUW ✗Onl ✓SoCal ✗Card</t>
        </is>
      </c>
      <c r="G126" s="96" t="inlineStr">
        <is>
          <t>—</t>
        </is>
      </c>
      <c r="H126" s="96" t="inlineStr">
        <is>
          <t>~$2.31B</t>
        </is>
      </c>
      <c r="I126" s="96" t="inlineStr">
        <is>
          <t>—</t>
        </is>
      </c>
      <c r="J126" s="96" t="inlineStr">
        <is>
          <t>HQ Rancho Cucamonga (IE); ~$2.3B; ~20 branches; core FOM San Bernardino + Riverside</t>
        </is>
      </c>
      <c r="K126" s="96" t="inlineStr">
        <is>
          <t>CA-HQ'd</t>
        </is>
      </c>
      <c r="L126" s="96" t="inlineStr">
        <is>
          <t>—</t>
        </is>
      </c>
      <c r="M126" s="96" t="inlineStr">
        <is>
          <t>❌ No BUSINESS card (consumer Visa only; business = loans/SBA/CRE)</t>
        </is>
      </c>
      <c r="N126" s="96" t="inlineStr">
        <is>
          <t>Self (consumer cards; no business card)</t>
        </is>
      </c>
      <c r="O126" s="96" t="inlineStr">
        <is>
          <t>No</t>
        </is>
      </c>
      <c r="P126" s="96" t="inlineStr">
        <is>
          <t>— (no business card)</t>
        </is>
      </c>
      <c r="Q126" s="96" t="inlineStr">
        <is>
          <t>https://www.arrowheadcu.org/arrowhead-visa</t>
        </is>
      </c>
      <c r="R126" s="96" t="inlineStr">
        <is>
          <t>—</t>
        </is>
      </c>
      <c r="S126" s="96" t="inlineStr">
        <is>
          <t>N/M (free Experian/FICO score to cardholders)</t>
        </is>
      </c>
      <c r="T126" s="96" t="inlineStr">
        <is>
          <t>N/M</t>
        </is>
      </c>
      <c r="U126" s="96" t="inlineStr">
        <is>
          <t>Consumer-only Visa (no 0% intro; 13.49-17.25%; $0 AF; $0 BT/CA fees). No business card.</t>
        </is>
      </c>
      <c r="V126" s="96" t="inlineStr">
        <is>
          <t>0</t>
        </is>
      </c>
      <c r="W126" s="96" t="inlineStr">
        <is>
          <t>F — No card</t>
        </is>
      </c>
      <c r="X126" s="96" t="inlineStr">
        <is>
          <t>N/M</t>
        </is>
      </c>
      <c r="Y126" s="96" t="inlineStr">
        <is>
          <t>None (business = SBA/CRE up to ~$5M/equipment/investment-property full-doc)</t>
        </is>
      </c>
      <c r="Z126" s="96" t="inlineStr">
        <is>
          <t>Membership required (Riverside + San Bernardino counties, 17 S-LA-County cities, AZ/NV areas + family; association path via Surfrider/Community Impact Fund — Arrowhead pays fee)</t>
        </is>
      </c>
      <c r="AA126" s="96" t="inlineStr">
        <is>
          <t>Not a card source</t>
        </is>
      </c>
      <c r="AB126" s="96" t="inlineStr">
        <is>
          <t>Consumer Visa only (Arrowhead Visa, Share-Secured Visa)</t>
        </is>
      </c>
      <c r="AC126" s="96" t="inlineStr">
        <is>
          <t>SoCal / Inland Empire</t>
        </is>
      </c>
      <c r="AD126" s="96" t="inlineStr">
        <is>
          <t>Rancho Cucamonga</t>
        </is>
      </c>
      <c r="AE126" s="96" t="inlineStr">
        <is>
          <t>CU</t>
        </is>
      </c>
      <c r="AF126" s="96" t="inlineStr">
        <is>
          <t>HIGH no business card (consumer-only; business=loans). Association membership path noted. 2026-05-29</t>
        </is>
      </c>
      <c r="AG126" s="96" t="inlineStr">
        <is>
          <t>arrowheadcu.org/arrowhead-visa + /loans/business + /eligibility (Surfrider/CIF path)</t>
        </is>
      </c>
    </row>
    <row r="127" ht="15.75" customHeight="1">
      <c r="A127" s="96" t="inlineStr">
        <is>
          <t>124</t>
        </is>
      </c>
      <c r="B127" s="96" t="n"/>
      <c r="C127" s="96" t="inlineStr">
        <is>
          <t>US Metro Bank</t>
        </is>
      </c>
      <c r="D127" s="96" t="inlineStr">
        <is>
          <t>CA Bank</t>
        </is>
      </c>
      <c r="E127" s="96" t="inlineStr">
        <is>
          <t>★ Core SoCal</t>
        </is>
      </c>
      <c r="F127" s="96" t="inlineStr">
        <is>
          <t>1/4  ✗SUW ✗Onl ✓SoCal ✗Card</t>
        </is>
      </c>
      <c r="G127" s="96" t="inlineStr">
        <is>
          <t>—</t>
        </is>
      </c>
      <c r="H127" s="96" t="inlineStr">
        <is>
          <t>$1.56B</t>
        </is>
      </c>
      <c r="I127" s="96" t="inlineStr">
        <is>
          <t>$1.36B</t>
        </is>
      </c>
      <c r="J127" s="96" t="inlineStr">
        <is>
          <t>Garden Grove HQ; Anaheim, LA x3, Buena Park, Torrance; Korean-American</t>
        </is>
      </c>
      <c r="K127" s="96" t="inlineStr">
        <is>
          <t>CA-HQ'd</t>
        </is>
      </c>
      <c r="L127" s="96" t="inlineStr">
        <is>
          <t>—</t>
        </is>
      </c>
      <c r="M127" s="96" t="inlineStr">
        <is>
          <t>❌ No card (debit only)</t>
        </is>
      </c>
      <c r="N127" s="96" t="inlineStr">
        <is>
          <t>None</t>
        </is>
      </c>
      <c r="O127" s="96" t="inlineStr">
        <is>
          <t>No</t>
        </is>
      </c>
      <c r="P127" s="96" t="inlineStr">
        <is>
          <t>— (no business card)</t>
        </is>
      </c>
      <c r="Q127" s="96" t="inlineStr">
        <is>
          <t>https://www.usmetrobank.com</t>
        </is>
      </c>
      <c r="R127" s="96" t="inlineStr">
        <is>
          <t>—</t>
        </is>
      </c>
      <c r="S127" s="96" t="inlineStr">
        <is>
          <t>N/M</t>
        </is>
      </c>
      <c r="T127" s="96" t="inlineStr">
        <is>
          <t>N/M</t>
        </is>
      </c>
      <c r="U127" s="96" t="inlineStr">
        <is>
          <t>N/M</t>
        </is>
      </c>
      <c r="V127" s="96" t="inlineStr">
        <is>
          <t>0</t>
        </is>
      </c>
      <c r="W127" s="96" t="inlineStr">
        <is>
          <t>F — No card</t>
        </is>
      </c>
      <c r="X127" s="96" t="inlineStr">
        <is>
          <t>N/M</t>
        </is>
      </c>
      <c r="Y127" s="96" t="inlineStr">
        <is>
          <t>Business LOC + Term Loans 'simple documentation' (no stated no-tax-return policy); SBA PLP full-doc</t>
        </is>
      </c>
      <c r="Z127" s="96" t="inlineStr">
        <is>
          <t>N/M</t>
        </is>
      </c>
      <c r="AA127" s="96" t="inlineStr">
        <is>
          <t>Not a card source</t>
        </is>
      </c>
      <c r="AB127" s="96" t="inlineStr">
        <is>
          <t>MasterCard DEBIT only (no credit card; no CFPB agreement)</t>
        </is>
      </c>
      <c r="AC127" s="96" t="inlineStr">
        <is>
          <t>SoCal / Orange County</t>
        </is>
      </c>
      <c r="AD127" s="96" t="inlineStr">
        <is>
          <t>Garden Grove</t>
        </is>
      </c>
      <c r="AE127" s="96" t="inlineStr">
        <is>
          <t>48</t>
        </is>
      </c>
      <c r="AF127" s="96" t="inlineStr">
        <is>
          <t>HIGH no-card (own nav, no CFPB agreement). 2026-05-28</t>
        </is>
      </c>
      <c r="AG127" s="96" t="inlineStr">
        <is>
          <t>usmetrobank.com/banking-services + /business-loans; consumerfinance.gov (no agreement)</t>
        </is>
      </c>
    </row>
    <row r="128" ht="15.75" customHeight="1">
      <c r="A128" s="96" t="inlineStr">
        <is>
          <t>125</t>
        </is>
      </c>
      <c r="B128" s="96" t="n"/>
      <c r="C128" s="96" t="inlineStr">
        <is>
          <t>Frontwave Credit Union</t>
        </is>
      </c>
      <c r="D128" s="96" t="inlineStr">
        <is>
          <t>Credit Union</t>
        </is>
      </c>
      <c r="E128" s="96" t="inlineStr">
        <is>
          <t>★ Core SoCal</t>
        </is>
      </c>
      <c r="F128" s="96" t="inlineStr">
        <is>
          <t>1/4  ✗SUW ✗Onl ✓SoCal ✗Card</t>
        </is>
      </c>
      <c r="G128" s="96" t="inlineStr">
        <is>
          <t>—</t>
        </is>
      </c>
      <c r="H128" s="96" t="inlineStr">
        <is>
          <t>~$1.5B</t>
        </is>
      </c>
      <c r="I128" s="96" t="inlineStr">
        <is>
          <t>—</t>
        </is>
      </c>
      <c r="J128" s="96" t="inlineStr">
        <is>
          <t>HQ Oceanside; ~$1.5B (post Community Valley Bank acq 2025); ~13 branches; North County SD + IE; ex-Pacific Marine CU</t>
        </is>
      </c>
      <c r="K128" s="96" t="inlineStr">
        <is>
          <t>CA-HQ'd</t>
        </is>
      </c>
      <c r="L128" s="96" t="inlineStr">
        <is>
          <t>—</t>
        </is>
      </c>
      <c r="M128" s="96" t="inlineStr">
        <is>
          <t>❌ No BUSINESS card (consumer Visa only; business = loans/LOC)</t>
        </is>
      </c>
      <c r="N128" s="96" t="inlineStr">
        <is>
          <t>Self (consumer cards; no business card)</t>
        </is>
      </c>
      <c r="O128" s="96" t="inlineStr">
        <is>
          <t>No</t>
        </is>
      </c>
      <c r="P128" s="96" t="inlineStr">
        <is>
          <t>— (no business card)</t>
        </is>
      </c>
      <c r="Q128" s="96" t="inlineStr">
        <is>
          <t>https://www.frontwavecu.com</t>
        </is>
      </c>
      <c r="R128" s="96" t="inlineStr">
        <is>
          <t>—</t>
        </is>
      </c>
      <c r="S128" s="96" t="inlineStr">
        <is>
          <t>N/M</t>
        </is>
      </c>
      <c r="T128" s="96" t="inlineStr">
        <is>
          <t>N/M</t>
        </is>
      </c>
      <c r="U128" s="96" t="inlineStr">
        <is>
          <t>Consumer-only Visa (Classic/Platinum/Signature Rewards/Secured). No business credit card found.</t>
        </is>
      </c>
      <c r="V128" s="96" t="inlineStr">
        <is>
          <t>0</t>
        </is>
      </c>
      <c r="W128" s="96" t="inlineStr">
        <is>
          <t>F — No card</t>
        </is>
      </c>
      <c r="X128" s="96" t="inlineStr">
        <is>
          <t>N/M</t>
        </is>
      </c>
      <c r="Y128" s="96" t="inlineStr">
        <is>
          <t>Unsecured Business LOC $5K-$250K (collateral-free, but NOT no-doc) + secured BLOC/equipment/CRE</t>
        </is>
      </c>
      <c r="Z128" s="96" t="inlineStr">
        <is>
          <t>Membership required (San Diego/Riverside/San Bernardino[/Imperial] counties + family; military/community; NO nationwide path; business acct in-person, $1,500 min)</t>
        </is>
      </c>
      <c r="AA128" s="96" t="inlineStr">
        <is>
          <t>Not a card source</t>
        </is>
      </c>
      <c r="AB128" s="96" t="inlineStr">
        <is>
          <t>Consumer Visa only; business = loans/LOC (incl. unsecured BLOC $5K-$250K)</t>
        </is>
      </c>
      <c r="AC128" s="96" t="inlineStr">
        <is>
          <t>SoCal / San Diego (+ Inland Empire)</t>
        </is>
      </c>
      <c r="AD128" s="96" t="inlineStr">
        <is>
          <t>Oceanside</t>
        </is>
      </c>
      <c r="AE128" s="96" t="inlineStr">
        <is>
          <t>CU</t>
        </is>
      </c>
      <c r="AF128" s="96" t="inlineStr">
        <is>
          <t>MED-HIGH no business CARD (consumer-only; site PDFs Cloudflare-blocked); unsecured BLOC $5K-$250K noted. 2026-05-29</t>
        </is>
      </c>
      <c r="AG128" s="96" t="inlineStr">
        <is>
          <t>frontwavecu.com/business-banking + /Business/Borrow/Business-Line-of-Credit; en.wikipedia.org</t>
        </is>
      </c>
    </row>
    <row r="129" ht="15.75" customHeight="1">
      <c r="A129" s="96" t="inlineStr">
        <is>
          <t>126</t>
        </is>
      </c>
      <c r="B129" s="96" t="n"/>
      <c r="C129" s="96" t="inlineStr">
        <is>
          <t>Malaga Bank F.S.B.</t>
        </is>
      </c>
      <c r="D129" s="96" t="inlineStr">
        <is>
          <t>CA Bank</t>
        </is>
      </c>
      <c r="E129" s="96" t="inlineStr">
        <is>
          <t>★ Core SoCal</t>
        </is>
      </c>
      <c r="F129" s="96" t="inlineStr">
        <is>
          <t>1/4  ✗SUW ✗Onl ✓SoCal ✗Card</t>
        </is>
      </c>
      <c r="G129" s="96" t="inlineStr">
        <is>
          <t>—</t>
        </is>
      </c>
      <c r="H129" s="96" t="inlineStr">
        <is>
          <t>$1.44B</t>
        </is>
      </c>
      <c r="I129" s="96" t="inlineStr">
        <is>
          <t>$0.94B</t>
        </is>
      </c>
      <c r="J129" s="96" t="inlineStr">
        <is>
          <t>South Bay Los Angeles since 1985</t>
        </is>
      </c>
      <c r="K129" s="96" t="inlineStr">
        <is>
          <t>CA-HQ'd</t>
        </is>
      </c>
      <c r="L129" s="96" t="inlineStr">
        <is>
          <t>—</t>
        </is>
      </c>
      <c r="M129" s="96" t="inlineStr">
        <is>
          <t>❌ No card (CRE thrift; debit only)</t>
        </is>
      </c>
      <c r="N129" s="96" t="inlineStr">
        <is>
          <t>None</t>
        </is>
      </c>
      <c r="O129" s="96" t="inlineStr">
        <is>
          <t>No</t>
        </is>
      </c>
      <c r="P129" s="96" t="inlineStr">
        <is>
          <t>— (no business card)</t>
        </is>
      </c>
      <c r="Q129" s="96" t="inlineStr">
        <is>
          <t>https://www.malagabank.com</t>
        </is>
      </c>
      <c r="R129" s="96" t="inlineStr">
        <is>
          <t>—</t>
        </is>
      </c>
      <c r="S129" s="96" t="inlineStr">
        <is>
          <t>N/M</t>
        </is>
      </c>
      <c r="T129" s="96" t="inlineStr">
        <is>
          <t>N/M</t>
        </is>
      </c>
      <c r="U129" s="96" t="inlineStr">
        <is>
          <t>N/M</t>
        </is>
      </c>
      <c r="V129" s="96" t="inlineStr">
        <is>
          <t>0</t>
        </is>
      </c>
      <c r="W129" s="96" t="inlineStr">
        <is>
          <t>F — No card</t>
        </is>
      </c>
      <c r="X129" s="96" t="inlineStr">
        <is>
          <t>N/M</t>
        </is>
      </c>
      <c r="Y129" s="96" t="inlineStr">
        <is>
          <t>Secured lending $10K-$2M+ (working capital/equipment/CRE); doc reqs undisclosed; no-doc not advertised</t>
        </is>
      </c>
      <c r="Z129" s="96" t="inlineStr">
        <is>
          <t>N/M</t>
        </is>
      </c>
      <c r="AA129" s="96" t="inlineStr">
        <is>
          <t>Not a card source</t>
        </is>
      </c>
      <c r="AB129" s="96" t="inlineStr">
        <is>
          <t>Business Visa DEBIT only</t>
        </is>
      </c>
      <c r="AC129" s="96" t="inlineStr">
        <is>
          <t>SoCal / LA (South Bay)</t>
        </is>
      </c>
      <c r="AD129" s="96" t="inlineStr">
        <is>
          <t>Palos Verdes Peninsula</t>
        </is>
      </c>
      <c r="AE129" s="96" t="inlineStr">
        <is>
          <t>49</t>
        </is>
      </c>
      <c r="AF129" s="96" t="inlineStr">
        <is>
          <t>HIGH no-card (CRE thrift, debit-only). 2026-05-28</t>
        </is>
      </c>
      <c r="AG129" s="96" t="inlineStr">
        <is>
          <t>malagabank.com/business-banking-services + /business-loans</t>
        </is>
      </c>
    </row>
    <row r="130" ht="15.75" customHeight="1">
      <c r="A130" s="96" t="inlineStr">
        <is>
          <t>127</t>
        </is>
      </c>
      <c r="B130" s="96" t="n"/>
      <c r="C130" s="96" t="inlineStr">
        <is>
          <t>The Bank of New York Mellon Trust Company, N.A.</t>
        </is>
      </c>
      <c r="D130" s="96" t="inlineStr">
        <is>
          <t>CA Bank</t>
        </is>
      </c>
      <c r="E130" s="96" t="inlineStr">
        <is>
          <t>★ Core SoCal</t>
        </is>
      </c>
      <c r="F130" s="96" t="inlineStr">
        <is>
          <t>1/4  ✗SUW ✗Onl ✓SoCal ✗Card</t>
        </is>
      </c>
      <c r="G130" s="96" t="inlineStr">
        <is>
          <t>—</t>
        </is>
      </c>
      <c r="H130" s="96" t="inlineStr">
        <is>
          <t>$1.39B</t>
        </is>
      </c>
      <c r="I130" s="96" t="inlineStr">
        <is>
          <t>N/M</t>
        </is>
      </c>
      <c r="J130" s="96" t="inlineStr">
        <is>
          <t>HQ 333 S Hope St, LA; OCC-chartered trust/custody bank; trust offices, not retail branches</t>
        </is>
      </c>
      <c r="K130" s="96" t="inlineStr">
        <is>
          <t>CA-HQ'd</t>
        </is>
      </c>
      <c r="L130" s="96" t="inlineStr">
        <is>
          <t>—</t>
        </is>
      </c>
      <c r="M130" s="96" t="inlineStr">
        <is>
          <t>❌ No card (corporate trust/custody charter; no public lending)</t>
        </is>
      </c>
      <c r="N130" s="96" t="inlineStr">
        <is>
          <t>None</t>
        </is>
      </c>
      <c r="O130" s="96" t="inlineStr">
        <is>
          <t>No</t>
        </is>
      </c>
      <c r="P130" s="96" t="inlineStr">
        <is>
          <t>— (no business card)</t>
        </is>
      </c>
      <c r="Q130" s="96" t="inlineStr">
        <is>
          <t>https://www.bnymellon.com</t>
        </is>
      </c>
      <c r="R130" s="96" t="inlineStr">
        <is>
          <t>—</t>
        </is>
      </c>
      <c r="S130" s="96" t="inlineStr">
        <is>
          <t>N/M</t>
        </is>
      </c>
      <c r="T130" s="96" t="inlineStr">
        <is>
          <t>N/M</t>
        </is>
      </c>
      <c r="U130" s="96" t="inlineStr">
        <is>
          <t>N/M (fiduciary/securitization-trustee entity, not a card issuer)</t>
        </is>
      </c>
      <c r="V130" s="96" t="inlineStr">
        <is>
          <t>0</t>
        </is>
      </c>
      <c r="W130" s="96" t="inlineStr">
        <is>
          <t>F — No card</t>
        </is>
      </c>
      <c r="X130" s="96" t="inlineStr">
        <is>
          <t>N/M</t>
        </is>
      </c>
      <c r="Y130" s="96" t="inlineStr">
        <is>
          <t>None (no public-facing lending of any kind)</t>
        </is>
      </c>
      <c r="Z130" s="96" t="inlineStr">
        <is>
          <t>N/M</t>
        </is>
      </c>
      <c r="AA130" s="96" t="inlineStr">
        <is>
          <t>Not a card source</t>
        </is>
      </c>
      <c r="AB130" s="96" t="inlineStr">
        <is>
          <t>None (corporate trust / custody / indenture-trustee services)</t>
        </is>
      </c>
      <c r="AC130" s="96" t="inlineStr">
        <is>
          <t>SoCal / LA</t>
        </is>
      </c>
      <c r="AD130" s="96" t="inlineStr">
        <is>
          <t>Los Angeles</t>
        </is>
      </c>
      <c r="AE130" s="96" t="inlineStr">
        <is>
          <t>52</t>
        </is>
      </c>
      <c r="AF130" s="96" t="inlineStr">
        <is>
          <t>HIGH no-card (limited-purpose trust charter; LA HQ). 2026-05-29</t>
        </is>
      </c>
      <c r="AG130" s="96" t="inlineStr">
        <is>
          <t>FDIC cert 23472; ffiec.gov NPW profile 398668; bankbranchlocator.com (LA office)</t>
        </is>
      </c>
    </row>
    <row r="131" ht="15.75" customHeight="1">
      <c r="A131" s="96" t="inlineStr">
        <is>
          <t>128</t>
        </is>
      </c>
      <c r="B131" s="96" t="n"/>
      <c r="C131" s="96" t="inlineStr">
        <is>
          <t>Column National Association</t>
        </is>
      </c>
      <c r="D131" s="96" t="inlineStr">
        <is>
          <t>CA Bank</t>
        </is>
      </c>
      <c r="E131" s="96" t="inlineStr">
        <is>
          <t>Other — NorCal</t>
        </is>
      </c>
      <c r="F131" s="96" t="inlineStr">
        <is>
          <t>0/4  ✗SUW ✗Onl ✗SoCal ✗Card</t>
        </is>
      </c>
      <c r="G131" s="96" t="inlineStr">
        <is>
          <t>—</t>
        </is>
      </c>
      <c r="H131" s="96" t="inlineStr">
        <is>
          <t>$1.39B</t>
        </is>
      </c>
      <c r="I131" s="96" t="inlineStr">
        <is>
          <t>N/M</t>
        </is>
      </c>
      <c r="J131" s="96" t="inlineStr">
        <is>
          <t>HQ Chico; nationally-chartered BaaS bank (founded 2021 by Plaid co-founder); no retail branches</t>
        </is>
      </c>
      <c r="K131" s="96" t="inlineStr">
        <is>
          <t>CA-HQ'd</t>
        </is>
      </c>
      <c r="L131" s="96" t="inlineStr">
        <is>
          <t>—</t>
        </is>
      </c>
      <c r="M131" s="96" t="inlineStr">
        <is>
          <t>❌ No card (BaaS sponsor bank; serves fintechs, not end-businesses)</t>
        </is>
      </c>
      <c r="N131" s="96" t="inlineStr">
        <is>
          <t>None (sponsors fintech card programs; not a direct issuer to businesses)</t>
        </is>
      </c>
      <c r="O131" s="96" t="inlineStr">
        <is>
          <t>No</t>
        </is>
      </c>
      <c r="P131" s="96" t="inlineStr">
        <is>
          <t>— (no business card)</t>
        </is>
      </c>
      <c r="Q131" s="96" t="inlineStr">
        <is>
          <t>https://column.com</t>
        </is>
      </c>
      <c r="R131" s="96" t="inlineStr">
        <is>
          <t>—</t>
        </is>
      </c>
      <c r="S131" s="96" t="inlineStr">
        <is>
          <t>N/M</t>
        </is>
      </c>
      <c r="T131" s="96" t="inlineStr">
        <is>
          <t>N/M</t>
        </is>
      </c>
      <c r="U131" s="96" t="inlineStr">
        <is>
          <t>N/M (developer-infrastructure / banking-as-a-service)</t>
        </is>
      </c>
      <c r="V131" s="96" t="inlineStr">
        <is>
          <t>0</t>
        </is>
      </c>
      <c r="W131" s="96" t="inlineStr">
        <is>
          <t>F — No card</t>
        </is>
      </c>
      <c r="X131" s="96" t="inlineStr">
        <is>
          <t>N/M</t>
        </is>
      </c>
      <c r="Y131" s="96" t="inlineStr">
        <is>
          <t>None direct (provides lending/issuing rails to fintech partners e.g. Mercury/Brex/Ramp — those are partner products)</t>
        </is>
      </c>
      <c r="Z131" s="96" t="inlineStr">
        <is>
          <t>N/M</t>
        </is>
      </c>
      <c r="AA131" s="96" t="inlineStr">
        <is>
          <t>Not a card source</t>
        </is>
      </c>
      <c r="AB131" s="96" t="inlineStr">
        <is>
          <t>None to end-businesses (BaaS rails: accounts, ACH/wire/FedNow, card-issuing infrastructure for fintechs)</t>
        </is>
      </c>
      <c r="AC131" s="96" t="inlineStr">
        <is>
          <t>NorCal / Sacramento (Chico)</t>
        </is>
      </c>
      <c r="AD131" s="96" t="inlineStr">
        <is>
          <t>Chico</t>
        </is>
      </c>
      <c r="AE131" s="96" t="inlineStr">
        <is>
          <t>53</t>
        </is>
      </c>
      <c r="AF131" s="96" t="inlineStr">
        <is>
          <t>HIGH no direct-to-business card (BaaS sponsor model). 2026-05-29</t>
        </is>
      </c>
      <c r="AG131" s="96" t="inlineStr">
        <is>
          <t>column.com; FDIC cert 58224; sacra.com/c/column; bankingembedded.com</t>
        </is>
      </c>
    </row>
    <row r="132" ht="15.75" customHeight="1">
      <c r="A132" s="96" t="inlineStr">
        <is>
          <t>129</t>
        </is>
      </c>
      <c r="B132" s="96" t="n"/>
      <c r="C132" s="96" t="inlineStr">
        <is>
          <t>Bank of the Orient</t>
        </is>
      </c>
      <c r="D132" s="96" t="inlineStr">
        <is>
          <t>CA Bank</t>
        </is>
      </c>
      <c r="E132" s="96" t="inlineStr">
        <is>
          <t>Other — NorCal</t>
        </is>
      </c>
      <c r="F132" s="96" t="inlineStr">
        <is>
          <t>0/4  ✗SUW ✗Onl ✗SoCal ✗Card</t>
        </is>
      </c>
      <c r="G132" s="96" t="inlineStr">
        <is>
          <t>—</t>
        </is>
      </c>
      <c r="H132" s="96" t="inlineStr">
        <is>
          <t>$1.16B</t>
        </is>
      </c>
      <c r="I132" s="96" t="inlineStr">
        <is>
          <t>N/M</t>
        </is>
      </c>
      <c r="J132" s="96" t="inlineStr">
        <is>
          <t>~6 CA branches (NorCal); SF HQ + Xiamen China; Asian-American/trade focus</t>
        </is>
      </c>
      <c r="K132" s="96" t="inlineStr">
        <is>
          <t>CA-HQ'd</t>
        </is>
      </c>
      <c r="L132" s="96" t="inlineStr">
        <is>
          <t>—</t>
        </is>
      </c>
      <c r="M132" s="96" t="inlineStr">
        <is>
          <t>❌ No card (debit + commercial lending only)</t>
        </is>
      </c>
      <c r="N132" s="96" t="inlineStr">
        <is>
          <t>None</t>
        </is>
      </c>
      <c r="O132" s="96" t="inlineStr">
        <is>
          <t>No</t>
        </is>
      </c>
      <c r="P132" s="96" t="inlineStr">
        <is>
          <t>— (no business card)</t>
        </is>
      </c>
      <c r="Q132" s="96" t="inlineStr">
        <is>
          <t>https://www.bankorient.com</t>
        </is>
      </c>
      <c r="R132" s="96" t="inlineStr">
        <is>
          <t>—</t>
        </is>
      </c>
      <c r="S132" s="96" t="inlineStr">
        <is>
          <t>N/M</t>
        </is>
      </c>
      <c r="T132" s="96" t="inlineStr">
        <is>
          <t>N/M</t>
        </is>
      </c>
      <c r="U132" s="96" t="inlineStr">
        <is>
          <t>N/M</t>
        </is>
      </c>
      <c r="V132" s="96" t="inlineStr">
        <is>
          <t>0</t>
        </is>
      </c>
      <c r="W132" s="96" t="inlineStr">
        <is>
          <t>F — No card</t>
        </is>
      </c>
      <c r="X132" s="96" t="inlineStr">
        <is>
          <t>N/M</t>
        </is>
      </c>
      <c r="Y132" s="96" t="inlineStr">
        <is>
          <t>None (term/LOC/SBA conventional underwriting)</t>
        </is>
      </c>
      <c r="Z132" s="96" t="inlineStr">
        <is>
          <t>N/M</t>
        </is>
      </c>
      <c r="AA132" s="96" t="inlineStr">
        <is>
          <t>Not a card source</t>
        </is>
      </c>
      <c r="AB132" s="96" t="inlineStr">
        <is>
          <t>None (debit cards + commercial lending only)</t>
        </is>
      </c>
      <c r="AC132" s="96" t="inlineStr">
        <is>
          <t>NorCal / SF</t>
        </is>
      </c>
      <c r="AD132" s="96" t="inlineStr">
        <is>
          <t>San Francisco</t>
        </is>
      </c>
      <c r="AE132" s="96" t="inlineStr">
        <is>
          <t>57</t>
        </is>
      </c>
      <c r="AF132" s="96" t="inlineStr">
        <is>
          <t>HIGH no-card (own site nav; debit only). 2026-05-29</t>
        </is>
      </c>
      <c r="AG132" s="96" t="inlineStr">
        <is>
          <t>bankorient.com (site nav, Business Solutions, Debit Cards); dfpi.ca.gov</t>
        </is>
      </c>
    </row>
    <row r="133" ht="15.75" customHeight="1">
      <c r="A133" s="96" t="inlineStr">
        <is>
          <t>130</t>
        </is>
      </c>
      <c r="B133" s="96" t="n"/>
      <c r="C133" s="96" t="inlineStr">
        <is>
          <t>Pacific Coast Bankers' Bank (PCBB)</t>
        </is>
      </c>
      <c r="D133" s="96" t="inlineStr">
        <is>
          <t>CA Bank</t>
        </is>
      </c>
      <c r="E133" s="96" t="inlineStr">
        <is>
          <t>Other — NorCal</t>
        </is>
      </c>
      <c r="F133" s="96" t="inlineStr">
        <is>
          <t>0/4  ✗SUW ✗Onl ✗SoCal ✗Card</t>
        </is>
      </c>
      <c r="G133" s="96" t="inlineStr">
        <is>
          <t>—</t>
        </is>
      </c>
      <c r="H133" s="96" t="inlineStr">
        <is>
          <t>$1.08B</t>
        </is>
      </c>
      <c r="I133" s="96" t="inlineStr">
        <is>
          <t>N/M</t>
        </is>
      </c>
      <c r="J133" s="96" t="inlineStr">
        <is>
          <t>Bankers'-bank (wholesale 'bank for banks'); national FI clientele; no retail/business channel</t>
        </is>
      </c>
      <c r="K133" s="96" t="inlineStr">
        <is>
          <t>CA-HQ'd</t>
        </is>
      </c>
      <c r="L133" s="96" t="inlineStr">
        <is>
          <t>—</t>
        </is>
      </c>
      <c r="M133" s="96" t="inlineStr">
        <is>
          <t>❌ No card (bankers' bank — serves financial institutions, not businesses)</t>
        </is>
      </c>
      <c r="N133" s="96" t="inlineStr">
        <is>
          <t>None</t>
        </is>
      </c>
      <c r="O133" s="96" t="inlineStr">
        <is>
          <t>No</t>
        </is>
      </c>
      <c r="P133" s="96" t="inlineStr">
        <is>
          <t>— (no business card)</t>
        </is>
      </c>
      <c r="Q133" s="96" t="inlineStr">
        <is>
          <t>https://www.pcbb.com</t>
        </is>
      </c>
      <c r="R133" s="96" t="inlineStr">
        <is>
          <t>—</t>
        </is>
      </c>
      <c r="S133" s="96" t="inlineStr">
        <is>
          <t>N/M</t>
        </is>
      </c>
      <c r="T133" s="96" t="inlineStr">
        <is>
          <t>N/M</t>
        </is>
      </c>
      <c r="U133" s="96" t="inlineStr">
        <is>
          <t>N/M ('will never compete for your customers')</t>
        </is>
      </c>
      <c r="V133" s="96" t="inlineStr">
        <is>
          <t>0</t>
        </is>
      </c>
      <c r="W133" s="96" t="inlineStr">
        <is>
          <t>F — No card</t>
        </is>
      </c>
      <c r="X133" s="96" t="inlineStr">
        <is>
          <t>N/M</t>
        </is>
      </c>
      <c r="Y133" s="96" t="inlineStr">
        <is>
          <t>None (correspondent/inter-bank services only: loan hedging, participations, cash mgmt)</t>
        </is>
      </c>
      <c r="Z133" s="96" t="inlineStr">
        <is>
          <t>N/M</t>
        </is>
      </c>
      <c r="AA133" s="96" t="inlineStr">
        <is>
          <t>Not a card source</t>
        </is>
      </c>
      <c r="AB133" s="96" t="inlineStr">
        <is>
          <t>None (advisory, international banking, cash management, lending services — all inter-bank)</t>
        </is>
      </c>
      <c r="AC133" s="96" t="inlineStr">
        <is>
          <t>NorCal / SF-East Bay</t>
        </is>
      </c>
      <c r="AD133" s="96" t="inlineStr">
        <is>
          <t>Walnut Creek</t>
        </is>
      </c>
      <c r="AE133" s="96" t="inlineStr">
        <is>
          <t>60</t>
        </is>
      </c>
      <c r="AF133" s="96" t="inlineStr">
        <is>
          <t>HIGH no-card (bankers'-bank model; no public card product at all). 2026-05-29</t>
        </is>
      </c>
      <c r="AG133" s="96" t="inlineStr">
        <is>
          <t>pcbb.com/products; pcbb.com/company; FDIC cert 34252</t>
        </is>
      </c>
    </row>
    <row r="134" ht="15.75" customHeight="1">
      <c r="A134" s="96" t="inlineStr">
        <is>
          <t>131</t>
        </is>
      </c>
      <c r="B134" s="96" t="n"/>
      <c r="C134" s="96" t="inlineStr">
        <is>
          <t>Summit State Bank</t>
        </is>
      </c>
      <c r="D134" s="96" t="inlineStr">
        <is>
          <t>CA Bank</t>
        </is>
      </c>
      <c r="E134" s="96" t="inlineStr">
        <is>
          <t>Other — NorCal</t>
        </is>
      </c>
      <c r="F134" s="96" t="inlineStr">
        <is>
          <t>0/4  ✗SUW ✗Onl ✗SoCal ✗Card</t>
        </is>
      </c>
      <c r="G134" s="96" t="inlineStr">
        <is>
          <t>—</t>
        </is>
      </c>
      <c r="H134" s="96" t="inlineStr">
        <is>
          <t>$1.00B</t>
        </is>
      </c>
      <c r="I134" s="96" t="inlineStr">
        <is>
          <t>$0.89B</t>
        </is>
      </c>
      <c r="J134" s="96" t="inlineStr">
        <is>
          <t>CA-only; Sonoma County (Santa Rosa, Healdsburg, Rohnert Park, Petaluma); Nasdaq: SSBI</t>
        </is>
      </c>
      <c r="K134" s="96" t="inlineStr">
        <is>
          <t>CA-HQ'd</t>
        </is>
      </c>
      <c r="L134" s="96" t="inlineStr">
        <is>
          <t>—</t>
        </is>
      </c>
      <c r="M134" s="96" t="inlineStr">
        <is>
          <t>❌ No card (debit only; commercial lending)</t>
        </is>
      </c>
      <c r="N134" s="96" t="inlineStr">
        <is>
          <t>None</t>
        </is>
      </c>
      <c r="O134" s="96" t="inlineStr">
        <is>
          <t>No</t>
        </is>
      </c>
      <c r="P134" s="96" t="inlineStr">
        <is>
          <t>— (no business card)</t>
        </is>
      </c>
      <c r="Q134" s="96" t="inlineStr">
        <is>
          <t>https://summitstatebank.com</t>
        </is>
      </c>
      <c r="R134" s="96" t="inlineStr">
        <is>
          <t>—</t>
        </is>
      </c>
      <c r="S134" s="96" t="inlineStr">
        <is>
          <t>N/M</t>
        </is>
      </c>
      <c r="T134" s="96" t="inlineStr">
        <is>
          <t>N/M</t>
        </is>
      </c>
      <c r="U134" s="96" t="inlineStr">
        <is>
          <t>N/M</t>
        </is>
      </c>
      <c r="V134" s="96" t="inlineStr">
        <is>
          <t>0</t>
        </is>
      </c>
      <c r="W134" s="96" t="inlineStr">
        <is>
          <t>F — No card</t>
        </is>
      </c>
      <c r="X134" s="96" t="inlineStr">
        <is>
          <t>N/M</t>
        </is>
      </c>
      <c r="Y134" s="96" t="inlineStr">
        <is>
          <t>None (LOC/SBA/CRE/equipment full-doc; small-biz loans up to ~$150K)</t>
        </is>
      </c>
      <c r="Z134" s="96" t="inlineStr">
        <is>
          <t>N/M</t>
        </is>
      </c>
      <c r="AA134" s="96" t="inlineStr">
        <is>
          <t>Not a card source</t>
        </is>
      </c>
      <c r="AB134" s="96" t="inlineStr">
        <is>
          <t>Debit Mastercard only (no credit card)</t>
        </is>
      </c>
      <c r="AC134" s="96" t="inlineStr">
        <is>
          <t>NorCal / SF (Sonoma)</t>
        </is>
      </c>
      <c r="AD134" s="96" t="inlineStr">
        <is>
          <t>Santa Rosa</t>
        </is>
      </c>
      <c r="AE134" s="96" t="inlineStr">
        <is>
          <t>61</t>
        </is>
      </c>
      <c r="AF134" s="96" t="inlineStr">
        <is>
          <t>HIGH no-card (4 product pages confirm debit-only). 2026-05-29</t>
        </is>
      </c>
      <c r="AG134" s="96" t="inlineStr">
        <is>
          <t>summitstatebank.com (business-banking, business-lending, merchant-services); FDIC cert 32203</t>
        </is>
      </c>
    </row>
    <row r="135" ht="15.75" customHeight="1">
      <c r="A135" s="96" t="inlineStr">
        <is>
          <t>132</t>
        </is>
      </c>
      <c r="B135" s="96" t="n"/>
      <c r="C135" s="96" t="inlineStr">
        <is>
          <t>Golden State Bank</t>
        </is>
      </c>
      <c r="D135" s="96" t="inlineStr">
        <is>
          <t>CA Bank</t>
        </is>
      </c>
      <c r="E135" s="96" t="inlineStr">
        <is>
          <t>★ Core SoCal</t>
        </is>
      </c>
      <c r="F135" s="96" t="inlineStr">
        <is>
          <t>1/4  ✗SUW ✗Onl ✓SoCal ✗Card</t>
        </is>
      </c>
      <c r="G135" s="96" t="inlineStr">
        <is>
          <t>—</t>
        </is>
      </c>
      <c r="H135" s="96" t="inlineStr">
        <is>
          <t>$0.97B</t>
        </is>
      </c>
      <c r="I135" s="96" t="inlineStr">
        <is>
          <t>N/M</t>
        </is>
      </c>
      <c r="J135" s="96" t="inlineStr">
        <is>
          <t>CA-only; Glendale HQ + Upland; serves LA/OC/Riverside/SD/Ventura/San Bernardino; founded 2003</t>
        </is>
      </c>
      <c r="K135" s="96" t="inlineStr">
        <is>
          <t>CA-HQ'd</t>
        </is>
      </c>
      <c r="L135" s="96" t="inlineStr">
        <is>
          <t>—</t>
        </is>
      </c>
      <c r="M135" s="96" t="inlineStr">
        <is>
          <t>❌ No card (business debit only; relationship commercial lending)</t>
        </is>
      </c>
      <c r="N135" s="96" t="inlineStr">
        <is>
          <t>None</t>
        </is>
      </c>
      <c r="O135" s="96" t="inlineStr">
        <is>
          <t>No</t>
        </is>
      </c>
      <c r="P135" s="96" t="inlineStr">
        <is>
          <t>— (no business card)</t>
        </is>
      </c>
      <c r="Q135" s="96" t="inlineStr">
        <is>
          <t>https://www.goldenstatebank.com</t>
        </is>
      </c>
      <c r="R135" s="96" t="inlineStr">
        <is>
          <t>—</t>
        </is>
      </c>
      <c r="S135" s="96" t="inlineStr">
        <is>
          <t>N/M</t>
        </is>
      </c>
      <c r="T135" s="96" t="inlineStr">
        <is>
          <t>N/M</t>
        </is>
      </c>
      <c r="U135" s="96" t="inlineStr">
        <is>
          <t>N/M</t>
        </is>
      </c>
      <c r="V135" s="96" t="inlineStr">
        <is>
          <t>0</t>
        </is>
      </c>
      <c r="W135" s="96" t="inlineStr">
        <is>
          <t>F — No card</t>
        </is>
      </c>
      <c r="X135" s="96" t="inlineStr">
        <is>
          <t>N/M</t>
        </is>
      </c>
      <c r="Y135" s="96" t="inlineStr">
        <is>
          <t>None (working capital/equipment/CRE/construction/bridge/LOC full-doc)</t>
        </is>
      </c>
      <c r="Z135" s="96" t="inlineStr">
        <is>
          <t>N/M</t>
        </is>
      </c>
      <c r="AA135" s="96" t="inlineStr">
        <is>
          <t>Not a card source</t>
        </is>
      </c>
      <c r="AB135" s="96" t="inlineStr">
        <is>
          <t>Mastercard Business DEBIT only (no credit card)</t>
        </is>
      </c>
      <c r="AC135" s="96" t="inlineStr">
        <is>
          <t>SoCal / LA (Glendale)</t>
        </is>
      </c>
      <c r="AD135" s="96" t="inlineStr">
        <is>
          <t>Glendale</t>
        </is>
      </c>
      <c r="AE135" s="96" t="inlineStr">
        <is>
          <t>62</t>
        </is>
      </c>
      <c r="AF135" s="96" t="inlineStr">
        <is>
          <t>HIGH no-card (full site nav; debit only). Latest verified assets ~$918M (6/30/25). 2026-05-29</t>
        </is>
      </c>
      <c r="AG135" s="96" t="inlineStr">
        <is>
          <t>goldenstatebank.com (cash-management, debit-card, company-overview); FDIC cert 57585</t>
        </is>
      </c>
    </row>
    <row r="136" ht="15.75" customHeight="1">
      <c r="A136" s="96" t="inlineStr">
        <is>
          <t>133</t>
        </is>
      </c>
      <c r="B136" s="96" t="n"/>
      <c r="C136" s="96" t="inlineStr">
        <is>
          <t>First City Credit Union</t>
        </is>
      </c>
      <c r="D136" s="96" t="inlineStr">
        <is>
          <t>Credit Union</t>
        </is>
      </c>
      <c r="E136" s="96" t="inlineStr">
        <is>
          <t>★ Core SoCal</t>
        </is>
      </c>
      <c r="F136" s="96" t="inlineStr">
        <is>
          <t>1/4  ✗SUW ✗Onl ✓SoCal ✗Card</t>
        </is>
      </c>
      <c r="G136" s="96" t="inlineStr">
        <is>
          <t>—</t>
        </is>
      </c>
      <c r="H136" s="96" t="inlineStr">
        <is>
          <t>~$0.90B</t>
        </is>
      </c>
      <c r="I136" s="96" t="inlineStr">
        <is>
          <t>—</t>
        </is>
      </c>
      <c r="J136" s="96" t="inlineStr">
        <is>
          <t>HQ Altadena (LA County); ~$0.90B; ~7 LA County branches; est 1937 (LA County employees)</t>
        </is>
      </c>
      <c r="K136" s="96" t="inlineStr">
        <is>
          <t>CA-HQ'd</t>
        </is>
      </c>
      <c r="L136" s="96" t="inlineStr">
        <is>
          <t>—</t>
        </is>
      </c>
      <c r="M136" s="96" t="inlineStr">
        <is>
          <t>❌ No BUSINESS card (consumer Visa only)</t>
        </is>
      </c>
      <c r="N136" s="96" t="inlineStr">
        <is>
          <t>N/M (consumer card; issuer unverified; lone 'Elan' hit unconfirmed)</t>
        </is>
      </c>
      <c r="O136" s="96" t="inlineStr">
        <is>
          <t>No</t>
        </is>
      </c>
      <c r="P136" s="96" t="inlineStr">
        <is>
          <t>— (no business card)</t>
        </is>
      </c>
      <c r="Q136" s="96" t="inlineStr">
        <is>
          <t>https://www.firstcitycu.org/loans-credit/credit-cards</t>
        </is>
      </c>
      <c r="R136" s="96" t="inlineStr">
        <is>
          <t>—</t>
        </is>
      </c>
      <c r="S136" s="96" t="inlineStr">
        <is>
          <t>N/M</t>
        </is>
      </c>
      <c r="T136" s="96" t="inlineStr">
        <is>
          <t>N/M</t>
        </is>
      </c>
      <c r="U136" s="96" t="inlineStr">
        <is>
          <t>Consumer-only Visa (2.99% intro 6 cycles; $0 BT/CA fees). No business card; not in CFPB agreement DB.</t>
        </is>
      </c>
      <c r="V136" s="96" t="inlineStr">
        <is>
          <t>0</t>
        </is>
      </c>
      <c r="W136" s="96" t="inlineStr">
        <is>
          <t>F — No card</t>
        </is>
      </c>
      <c r="X136" s="96" t="inlineStr">
        <is>
          <t>N/M</t>
        </is>
      </c>
      <c r="Y136" s="96" t="inlineStr">
        <is>
          <t>None (business/commercial banking + merchant services referenced; no no-doc product)</t>
        </is>
      </c>
      <c r="Z136" s="96" t="inlineStr">
        <is>
          <t>Membership required (LA County depts/orgs + 72 LA + 9 San Bernardino + 3 Kern + 1 Ventura communities + family; NO nationwide path)</t>
        </is>
      </c>
      <c r="AA136" s="96" t="inlineStr">
        <is>
          <t>Not a card source</t>
        </is>
      </c>
      <c r="AB136" s="96" t="inlineStr">
        <is>
          <t>Consumer Visa only (no business card)</t>
        </is>
      </c>
      <c r="AC136" s="96" t="inlineStr">
        <is>
          <t>SoCal / LA</t>
        </is>
      </c>
      <c r="AD136" s="96" t="inlineStr">
        <is>
          <t>Altadena</t>
        </is>
      </c>
      <c r="AE136" s="96" t="inlineStr">
        <is>
          <t>CU</t>
        </is>
      </c>
      <c r="AF136" s="96" t="inlineStr">
        <is>
          <t>MED-HIGH no business card (consumer-only; CFPB DB 404; site Cloudflare-blocked). SoCal-restricted FOM. 2026-05-29</t>
        </is>
      </c>
      <c r="AG136" s="96" t="inlineStr">
        <is>
          <t>firstcitycu.org/loans-credit/credit-cards + /about/how-to-join; ncuso.org; consumerfinance.gov (no agreement)</t>
        </is>
      </c>
    </row>
    <row r="137" ht="15.75" customHeight="1">
      <c r="A137" s="96" t="inlineStr">
        <is>
          <t>134</t>
        </is>
      </c>
      <c r="B137" s="96" t="n"/>
      <c r="C137" s="96" t="inlineStr">
        <is>
          <t>C3bank, N.A.</t>
        </is>
      </c>
      <c r="D137" s="96" t="inlineStr">
        <is>
          <t>CA Bank</t>
        </is>
      </c>
      <c r="E137" s="96" t="inlineStr">
        <is>
          <t>★ Core SoCal</t>
        </is>
      </c>
      <c r="F137" s="96" t="inlineStr">
        <is>
          <t>1/4  ✗SUW ✗Onl ✓SoCal ✗Card</t>
        </is>
      </c>
      <c r="G137" s="96" t="inlineStr">
        <is>
          <t>—</t>
        </is>
      </c>
      <c r="H137" s="96" t="inlineStr">
        <is>
          <t>$0.88B</t>
        </is>
      </c>
      <c r="I137" s="96" t="inlineStr">
        <is>
          <t>N/M</t>
        </is>
      </c>
      <c r="J137" s="96" t="inlineStr">
        <is>
          <t>Encinitas HQ (San Diego County) + San Marcos, Riverside, Nashville TN; OCC national charter</t>
        </is>
      </c>
      <c r="K137" s="96" t="inlineStr">
        <is>
          <t>CA-HQ'd</t>
        </is>
      </c>
      <c r="L137" s="96" t="inlineStr">
        <is>
          <t>—</t>
        </is>
      </c>
      <c r="M137" s="96" t="inlineStr">
        <is>
          <t>❌ No card (commercial/CRE/SBA bank; business debit only)</t>
        </is>
      </c>
      <c r="N137" s="96" t="inlineStr">
        <is>
          <t>None</t>
        </is>
      </c>
      <c r="O137" s="96" t="inlineStr">
        <is>
          <t>No</t>
        </is>
      </c>
      <c r="P137" s="96" t="inlineStr">
        <is>
          <t>— (no business card)</t>
        </is>
      </c>
      <c r="Q137" s="96" t="inlineStr">
        <is>
          <t>https://www.c3bank.com</t>
        </is>
      </c>
      <c r="R137" s="96" t="inlineStr">
        <is>
          <t>—</t>
        </is>
      </c>
      <c r="S137" s="96" t="inlineStr">
        <is>
          <t>N/M</t>
        </is>
      </c>
      <c r="T137" s="96" t="inlineStr">
        <is>
          <t>N/M</t>
        </is>
      </c>
      <c r="U137" s="96" t="inlineStr">
        <is>
          <t>N/M</t>
        </is>
      </c>
      <c r="V137" s="96" t="inlineStr">
        <is>
          <t>0</t>
        </is>
      </c>
      <c r="W137" s="96" t="inlineStr">
        <is>
          <t>F — No card</t>
        </is>
      </c>
      <c r="X137" s="96" t="inlineStr">
        <is>
          <t>N/M</t>
        </is>
      </c>
      <c r="Y137" s="96" t="inlineStr">
        <is>
          <t>None (commercial/CRE/SBA 504/7(a)/term/LOC full-doc)</t>
        </is>
      </c>
      <c r="Z137" s="96" t="inlineStr">
        <is>
          <t>N/M</t>
        </is>
      </c>
      <c r="AA137" s="96" t="inlineStr">
        <is>
          <t>Not a card source</t>
        </is>
      </c>
      <c r="AB137" s="96" t="inlineStr">
        <is>
          <t>Business debit card only (no credit card)</t>
        </is>
      </c>
      <c r="AC137" s="96" t="inlineStr">
        <is>
          <t>SoCal / San Diego</t>
        </is>
      </c>
      <c r="AD137" s="96" t="inlineStr">
        <is>
          <t>Encinitas</t>
        </is>
      </c>
      <c r="AE137" s="96" t="inlineStr">
        <is>
          <t>66</t>
        </is>
      </c>
      <c r="AF137" s="96" t="inlineStr">
        <is>
          <t>HIGH no-card (site product menu = deposits/loans/SBA only). 2026-05-29</t>
        </is>
      </c>
      <c r="AG137" s="96" t="inlineStr">
        <is>
          <t>c3bank.com (business-loans, business-checking, locations); FDIC cert 25249</t>
        </is>
      </c>
    </row>
    <row r="138" ht="15.75" customHeight="1">
      <c r="A138" s="96" t="inlineStr">
        <is>
          <t>135</t>
        </is>
      </c>
      <c r="B138" s="96" t="n"/>
      <c r="C138" s="96" t="inlineStr">
        <is>
          <t>Nano Banc</t>
        </is>
      </c>
      <c r="D138" s="96" t="inlineStr">
        <is>
          <t>CA Bank</t>
        </is>
      </c>
      <c r="E138" s="96" t="inlineStr">
        <is>
          <t>★ Core SoCal</t>
        </is>
      </c>
      <c r="F138" s="96" t="inlineStr">
        <is>
          <t>1/4  ✗SUW ✗Onl ✓SoCal ✗Card</t>
        </is>
      </c>
      <c r="G138" s="96" t="inlineStr">
        <is>
          <t>—</t>
        </is>
      </c>
      <c r="H138" s="96" t="inlineStr">
        <is>
          <t>$0.87B</t>
        </is>
      </c>
      <c r="I138" s="96" t="inlineStr">
        <is>
          <t>N/M</t>
        </is>
      </c>
      <c r="J138" s="96" t="inlineStr">
        <is>
          <t>Single-branch (Irvine, OC); historically Murrieta/Temecula (Riverside); SBA</t>
        </is>
      </c>
      <c r="K138" s="96" t="inlineStr">
        <is>
          <t>CA-HQ'd</t>
        </is>
      </c>
      <c r="L138" s="96" t="inlineStr">
        <is>
          <t>—</t>
        </is>
      </c>
      <c r="M138" s="96" t="inlineStr">
        <is>
          <t>❌ No card (commercial lender + deposit/treasury; debit only)</t>
        </is>
      </c>
      <c r="N138" s="96" t="inlineStr">
        <is>
          <t>None</t>
        </is>
      </c>
      <c r="O138" s="96" t="inlineStr">
        <is>
          <t>No</t>
        </is>
      </c>
      <c r="P138" s="96" t="inlineStr">
        <is>
          <t>— (no business card)</t>
        </is>
      </c>
      <c r="Q138" s="96" t="inlineStr">
        <is>
          <t>https://www.nanobanc.com</t>
        </is>
      </c>
      <c r="R138" s="96" t="inlineStr">
        <is>
          <t>—</t>
        </is>
      </c>
      <c r="S138" s="96" t="inlineStr">
        <is>
          <t>N/M</t>
        </is>
      </c>
      <c r="T138" s="96" t="inlineStr">
        <is>
          <t>N/M</t>
        </is>
      </c>
      <c r="U138" s="96" t="inlineStr">
        <is>
          <t>N/M</t>
        </is>
      </c>
      <c r="V138" s="96" t="inlineStr">
        <is>
          <t>0</t>
        </is>
      </c>
      <c r="W138" s="96" t="inlineStr">
        <is>
          <t>F — No card</t>
        </is>
      </c>
      <c r="X138" s="96" t="inlineStr">
        <is>
          <t>N/M</t>
        </is>
      </c>
      <c r="Y138" s="96" t="inlineStr">
        <is>
          <t>None (C&amp;I/CRE/equipment/working-capital/LOC full-doc)</t>
        </is>
      </c>
      <c r="Z138" s="96" t="inlineStr">
        <is>
          <t>N/M</t>
        </is>
      </c>
      <c r="AA138" s="96" t="inlineStr">
        <is>
          <t>Not a card source</t>
        </is>
      </c>
      <c r="AB138" s="96" t="inlineStr">
        <is>
          <t>None (business deposits + treasury mgmt + commercial lending; debit cards only)</t>
        </is>
      </c>
      <c r="AC138" s="96" t="inlineStr">
        <is>
          <t>SoCal / Orange County</t>
        </is>
      </c>
      <c r="AD138" s="96" t="inlineStr">
        <is>
          <t>Irvine</t>
        </is>
      </c>
      <c r="AE138" s="96" t="inlineStr">
        <is>
          <t>68</t>
        </is>
      </c>
      <c r="AF138" s="96" t="inlineStr">
        <is>
          <t>HIGH no business card (homepage/business/treasury/lending pages all card-free). 2026-05-29</t>
        </is>
      </c>
      <c r="AG138" s="96" t="inlineStr">
        <is>
          <t>nanobanc.com (business-accounts, lending, ci-lending); FDIC cert 58590</t>
        </is>
      </c>
    </row>
    <row r="139" ht="15.75" customHeight="1">
      <c r="A139" s="96" t="inlineStr">
        <is>
          <t>136</t>
        </is>
      </c>
      <c r="B139" s="96" t="n"/>
      <c r="C139" s="96" t="inlineStr">
        <is>
          <t>First Commercial Bank (USA)</t>
        </is>
      </c>
      <c r="D139" s="96" t="inlineStr">
        <is>
          <t>CA Bank</t>
        </is>
      </c>
      <c r="E139" s="96" t="inlineStr">
        <is>
          <t>★ Core SoCal</t>
        </is>
      </c>
      <c r="F139" s="96" t="inlineStr">
        <is>
          <t>1/4  ✗SUW ✗Onl ✓SoCal ✗Card</t>
        </is>
      </c>
      <c r="G139" s="96" t="inlineStr">
        <is>
          <t>—</t>
        </is>
      </c>
      <c r="H139" s="96" t="inlineStr">
        <is>
          <t>$0.87B</t>
        </is>
      </c>
      <c r="I139" s="96" t="inlineStr">
        <is>
          <t>N/M</t>
        </is>
      </c>
      <c r="J139" s="96" t="inlineStr">
        <is>
          <t>8 branches; Alhambra HQ; subsidiary of First Commercial Bank (Taiwan); Taiwanese/Chinese-American (est 1997)</t>
        </is>
      </c>
      <c r="K139" s="96" t="inlineStr">
        <is>
          <t>CA-HQ'd</t>
        </is>
      </c>
      <c r="L139" s="96" t="inlineStr">
        <is>
          <t>—</t>
        </is>
      </c>
      <c r="M139" s="96" t="inlineStr">
        <is>
          <t>❌ No card (deposit + commercial/SBA lending; debit likely)</t>
        </is>
      </c>
      <c r="N139" s="96" t="inlineStr">
        <is>
          <t>None (NOTE: an 'Elan' search hit is a MISATTRIBUTION to IL 'FCB Banks' — not this bank)</t>
        </is>
      </c>
      <c r="O139" s="96" t="inlineStr">
        <is>
          <t>No</t>
        </is>
      </c>
      <c r="P139" s="96" t="inlineStr">
        <is>
          <t>— (no business card)</t>
        </is>
      </c>
      <c r="Q139" s="96" t="inlineStr">
        <is>
          <t>https://www.bankfcb.com</t>
        </is>
      </c>
      <c r="R139" s="96" t="inlineStr">
        <is>
          <t>—</t>
        </is>
      </c>
      <c r="S139" s="96" t="inlineStr">
        <is>
          <t>N/M</t>
        </is>
      </c>
      <c r="T139" s="96" t="inlineStr">
        <is>
          <t>N/M</t>
        </is>
      </c>
      <c r="U139" s="96" t="inlineStr">
        <is>
          <t>N/M</t>
        </is>
      </c>
      <c r="V139" s="96" t="inlineStr">
        <is>
          <t>0</t>
        </is>
      </c>
      <c r="W139" s="96" t="inlineStr">
        <is>
          <t>F — No card</t>
        </is>
      </c>
      <c r="X139" s="96" t="inlineStr">
        <is>
          <t>N/M</t>
        </is>
      </c>
      <c r="Y139" s="96" t="inlineStr">
        <is>
          <t>None for business ('reduced-doc' program is RESIDENTIAL mortgage, not business; commercial/SBA/ABL full-doc)</t>
        </is>
      </c>
      <c r="Z139" s="96" t="inlineStr">
        <is>
          <t>N/M</t>
        </is>
      </c>
      <c r="AA139" s="96" t="inlineStr">
        <is>
          <t>Not a card source</t>
        </is>
      </c>
      <c r="AB139" s="96" t="inlineStr">
        <is>
          <t>None identified (deposit accounts + commercial/SBA/RE/mortgage loans; debit only)</t>
        </is>
      </c>
      <c r="AC139" s="96" t="inlineStr">
        <is>
          <t>SoCal / LA (San Gabriel Valley)</t>
        </is>
      </c>
      <c r="AD139" s="96" t="inlineStr">
        <is>
          <t>Alhambra</t>
        </is>
      </c>
      <c r="AE139" s="96" t="inlineStr">
        <is>
          <t>67</t>
        </is>
      </c>
      <c r="AF139" s="96" t="inlineStr">
        <is>
          <t>MED-HIGH no marketed credit card (all 3 product pages checked); Elan hit excluded as misattribution. 2026-05-29</t>
        </is>
      </c>
      <c r="AG139" s="96" t="inlineStr">
        <is>
          <t>bankfcb.com (Commercial, Personal, Loans pages); FDIC cert 34496; dfpi.ca.gov</t>
        </is>
      </c>
    </row>
    <row r="140" ht="15.75" customHeight="1">
      <c r="A140" s="96" t="inlineStr">
        <is>
          <t>137</t>
        </is>
      </c>
      <c r="B140" s="96" t="n"/>
      <c r="C140" s="96" t="inlineStr">
        <is>
          <t>Pacific Valley Bank</t>
        </is>
      </c>
      <c r="D140" s="96" t="inlineStr">
        <is>
          <t>CA Bank</t>
        </is>
      </c>
      <c r="E140" s="96" t="inlineStr">
        <is>
          <t>Other — Central Coast</t>
        </is>
      </c>
      <c r="F140" s="96" t="inlineStr">
        <is>
          <t>0/4  ✗SUW ✗Onl ✗SoCal ✗Card</t>
        </is>
      </c>
      <c r="G140" s="96" t="inlineStr">
        <is>
          <t>—</t>
        </is>
      </c>
      <c r="H140" s="96" t="inlineStr">
        <is>
          <t>$0.63B</t>
        </is>
      </c>
      <c r="I140" s="96" t="inlineStr">
        <is>
          <t>N/M</t>
        </is>
      </c>
      <c r="J140" s="96" t="inlineStr">
        <is>
          <t>Monterey County; Salinas, King City, Monterey + Santa Cruz expansion</t>
        </is>
      </c>
      <c r="K140" s="96" t="inlineStr">
        <is>
          <t>CA-HQ'd</t>
        </is>
      </c>
      <c r="L140" s="96" t="inlineStr">
        <is>
          <t>—</t>
        </is>
      </c>
      <c r="M140" s="96" t="inlineStr">
        <is>
          <t>❌ No card (commercial/ag lender; debit Mastercard only)</t>
        </is>
      </c>
      <c r="N140" s="96" t="inlineStr">
        <is>
          <t>None</t>
        </is>
      </c>
      <c r="O140" s="96" t="inlineStr">
        <is>
          <t>No</t>
        </is>
      </c>
      <c r="P140" s="96" t="inlineStr">
        <is>
          <t>— (no business card)</t>
        </is>
      </c>
      <c r="Q140" s="96" t="inlineStr">
        <is>
          <t>https://www.pacificvalleybank.com</t>
        </is>
      </c>
      <c r="R140" s="96" t="inlineStr">
        <is>
          <t>—</t>
        </is>
      </c>
      <c r="S140" s="96" t="inlineStr">
        <is>
          <t>N/M</t>
        </is>
      </c>
      <c r="T140" s="96" t="inlineStr">
        <is>
          <t>N/M</t>
        </is>
      </c>
      <c r="U140" s="96" t="inlineStr">
        <is>
          <t>N/M</t>
        </is>
      </c>
      <c r="V140" s="96" t="inlineStr">
        <is>
          <t>0</t>
        </is>
      </c>
      <c r="W140" s="96" t="inlineStr">
        <is>
          <t>F — No card</t>
        </is>
      </c>
      <c r="X140" s="96" t="inlineStr">
        <is>
          <t>N/M</t>
        </is>
      </c>
      <c r="Y140" s="96" t="inlineStr">
        <is>
          <t>None (commercial/ag LOC/term/construction/SBA/USDA/FSA/Farmer Mac full-doc; PDF apply→branch)</t>
        </is>
      </c>
      <c r="Z140" s="96" t="inlineStr">
        <is>
          <t>N/M</t>
        </is>
      </c>
      <c r="AA140" s="96" t="inlineStr">
        <is>
          <t>Not a card source</t>
        </is>
      </c>
      <c r="AB140" s="96" t="inlineStr">
        <is>
          <t>Debit Mastercard only (no credit card)</t>
        </is>
      </c>
      <c r="AC140" s="96" t="inlineStr">
        <is>
          <t>Central Coast / Salinas Valley</t>
        </is>
      </c>
      <c r="AD140" s="96" t="inlineStr">
        <is>
          <t>Salinas</t>
        </is>
      </c>
      <c r="AE140" s="96" t="inlineStr">
        <is>
          <t>75</t>
        </is>
      </c>
      <c r="AF140" s="96" t="inlineStr">
        <is>
          <t>HIGH no-card (4 site pages confirm debit-only). 2026-05-29</t>
        </is>
      </c>
      <c r="AG140" s="96" t="inlineStr">
        <is>
          <t>pacificvalleybank.com (business-banking, products-services, business-loans); FDIC cert 57740</t>
        </is>
      </c>
    </row>
    <row r="141" ht="15.75" customHeight="1">
      <c r="A141" s="96" t="inlineStr">
        <is>
          <t>138</t>
        </is>
      </c>
      <c r="B141" s="96" t="n"/>
      <c r="C141" s="96" t="inlineStr">
        <is>
          <t>Pacific Enterprise Bank</t>
        </is>
      </c>
      <c r="D141" s="96" t="inlineStr">
        <is>
          <t>Regional</t>
        </is>
      </c>
      <c r="E141" s="96" t="inlineStr">
        <is>
          <t>★ Core SoCal</t>
        </is>
      </c>
      <c r="F141" s="96" t="inlineStr">
        <is>
          <t>1/4  ✗SUW ✗Onl ✓SoCal ✗Card</t>
        </is>
      </c>
      <c r="G141" s="96" t="inlineStr">
        <is>
          <t>—</t>
        </is>
      </c>
      <c r="H141" s="96" t="inlineStr">
        <is>
          <t>~$0.52B (at close)</t>
        </is>
      </c>
      <c r="I141" s="96" t="inlineStr">
        <is>
          <t>—</t>
        </is>
      </c>
      <c r="J141" s="96" t="inlineStr">
        <is>
          <t>HQ Irvine (OC); DEFUNCT 2022-02-02 (now United Business Bank); was SBA lender, no card</t>
        </is>
      </c>
      <c r="K141" s="96" t="inlineStr">
        <is>
          <t>N/M</t>
        </is>
      </c>
      <c r="L141" s="96" t="inlineStr">
        <is>
          <t>—</t>
        </is>
      </c>
      <c r="M141" s="96" t="inlineStr">
        <is>
          <t>❌ DEFUNCT — merged into United Business Bank (Feb 2022); never issued a card (SBA lender + merchant processing only)</t>
        </is>
      </c>
      <c r="N141" s="96" t="inlineStr">
        <is>
          <t>None</t>
        </is>
      </c>
      <c r="O141" s="96" t="inlineStr">
        <is>
          <t>No</t>
        </is>
      </c>
      <c r="P141" s="96" t="inlineStr">
        <is>
          <t>— (no business card)</t>
        </is>
      </c>
      <c r="Q141" s="96" t="inlineStr">
        <is>
          <t>https://www.pacificenterprisebank.com/home/business</t>
        </is>
      </c>
      <c r="R141" s="96" t="inlineStr">
        <is>
          <t>—</t>
        </is>
      </c>
      <c r="S141" s="96" t="inlineStr">
        <is>
          <t>N/M</t>
        </is>
      </c>
      <c r="T141" s="96" t="inlineStr">
        <is>
          <t>N/M</t>
        </is>
      </c>
      <c r="U141" s="96" t="inlineStr">
        <is>
          <t>Defunct 2022-02-02; now United Business Bank. Was SBA lender; no card ever issued.</t>
        </is>
      </c>
      <c r="V141" s="96" t="inlineStr">
        <is>
          <t>0</t>
        </is>
      </c>
      <c r="W141" s="96" t="inlineStr">
        <is>
          <t>F — No card</t>
        </is>
      </c>
      <c r="X141" s="96" t="inlineStr">
        <is>
          <t>N/M</t>
        </is>
      </c>
      <c r="Y141" s="96" t="inlineStr">
        <is>
          <t>None (was SBA/CRE full-doc lender)</t>
        </is>
      </c>
      <c r="Z141" s="96" t="inlineStr">
        <is>
          <t>N/M</t>
        </is>
      </c>
      <c r="AA141" s="96" t="inlineStr">
        <is>
          <t>Not a card source</t>
        </is>
      </c>
      <c r="AB141" s="96" t="inlineStr">
        <is>
          <t>None (SBA loans + merchant card processing; no issued card)</t>
        </is>
      </c>
      <c r="AC141" s="96" t="inlineStr">
        <is>
          <t>SoCal / Orange County (Irvine) — DEFUNCT</t>
        </is>
      </c>
      <c r="AD141" s="96" t="inlineStr">
        <is>
          <t>Irvine, CA</t>
        </is>
      </c>
      <c r="AE141" s="96" t="inlineStr">
        <is>
          <t>Reg</t>
        </is>
      </c>
      <c r="AF141" s="96" t="inlineStr">
        <is>
          <t>HIGH defunct + never issued a card. Now United Business Bank. 2026-05-28</t>
        </is>
      </c>
      <c r="AG141" s="96" t="inlineStr">
        <is>
          <t>FDIC cert 58415 (inactive); businesswire (BayCom merger); pacificenterprisebank.com loan/business pages</t>
        </is>
      </c>
    </row>
    <row r="142" ht="15.75" customHeight="1">
      <c r="A142" s="96" t="inlineStr">
        <is>
          <t>139</t>
        </is>
      </c>
      <c r="B142" s="96" t="n"/>
      <c r="C142" s="96" t="inlineStr">
        <is>
          <t>New OMNI Bank, N.A.</t>
        </is>
      </c>
      <c r="D142" s="96" t="inlineStr">
        <is>
          <t>CA Bank</t>
        </is>
      </c>
      <c r="E142" s="96" t="inlineStr">
        <is>
          <t>★ Core SoCal</t>
        </is>
      </c>
      <c r="F142" s="96" t="inlineStr">
        <is>
          <t>1/4  ✗SUW ✗Onl ✓SoCal ✗Card</t>
        </is>
      </c>
      <c r="G142" s="96" t="inlineStr">
        <is>
          <t>—</t>
        </is>
      </c>
      <c r="H142" s="96" t="inlineStr">
        <is>
          <t>$0.52B</t>
        </is>
      </c>
      <c r="I142" s="96" t="inlineStr">
        <is>
          <t>N/M</t>
        </is>
      </c>
      <c r="J142" s="96" t="inlineStr">
        <is>
          <t>4 SoCal branches (Alhambra, Arcadia, Rowland Heights, Irvine); est 1979 Monterey Park; Asian-American</t>
        </is>
      </c>
      <c r="K142" s="96" t="inlineStr">
        <is>
          <t>CA-HQ'd</t>
        </is>
      </c>
      <c r="L142" s="96" t="inlineStr">
        <is>
          <t>—</t>
        </is>
      </c>
      <c r="M142" s="96" t="inlineStr">
        <is>
          <t>❌ No card (commercial/SBA lender; debit only)</t>
        </is>
      </c>
      <c r="N142" s="96" t="inlineStr">
        <is>
          <t>None</t>
        </is>
      </c>
      <c r="O142" s="96" t="inlineStr">
        <is>
          <t>No</t>
        </is>
      </c>
      <c r="P142" s="96" t="inlineStr">
        <is>
          <t>— (no business card)</t>
        </is>
      </c>
      <c r="Q142" s="96" t="inlineStr">
        <is>
          <t>https://newomnibank.com</t>
        </is>
      </c>
      <c r="R142" s="96" t="inlineStr">
        <is>
          <t>—</t>
        </is>
      </c>
      <c r="S142" s="96" t="inlineStr">
        <is>
          <t>N/M</t>
        </is>
      </c>
      <c r="T142" s="96" t="inlineStr">
        <is>
          <t>N/M</t>
        </is>
      </c>
      <c r="U142" s="96" t="inlineStr">
        <is>
          <t>N/M</t>
        </is>
      </c>
      <c r="V142" s="96" t="inlineStr">
        <is>
          <t>0</t>
        </is>
      </c>
      <c r="W142" s="96" t="inlineStr">
        <is>
          <t>F — No card</t>
        </is>
      </c>
      <c r="X142" s="96" t="inlineStr">
        <is>
          <t>N/M</t>
        </is>
      </c>
      <c r="Y142" s="96" t="inlineStr">
        <is>
          <t>None (CRE/construction/C&amp;I/SBA/trade finance full-doc)</t>
        </is>
      </c>
      <c r="Z142" s="96" t="inlineStr">
        <is>
          <t>N/M</t>
        </is>
      </c>
      <c r="AA142" s="96" t="inlineStr">
        <is>
          <t>Not a card source</t>
        </is>
      </c>
      <c r="AB142" s="96" t="inlineStr">
        <is>
          <t>None (business deposits + commercial lending; no card)</t>
        </is>
      </c>
      <c r="AC142" s="96" t="inlineStr">
        <is>
          <t>SoCal / LA (San Gabriel Valley)</t>
        </is>
      </c>
      <c r="AD142" s="96" t="inlineStr">
        <is>
          <t>Alhambra</t>
        </is>
      </c>
      <c r="AE142" s="96" t="inlineStr">
        <is>
          <t>79</t>
        </is>
      </c>
      <c r="AF142" s="96" t="inlineStr">
        <is>
          <t>HIGH no business card (all product pages card-free). 2026-05-29</t>
        </is>
      </c>
      <c r="AG142" s="96" t="inlineStr">
        <is>
          <t>newomnibank.com (business/deposit, locations); FDIC cert 23086</t>
        </is>
      </c>
    </row>
    <row r="143" ht="15.75" customHeight="1">
      <c r="A143" s="96" t="inlineStr">
        <is>
          <t>140</t>
        </is>
      </c>
      <c r="B143" s="96" t="n"/>
      <c r="C143" s="96" t="inlineStr">
        <is>
          <t>First Credit Bank</t>
        </is>
      </c>
      <c r="D143" s="96" t="inlineStr">
        <is>
          <t>CA Bank</t>
        </is>
      </c>
      <c r="E143" s="96" t="inlineStr">
        <is>
          <t>★ Core SoCal</t>
        </is>
      </c>
      <c r="F143" s="96" t="inlineStr">
        <is>
          <t>1/4  ✗SUW ✗Onl ✓SoCal ✗Card</t>
        </is>
      </c>
      <c r="G143" s="96" t="inlineStr">
        <is>
          <t>—</t>
        </is>
      </c>
      <c r="H143" s="96" t="inlineStr">
        <is>
          <t>$0.51B</t>
        </is>
      </c>
      <c r="I143" s="96" t="inlineStr">
        <is>
          <t>N/M</t>
        </is>
      </c>
      <c r="J143" s="96" t="inlineStr">
        <is>
          <t>Single branch (9255 W Sunset Blvd, West Hollywood); est 1983; niche CRE lender. ⚠️ calfcb.com is a confirmed fraud site (DFPI alert)</t>
        </is>
      </c>
      <c r="K143" s="96" t="inlineStr">
        <is>
          <t>CA-HQ'd</t>
        </is>
      </c>
      <c r="L143" s="96" t="inlineStr">
        <is>
          <t>—</t>
        </is>
      </c>
      <c r="M143" s="96" t="inlineStr">
        <is>
          <t>⚠️ No card (single-branch CRE/commercial lender; no website)</t>
        </is>
      </c>
      <c r="N143" s="96" t="inlineStr">
        <is>
          <t>None</t>
        </is>
      </c>
      <c r="O143" s="96" t="inlineStr">
        <is>
          <t>No</t>
        </is>
      </c>
      <c r="P143" s="96" t="inlineStr">
        <is>
          <t>— (no business card)</t>
        </is>
      </c>
      <c r="Q143" s="96" t="inlineStr">
        <is>
          <t>N/M (bank does not operate a website; calfcb.com is a DFPI-flagged FRAUD imposter)</t>
        </is>
      </c>
      <c r="R143" s="96" t="inlineStr">
        <is>
          <t>—</t>
        </is>
      </c>
      <c r="S143" s="96" t="inlineStr">
        <is>
          <t>N/M</t>
        </is>
      </c>
      <c r="T143" s="96" t="inlineStr">
        <is>
          <t>N/M</t>
        </is>
      </c>
      <c r="U143" s="96" t="inlineStr">
        <is>
          <t>N/M</t>
        </is>
      </c>
      <c r="V143" s="96" t="inlineStr">
        <is>
          <t>0</t>
        </is>
      </c>
      <c r="W143" s="96" t="inlineStr">
        <is>
          <t>F — No card</t>
        </is>
      </c>
      <c r="X143" s="96" t="inlineStr">
        <is>
          <t>N/M</t>
        </is>
      </c>
      <c r="Y143" s="96" t="inlineStr">
        <is>
          <t>None (CRE/construction/business term/LOC full-doc)</t>
        </is>
      </c>
      <c r="Z143" s="96" t="inlineStr">
        <is>
          <t>N/M</t>
        </is>
      </c>
      <c r="AA143" s="96" t="inlineStr">
        <is>
          <t>Not a card source</t>
        </is>
      </c>
      <c r="AB143" s="96" t="inlineStr">
        <is>
          <t>None (CRE/commercial lending; no card; no website)</t>
        </is>
      </c>
      <c r="AC143" s="96" t="inlineStr">
        <is>
          <t>SoCal / LA</t>
        </is>
      </c>
      <c r="AD143" s="96" t="inlineStr">
        <is>
          <t>Los Angeles (West Hollywood)</t>
        </is>
      </c>
      <c r="AE143" s="96" t="inlineStr">
        <is>
          <t>81</t>
        </is>
      </c>
      <c r="AF143" s="96" t="inlineStr">
        <is>
          <t>HIGH commercial-only/no-card/no-website (FDIC single-branch CRE + DFPI 'does not operate a website'). 2026-05-29</t>
        </is>
      </c>
      <c r="AG143" s="96" t="inlineStr">
        <is>
          <t>FDIC cert 24332; dfpi.ca.gov (First Credit Bank + calfcb.com fraud alert)</t>
        </is>
      </c>
    </row>
    <row r="144" ht="15.75" customHeight="1">
      <c r="A144" s="96" t="inlineStr">
        <is>
          <t>141</t>
        </is>
      </c>
      <c r="B144" s="96" t="n"/>
      <c r="C144" s="96" t="inlineStr">
        <is>
          <t>Pacific Alliance Bank</t>
        </is>
      </c>
      <c r="D144" s="96" t="inlineStr">
        <is>
          <t>CA Bank</t>
        </is>
      </c>
      <c r="E144" s="96" t="inlineStr">
        <is>
          <t>★ Core SoCal</t>
        </is>
      </c>
      <c r="F144" s="96" t="inlineStr">
        <is>
          <t>1/4  ✗SUW ✗Onl ✓SoCal ✗Card</t>
        </is>
      </c>
      <c r="G144" s="96" t="inlineStr">
        <is>
          <t>—</t>
        </is>
      </c>
      <c r="H144" s="96" t="inlineStr">
        <is>
          <t>$0.45B</t>
        </is>
      </c>
      <c r="I144" s="96" t="inlineStr">
        <is>
          <t>N/M</t>
        </is>
      </c>
      <c r="J144" s="96" t="inlineStr">
        <is>
          <t>SoCal community bank; San Gabriel/LA; Asian-American; est 2006; ticker PFBN</t>
        </is>
      </c>
      <c r="K144" s="96" t="inlineStr">
        <is>
          <t>CA-HQ'd</t>
        </is>
      </c>
      <c r="L144" s="96" t="inlineStr">
        <is>
          <t>—</t>
        </is>
      </c>
      <c r="M144" s="96" t="inlineStr">
        <is>
          <t>❌ No card (commercial/SBA lender; Visa debit only)</t>
        </is>
      </c>
      <c r="N144" s="96" t="inlineStr">
        <is>
          <t>None</t>
        </is>
      </c>
      <c r="O144" s="96" t="inlineStr">
        <is>
          <t>No</t>
        </is>
      </c>
      <c r="P144" s="96" t="inlineStr">
        <is>
          <t>— (no business card)</t>
        </is>
      </c>
      <c r="Q144" s="96" t="inlineStr">
        <is>
          <t>https://www.pacificalliancebank.com</t>
        </is>
      </c>
      <c r="R144" s="96" t="inlineStr">
        <is>
          <t>—</t>
        </is>
      </c>
      <c r="S144" s="96" t="inlineStr">
        <is>
          <t>N/M</t>
        </is>
      </c>
      <c r="T144" s="96" t="inlineStr">
        <is>
          <t>N/M</t>
        </is>
      </c>
      <c r="U144" s="96" t="inlineStr">
        <is>
          <t>N/M</t>
        </is>
      </c>
      <c r="V144" s="96" t="inlineStr">
        <is>
          <t>0</t>
        </is>
      </c>
      <c r="W144" s="96" t="inlineStr">
        <is>
          <t>F — No card</t>
        </is>
      </c>
      <c r="X144" s="96" t="inlineStr">
        <is>
          <t>N/M</t>
        </is>
      </c>
      <c r="Y144" s="96" t="inlineStr">
        <is>
          <t>None (SBA 7(a)/504/CRE/construction/term/LOC full-doc)</t>
        </is>
      </c>
      <c r="Z144" s="96" t="inlineStr">
        <is>
          <t>N/M</t>
        </is>
      </c>
      <c r="AA144" s="96" t="inlineStr">
        <is>
          <t>Not a card source</t>
        </is>
      </c>
      <c r="AB144" s="96" t="inlineStr">
        <is>
          <t>Visa DEBIT only (no credit card)</t>
        </is>
      </c>
      <c r="AC144" s="96" t="inlineStr">
        <is>
          <t>SoCal / LA (San Gabriel Valley)</t>
        </is>
      </c>
      <c r="AD144" s="96" t="inlineStr">
        <is>
          <t>San Gabriel</t>
        </is>
      </c>
      <c r="AE144" s="96" t="inlineStr">
        <is>
          <t>84</t>
        </is>
      </c>
      <c r="AF144" s="96" t="inlineStr">
        <is>
          <t>HIGH no-card (homepage + commercial-loans confirm debit-only). 2026-05-29</t>
        </is>
      </c>
      <c r="AG144" s="96" t="inlineStr">
        <is>
          <t>pacificalliancebank.com (Commercial-Loans, Other-Services); FDIC cert 58234</t>
        </is>
      </c>
    </row>
    <row r="145" ht="15.75" customHeight="1">
      <c r="A145" s="96" t="inlineStr">
        <is>
          <t>142</t>
        </is>
      </c>
      <c r="B145" s="96" t="n"/>
      <c r="C145" s="96" t="inlineStr">
        <is>
          <t>Community Commerce Bank</t>
        </is>
      </c>
      <c r="D145" s="96" t="inlineStr">
        <is>
          <t>CA Bank</t>
        </is>
      </c>
      <c r="E145" s="96" t="inlineStr">
        <is>
          <t>★ Core SoCal</t>
        </is>
      </c>
      <c r="F145" s="96" t="inlineStr">
        <is>
          <t>1/4  ✗SUW ✗Onl ✓SoCal ✗Card</t>
        </is>
      </c>
      <c r="G145" s="96" t="inlineStr">
        <is>
          <t>—</t>
        </is>
      </c>
      <c r="H145" s="96" t="inlineStr">
        <is>
          <t>$0.41B</t>
        </is>
      </c>
      <c r="I145" s="96" t="inlineStr">
        <is>
          <t>N/M</t>
        </is>
      </c>
      <c r="J145" s="96" t="inlineStr">
        <is>
          <t>3 LA-County branches (Claremont, Monterey Park, Tarzana); TELACU family; est 1976</t>
        </is>
      </c>
      <c r="K145" s="96" t="inlineStr">
        <is>
          <t>CA-HQ'd</t>
        </is>
      </c>
      <c r="L145" s="96" t="inlineStr">
        <is>
          <t>—</t>
        </is>
      </c>
      <c r="M145" s="96" t="inlineStr">
        <is>
          <t>❌ No card (CRE/SBA lender; explicitly 'no unsecured products')</t>
        </is>
      </c>
      <c r="N145" s="96" t="inlineStr">
        <is>
          <t>None</t>
        </is>
      </c>
      <c r="O145" s="96" t="inlineStr">
        <is>
          <t>No</t>
        </is>
      </c>
      <c r="P145" s="96" t="inlineStr">
        <is>
          <t>— (no business card)</t>
        </is>
      </c>
      <c r="Q145" s="96" t="inlineStr">
        <is>
          <t>https://ccombank.com</t>
        </is>
      </c>
      <c r="R145" s="96" t="inlineStr">
        <is>
          <t>—</t>
        </is>
      </c>
      <c r="S145" s="96" t="inlineStr">
        <is>
          <t>N/M</t>
        </is>
      </c>
      <c r="T145" s="96" t="inlineStr">
        <is>
          <t>N/M</t>
        </is>
      </c>
      <c r="U145" s="96" t="inlineStr">
        <is>
          <t>N/M (FAQ: 'we do not have any checking or unsecured line of credit products')</t>
        </is>
      </c>
      <c r="V145" s="96" t="inlineStr">
        <is>
          <t>0</t>
        </is>
      </c>
      <c r="W145" s="96" t="inlineStr">
        <is>
          <t>F — No card</t>
        </is>
      </c>
      <c r="X145" s="96" t="inlineStr">
        <is>
          <t>N/M</t>
        </is>
      </c>
      <c r="Y145" s="96" t="inlineStr">
        <is>
          <t>None (CRE/SBA 7(a)/house-of-worship/non-owner-occ residential full-doc)</t>
        </is>
      </c>
      <c r="Z145" s="96" t="inlineStr">
        <is>
          <t>N/M</t>
        </is>
      </c>
      <c r="AA145" s="96" t="inlineStr">
        <is>
          <t>Not a card source</t>
        </is>
      </c>
      <c r="AB145" s="96" t="inlineStr">
        <is>
          <t>None (CRE + SBA lending; no unsecured/card products by own statement)</t>
        </is>
      </c>
      <c r="AC145" s="96" t="inlineStr">
        <is>
          <t>SoCal / LA (Claremont)</t>
        </is>
      </c>
      <c r="AD145" s="96" t="inlineStr">
        <is>
          <t>Claremont</t>
        </is>
      </c>
      <c r="AE145" s="96" t="inlineStr">
        <is>
          <t>85</t>
        </is>
      </c>
      <c r="AF145" s="96" t="inlineStr">
        <is>
          <t>HIGH no-card (own FAQ disclaims unsecured/card products). 2026-05-29</t>
        </is>
      </c>
      <c r="AG145" s="96" t="inlineStr">
        <is>
          <t>ccombank.com/faq + /loans + /about; FDIC cert 26363</t>
        </is>
      </c>
    </row>
    <row r="146" ht="15.75" customHeight="1">
      <c r="A146" s="96" t="inlineStr">
        <is>
          <t>143</t>
        </is>
      </c>
      <c r="B146" s="96" t="n"/>
      <c r="C146" s="96" t="inlineStr">
        <is>
          <t>Balboa Thrift and Loan Association</t>
        </is>
      </c>
      <c r="D146" s="96" t="inlineStr">
        <is>
          <t>CA Bank</t>
        </is>
      </c>
      <c r="E146" s="96" t="inlineStr">
        <is>
          <t>★ Core SoCal</t>
        </is>
      </c>
      <c r="F146" s="96" t="inlineStr">
        <is>
          <t>1/4  ✗SUW ✗Onl ✓SoCal ✗Card</t>
        </is>
      </c>
      <c r="G146" s="96" t="inlineStr">
        <is>
          <t>—</t>
        </is>
      </c>
      <c r="H146" s="96" t="inlineStr">
        <is>
          <t>$0.41B</t>
        </is>
      </c>
      <c r="I146" s="96" t="inlineStr">
        <is>
          <t>N/M</t>
        </is>
      </c>
      <c r="J146" s="96" t="inlineStr">
        <is>
          <t>San Diego (Chula Vista HQ) + Claremont, La Quinta, Fresno; industrial loan co. (est 1980)</t>
        </is>
      </c>
      <c r="K146" s="96" t="inlineStr">
        <is>
          <t>CA-HQ'd</t>
        </is>
      </c>
      <c r="L146" s="96" t="inlineStr">
        <is>
          <t>—</t>
        </is>
      </c>
      <c r="M146" s="96" t="inlineStr">
        <is>
          <t>❌ No card (auto + CRE thrift &amp; loan; FDIC-insured deposits)</t>
        </is>
      </c>
      <c r="N146" s="96" t="inlineStr">
        <is>
          <t>None</t>
        </is>
      </c>
      <c r="O146" s="96" t="inlineStr">
        <is>
          <t>No</t>
        </is>
      </c>
      <c r="P146" s="96" t="inlineStr">
        <is>
          <t>— (no business card)</t>
        </is>
      </c>
      <c r="Q146" s="96" t="inlineStr">
        <is>
          <t>https://www.balboathrift.com</t>
        </is>
      </c>
      <c r="R146" s="96" t="inlineStr">
        <is>
          <t>—</t>
        </is>
      </c>
      <c r="S146" s="96" t="inlineStr">
        <is>
          <t>N/M</t>
        </is>
      </c>
      <c r="T146" s="96" t="inlineStr">
        <is>
          <t>N/M</t>
        </is>
      </c>
      <c r="U146" s="96" t="inlineStr">
        <is>
          <t>N/M (auto via dealers/RouteOne; CRE via brokers)</t>
        </is>
      </c>
      <c r="V146" s="96" t="inlineStr">
        <is>
          <t>0</t>
        </is>
      </c>
      <c r="W146" s="96" t="inlineStr">
        <is>
          <t>F — No card</t>
        </is>
      </c>
      <c r="X146" s="96" t="inlineStr">
        <is>
          <t>N/M</t>
        </is>
      </c>
      <c r="Y146" s="96" t="inlineStr">
        <is>
          <t>None (auto ~75% + CRE ~25%, collateral/full-doc)</t>
        </is>
      </c>
      <c r="Z146" s="96" t="inlineStr">
        <is>
          <t>N/M</t>
        </is>
      </c>
      <c r="AA146" s="96" t="inlineStr">
        <is>
          <t>Not a card source</t>
        </is>
      </c>
      <c r="AB146" s="96" t="inlineStr">
        <is>
          <t>None (auto finance + CRE lending; deposits/CDs; no card)</t>
        </is>
      </c>
      <c r="AC146" s="96" t="inlineStr">
        <is>
          <t>SoCal / San Diego</t>
        </is>
      </c>
      <c r="AD146" s="96" t="inlineStr">
        <is>
          <t>Chula Vista</t>
        </is>
      </c>
      <c r="AE146" s="96" t="inlineStr">
        <is>
          <t>86</t>
        </is>
      </c>
      <c r="AF146" s="96" t="inlineStr">
        <is>
          <t>MED-HIGH no-card (auto+CRE lender; own site stale, third-party-corroborated). 2026-05-29</t>
        </is>
      </c>
      <c r="AG146" s="96" t="inlineStr">
        <is>
          <t>sdbj.com (auto/CRE focus); dfpi.ca.gov; FDIC cert 26704</t>
        </is>
      </c>
    </row>
    <row r="147" ht="15.75" customHeight="1">
      <c r="A147" s="96" t="inlineStr">
        <is>
          <t>144</t>
        </is>
      </c>
      <c r="B147" s="96" t="n"/>
      <c r="C147" s="96" t="inlineStr">
        <is>
          <t>Liberty Bank, N.A. (Irvine, CA)</t>
        </is>
      </c>
      <c r="D147" s="96" t="inlineStr">
        <is>
          <t>CA Bank</t>
        </is>
      </c>
      <c r="E147" s="96" t="inlineStr">
        <is>
          <t>★ Core SoCal</t>
        </is>
      </c>
      <c r="F147" s="96" t="inlineStr">
        <is>
          <t>1/4  ✗SUW ✗Onl ✓SoCal ✗Card</t>
        </is>
      </c>
      <c r="G147" s="96" t="inlineStr">
        <is>
          <t>—</t>
        </is>
      </c>
      <c r="H147" s="96" t="inlineStr">
        <is>
          <t>$0.40B</t>
        </is>
      </c>
      <c r="I147" s="96" t="inlineStr">
        <is>
          <t>N/M</t>
        </is>
      </c>
      <c r="J147" s="96" t="inlineStr">
        <is>
          <t>4 CA branches; Irvine HQ (OC) + LA + SF Bay Area (Millbrae/Boulder Creek/Felton/S.SF); DMG Bancshares; est 2001</t>
        </is>
      </c>
      <c r="K147" s="96" t="inlineStr">
        <is>
          <t>CA-HQ'd</t>
        </is>
      </c>
      <c r="L147" s="96" t="inlineStr">
        <is>
          <t>—</t>
        </is>
      </c>
      <c r="M147" s="96" t="inlineStr">
        <is>
          <t>❌ No card (commercial bank; deposits + relationship lending)</t>
        </is>
      </c>
      <c r="N147" s="96" t="inlineStr">
        <is>
          <t>None (NOTE: Elan card data online belongs to Liberty Bank of CT — different entity)</t>
        </is>
      </c>
      <c r="O147" s="96" t="inlineStr">
        <is>
          <t>No</t>
        </is>
      </c>
      <c r="P147" s="96" t="inlineStr">
        <is>
          <t>— (no business card)</t>
        </is>
      </c>
      <c r="Q147" s="96" t="inlineStr">
        <is>
          <t>https://www.libertybk.com</t>
        </is>
      </c>
      <c r="R147" s="96" t="inlineStr">
        <is>
          <t>—</t>
        </is>
      </c>
      <c r="S147" s="96" t="inlineStr">
        <is>
          <t>N/M</t>
        </is>
      </c>
      <c r="T147" s="96" t="inlineStr">
        <is>
          <t>N/M</t>
        </is>
      </c>
      <c r="U147" s="96" t="inlineStr">
        <is>
          <t>N/M</t>
        </is>
      </c>
      <c r="V147" s="96" t="inlineStr">
        <is>
          <t>0</t>
        </is>
      </c>
      <c r="W147" s="96" t="inlineStr">
        <is>
          <t>F — No card</t>
        </is>
      </c>
      <c r="X147" s="96" t="inlineStr">
        <is>
          <t>N/M</t>
        </is>
      </c>
      <c r="Y147" s="96" t="inlineStr">
        <is>
          <t>None (term/LOC/commercial credit/CRE construction-to-perm full-doc)</t>
        </is>
      </c>
      <c r="Z147" s="96" t="inlineStr">
        <is>
          <t>N/M</t>
        </is>
      </c>
      <c r="AA147" s="96" t="inlineStr">
        <is>
          <t>Not a card source</t>
        </is>
      </c>
      <c r="AB147" s="96" t="inlineStr">
        <is>
          <t>None (deposits + commercial lending; no card)</t>
        </is>
      </c>
      <c r="AC147" s="96" t="inlineStr">
        <is>
          <t>SoCal / Orange County</t>
        </is>
      </c>
      <c r="AD147" s="96" t="inlineStr">
        <is>
          <t>Irvine</t>
        </is>
      </c>
      <c r="AE147" s="96" t="inlineStr">
        <is>
          <t>89</t>
        </is>
      </c>
      <c r="AF147" s="96" t="inlineStr">
        <is>
          <t>HIGH no-card for cert 35331 (own site; NOT Liberty Bank of CT which uses Elan). 2026-05-29</t>
        </is>
      </c>
      <c r="AG147" s="96" t="inlineStr">
        <is>
          <t>libertybk.com (businessbanking, lending); FDIC cert 35331</t>
        </is>
      </c>
    </row>
    <row r="148" ht="15.75" customHeight="1">
      <c r="A148" s="96" t="inlineStr">
        <is>
          <t>145</t>
        </is>
      </c>
      <c r="B148" s="96" t="n"/>
      <c r="C148" s="96" t="inlineStr">
        <is>
          <t>American Continental Bank</t>
        </is>
      </c>
      <c r="D148" s="96" t="inlineStr">
        <is>
          <t>CA Bank</t>
        </is>
      </c>
      <c r="E148" s="96" t="inlineStr">
        <is>
          <t>★ Core SoCal</t>
        </is>
      </c>
      <c r="F148" s="96" t="inlineStr">
        <is>
          <t>1/4  ✗SUW ✗Onl ✓SoCal ✗Card</t>
        </is>
      </c>
      <c r="G148" s="96" t="inlineStr">
        <is>
          <t>—</t>
        </is>
      </c>
      <c r="H148" s="96" t="inlineStr">
        <is>
          <t>$0.38B</t>
        </is>
      </c>
      <c r="I148" s="96" t="inlineStr">
        <is>
          <t>N/M</t>
        </is>
      </c>
      <c r="J148" s="96" t="inlineStr">
        <is>
          <t>~7 branches (CA + WA); City of Industry HQ; Chinese-American; pending Taichung Bank (Taiwan) acquisition</t>
        </is>
      </c>
      <c r="K148" s="96" t="inlineStr">
        <is>
          <t>CA-HQ'd</t>
        </is>
      </c>
      <c r="L148" s="96" t="inlineStr">
        <is>
          <t>—</t>
        </is>
      </c>
      <c r="M148" s="96" t="inlineStr">
        <is>
          <t>❌ No card (commercial/SBA lender; debit/ATM only)</t>
        </is>
      </c>
      <c r="N148" s="96" t="inlineStr">
        <is>
          <t>None</t>
        </is>
      </c>
      <c r="O148" s="96" t="inlineStr">
        <is>
          <t>No</t>
        </is>
      </c>
      <c r="P148" s="96" t="inlineStr">
        <is>
          <t>— (no business card)</t>
        </is>
      </c>
      <c r="Q148" s="96" t="inlineStr">
        <is>
          <t>https://www.americancontinentalbank.com</t>
        </is>
      </c>
      <c r="R148" s="96" t="inlineStr">
        <is>
          <t>—</t>
        </is>
      </c>
      <c r="S148" s="96" t="inlineStr">
        <is>
          <t>N/M</t>
        </is>
      </c>
      <c r="T148" s="96" t="inlineStr">
        <is>
          <t>N/M</t>
        </is>
      </c>
      <c r="U148" s="96" t="inlineStr">
        <is>
          <t>N/M</t>
        </is>
      </c>
      <c r="V148" s="96" t="inlineStr">
        <is>
          <t>0</t>
        </is>
      </c>
      <c r="W148" s="96" t="inlineStr">
        <is>
          <t>F — No card</t>
        </is>
      </c>
      <c r="X148" s="96" t="inlineStr">
        <is>
          <t>N/M</t>
        </is>
      </c>
      <c r="Y148" s="96" t="inlineStr">
        <is>
          <t>None (CRE/apartment/construction/land/equipment/C&amp;I/SBA 7(a)/504 full-doc)</t>
        </is>
      </c>
      <c r="Z148" s="96" t="inlineStr">
        <is>
          <t>N/M</t>
        </is>
      </c>
      <c r="AA148" s="96" t="inlineStr">
        <is>
          <t>Not a card source</t>
        </is>
      </c>
      <c r="AB148" s="96" t="inlineStr">
        <is>
          <t>None (commercial/SBA lending; debit/ATM cards only)</t>
        </is>
      </c>
      <c r="AC148" s="96" t="inlineStr">
        <is>
          <t>SoCal / LA (San Gabriel Valley)</t>
        </is>
      </c>
      <c r="AD148" s="96" t="inlineStr">
        <is>
          <t>City of Industry</t>
        </is>
      </c>
      <c r="AE148" s="96" t="inlineStr">
        <is>
          <t>91</t>
        </is>
      </c>
      <c r="AF148" s="96" t="inlineStr">
        <is>
          <t>HIGH no-card (own Products &amp; Services = debit + commercial/SBA only). 2026-05-29</t>
        </is>
      </c>
      <c r="AG148" s="96" t="inlineStr">
        <is>
          <t>americancontinentalbank.com/Products-Services; FDIC cert 57444; en.wikipedia.org</t>
        </is>
      </c>
    </row>
    <row r="149" ht="15.75" customHeight="1">
      <c r="A149" s="96" t="inlineStr">
        <is>
          <t>146</t>
        </is>
      </c>
      <c r="B149" s="96" t="n"/>
      <c r="C149" s="96" t="inlineStr">
        <is>
          <t>Universal Bank</t>
        </is>
      </c>
      <c r="D149" s="96" t="inlineStr">
        <is>
          <t>CA Bank</t>
        </is>
      </c>
      <c r="E149" s="96" t="inlineStr">
        <is>
          <t>★ Core SoCal</t>
        </is>
      </c>
      <c r="F149" s="96" t="inlineStr">
        <is>
          <t>1/4  ✗SUW ✗Onl ✓SoCal ✗Card</t>
        </is>
      </c>
      <c r="G149" s="96" t="inlineStr">
        <is>
          <t>—</t>
        </is>
      </c>
      <c r="H149" s="96" t="inlineStr">
        <is>
          <t>$0.37B</t>
        </is>
      </c>
      <c r="I149" s="96" t="inlineStr">
        <is>
          <t>N/M</t>
        </is>
      </c>
      <c r="J149" s="96" t="inlineStr">
        <is>
          <t>5 CA branches; West Covina HQ; SGV/LA thrift (est 1954)</t>
        </is>
      </c>
      <c r="K149" s="96" t="inlineStr">
        <is>
          <t>CA-HQ'd</t>
        </is>
      </c>
      <c r="L149" s="96" t="inlineStr">
        <is>
          <t>—</t>
        </is>
      </c>
      <c r="M149" s="96" t="inlineStr">
        <is>
          <t>❌ No BUSINESS card (Elan PERSONAL card only; business = deposits + commercial lending)</t>
        </is>
      </c>
      <c r="N149" s="96" t="inlineStr">
        <is>
          <t>None for business (Elan issues its personal card)</t>
        </is>
      </c>
      <c r="O149" s="96" t="inlineStr">
        <is>
          <t>No</t>
        </is>
      </c>
      <c r="P149" s="96" t="inlineStr">
        <is>
          <t>— (no business card)</t>
        </is>
      </c>
      <c r="Q149" s="96" t="inlineStr">
        <is>
          <t>https://www.universalbank.com</t>
        </is>
      </c>
      <c r="R149" s="96" t="inlineStr">
        <is>
          <t>—</t>
        </is>
      </c>
      <c r="S149" s="96" t="inlineStr">
        <is>
          <t>N/M</t>
        </is>
      </c>
      <c r="T149" s="96" t="inlineStr">
        <is>
          <t>N/M</t>
        </is>
      </c>
      <c r="U149" s="96" t="inlineStr">
        <is>
          <t>N/M (no business card; personal Elan card exists)</t>
        </is>
      </c>
      <c r="V149" s="96" t="inlineStr">
        <is>
          <t>0</t>
        </is>
      </c>
      <c r="W149" s="96" t="inlineStr">
        <is>
          <t>F — No card</t>
        </is>
      </c>
      <c r="X149" s="96" t="inlineStr">
        <is>
          <t>N/M</t>
        </is>
      </c>
      <c r="Y149" s="96" t="inlineStr">
        <is>
          <t>None (commercial lending relationship-underwritten)</t>
        </is>
      </c>
      <c r="Z149" s="96" t="inlineStr">
        <is>
          <t>N/M</t>
        </is>
      </c>
      <c r="AA149" s="96" t="inlineStr">
        <is>
          <t>Not a card source</t>
        </is>
      </c>
      <c r="AB149" s="96" t="inlineStr">
        <is>
          <t>Personal credit card (Elan) only; business = checking/savings/CD/Solutions + commercial lending</t>
        </is>
      </c>
      <c r="AC149" s="96" t="inlineStr">
        <is>
          <t>SoCal / LA (San Gabriel Valley)</t>
        </is>
      </c>
      <c r="AD149" s="96" t="inlineStr">
        <is>
          <t>West Covina</t>
        </is>
      </c>
      <c r="AE149" s="96" t="inlineStr">
        <is>
          <t>92</t>
        </is>
      </c>
      <c r="AF149" s="96" t="inlineStr">
        <is>
          <t>HIGH no business card (own site; personal-only Elan card; business is deposit+commercial-loan). 2026-05-29</t>
        </is>
      </c>
      <c r="AG149" s="96" t="inlineStr">
        <is>
          <t>universalbank.com/Resources/All-Services (personal card 'through Elan'); FDIC cert 30722</t>
        </is>
      </c>
    </row>
    <row r="150" ht="15.75" customHeight="1">
      <c r="A150" s="96" t="inlineStr">
        <is>
          <t>147</t>
        </is>
      </c>
      <c r="B150" s="96" t="n"/>
      <c r="C150" s="96" t="inlineStr">
        <is>
          <t>Murphy Bank</t>
        </is>
      </c>
      <c r="D150" s="96" t="inlineStr">
        <is>
          <t>CA Bank</t>
        </is>
      </c>
      <c r="E150" s="96" t="inlineStr">
        <is>
          <t>Other — Central Valley (Fresno)</t>
        </is>
      </c>
      <c r="F150" s="96" t="inlineStr">
        <is>
          <t>0/4  ✗SUW ✗Onl ✗SoCal ✗Card</t>
        </is>
      </c>
      <c r="G150" s="96" t="inlineStr">
        <is>
          <t>—</t>
        </is>
      </c>
      <c r="H150" s="96" t="inlineStr">
        <is>
          <t>$0.36B</t>
        </is>
      </c>
      <c r="I150" s="96" t="inlineStr">
        <is>
          <t>N/M</t>
        </is>
      </c>
      <c r="J150" s="96" t="inlineStr">
        <is>
          <t>~2 Fresno locations; specialty secured lender; est 1984 (branded 'since 1976')</t>
        </is>
      </c>
      <c r="K150" s="96" t="inlineStr">
        <is>
          <t>CA-HQ'd</t>
        </is>
      </c>
      <c r="L150" s="96" t="inlineStr">
        <is>
          <t>—</t>
        </is>
      </c>
      <c r="M150" s="96" t="inlineStr">
        <is>
          <t>❌ No card (specialty secured lender; deposits)</t>
        </is>
      </c>
      <c r="N150" s="96" t="inlineStr">
        <is>
          <t>None</t>
        </is>
      </c>
      <c r="O150" s="96" t="inlineStr">
        <is>
          <t>No</t>
        </is>
      </c>
      <c r="P150" s="96" t="inlineStr">
        <is>
          <t>— (no business card)</t>
        </is>
      </c>
      <c r="Q150" s="96" t="inlineStr">
        <is>
          <t>https://www.murphybank.com</t>
        </is>
      </c>
      <c r="R150" s="96" t="inlineStr">
        <is>
          <t>—</t>
        </is>
      </c>
      <c r="S150" s="96" t="inlineStr">
        <is>
          <t>N/M</t>
        </is>
      </c>
      <c r="T150" s="96" t="inlineStr">
        <is>
          <t>N/M</t>
        </is>
      </c>
      <c r="U150" s="96" t="inlineStr">
        <is>
          <t>N/M (Murphy USA Visa = unrelated FNBO entity)</t>
        </is>
      </c>
      <c r="V150" s="96" t="inlineStr">
        <is>
          <t>0</t>
        </is>
      </c>
      <c r="W150" s="96" t="inlineStr">
        <is>
          <t>F — No card</t>
        </is>
      </c>
      <c r="X150" s="96" t="inlineStr">
        <is>
          <t>N/M</t>
        </is>
      </c>
      <c r="Y150" s="96" t="inlineStr">
        <is>
          <t>None (collateral-based: mobile homes, farm/commercial equipment, semi-trucks, vehicles)</t>
        </is>
      </c>
      <c r="Z150" s="96" t="inlineStr">
        <is>
          <t>N/M</t>
        </is>
      </c>
      <c r="AA150" s="96" t="inlineStr">
        <is>
          <t>Not a card source</t>
        </is>
      </c>
      <c r="AB150" s="96" t="inlineStr">
        <is>
          <t>None (deposits + specialty secured financing; no card)</t>
        </is>
      </c>
      <c r="AC150" s="96" t="inlineStr">
        <is>
          <t>Central Valley (Fresno)</t>
        </is>
      </c>
      <c r="AD150" s="96" t="inlineStr">
        <is>
          <t>Fresno</t>
        </is>
      </c>
      <c r="AE150" s="96" t="inlineStr">
        <is>
          <t>93</t>
        </is>
      </c>
      <c r="AF150" s="96" t="inlineStr">
        <is>
          <t>HIGH no-card (own product nav = deposits + secured loans only). 2026-05-29</t>
        </is>
      </c>
      <c r="AG150" s="96" t="inlineStr">
        <is>
          <t>murphybank.com; FDIC cert 25726; bestcashcow.com</t>
        </is>
      </c>
    </row>
    <row r="151" ht="15.75" customHeight="1">
      <c r="A151" s="96" t="inlineStr">
        <is>
          <t>148</t>
        </is>
      </c>
      <c r="B151" s="96" t="n"/>
      <c r="C151" s="96" t="inlineStr">
        <is>
          <t>Bank Irvine</t>
        </is>
      </c>
      <c r="D151" s="96" t="inlineStr">
        <is>
          <t>CA Bank</t>
        </is>
      </c>
      <c r="E151" s="96" t="inlineStr">
        <is>
          <t>★ Core SoCal</t>
        </is>
      </c>
      <c r="F151" s="96" t="inlineStr">
        <is>
          <t>1/4  ✗SUW ✗Onl ✓SoCal ✗Card</t>
        </is>
      </c>
      <c r="G151" s="96" t="inlineStr">
        <is>
          <t>—</t>
        </is>
      </c>
      <c r="H151" s="96" t="inlineStr">
        <is>
          <t>$0.31B</t>
        </is>
      </c>
      <c r="I151" s="96" t="inlineStr">
        <is>
          <t>N/M</t>
        </is>
      </c>
      <c r="J151" s="96" t="inlineStr">
        <is>
          <t>Single office (Irvine, OC); target OC + LA County; de novo est Oct 2022. NOT a Commercial Bank of CA rebrand</t>
        </is>
      </c>
      <c r="K151" s="96" t="inlineStr">
        <is>
          <t>CA-HQ'd</t>
        </is>
      </c>
      <c r="L151" s="96" t="inlineStr">
        <is>
          <t>—</t>
        </is>
      </c>
      <c r="M151" s="96" t="inlineStr">
        <is>
          <t>❌ No card (de novo commercial bank; Mastercard debit only)</t>
        </is>
      </c>
      <c r="N151" s="96" t="inlineStr">
        <is>
          <t>None</t>
        </is>
      </c>
      <c r="O151" s="96" t="inlineStr">
        <is>
          <t>No</t>
        </is>
      </c>
      <c r="P151" s="96" t="inlineStr">
        <is>
          <t>— (no business card)</t>
        </is>
      </c>
      <c r="Q151" s="96" t="inlineStr">
        <is>
          <t>https://www.bankirvine.com</t>
        </is>
      </c>
      <c r="R151" s="96" t="inlineStr">
        <is>
          <t>—</t>
        </is>
      </c>
      <c r="S151" s="96" t="inlineStr">
        <is>
          <t>N/M</t>
        </is>
      </c>
      <c r="T151" s="96" t="inlineStr">
        <is>
          <t>N/M</t>
        </is>
      </c>
      <c r="U151" s="96" t="inlineStr">
        <is>
          <t>N/M</t>
        </is>
      </c>
      <c r="V151" s="96" t="inlineStr">
        <is>
          <t>0</t>
        </is>
      </c>
      <c r="W151" s="96" t="inlineStr">
        <is>
          <t>F — No card</t>
        </is>
      </c>
      <c r="X151" s="96" t="inlineStr">
        <is>
          <t>N/M</t>
        </is>
      </c>
      <c r="Y151" s="96" t="inlineStr">
        <is>
          <t>None (C&amp;I/CRE/multifamily/SBA full-doc)</t>
        </is>
      </c>
      <c r="Z151" s="96" t="inlineStr">
        <is>
          <t>N/M</t>
        </is>
      </c>
      <c r="AA151" s="96" t="inlineStr">
        <is>
          <t>Not a card source</t>
        </is>
      </c>
      <c r="AB151" s="96" t="inlineStr">
        <is>
          <t>Mastercard business/personal DEBIT only (no credit card)</t>
        </is>
      </c>
      <c r="AC151" s="96" t="inlineStr">
        <is>
          <t>SoCal / Orange County</t>
        </is>
      </c>
      <c r="AD151" s="96" t="inlineStr">
        <is>
          <t>Irvine</t>
        </is>
      </c>
      <c r="AE151" s="96" t="inlineStr">
        <is>
          <t>94</t>
        </is>
      </c>
      <c r="AF151" s="96" t="inlineStr">
        <is>
          <t>HIGH no-card (own business pages = C&amp;I/CRE/SBA + debit only). 2026-05-29</t>
        </is>
      </c>
      <c r="AG151" s="96" t="inlineStr">
        <is>
          <t>bankirvine.com/business-banking + /debit-card; FDIC cert 59296</t>
        </is>
      </c>
    </row>
    <row r="152" ht="15.75" customHeight="1">
      <c r="A152" s="96" t="inlineStr">
        <is>
          <t>149</t>
        </is>
      </c>
      <c r="B152" s="96" t="n"/>
      <c r="C152" s="96" t="inlineStr">
        <is>
          <t>Monterey County Bank</t>
        </is>
      </c>
      <c r="D152" s="96" t="inlineStr">
        <is>
          <t>CA Bank</t>
        </is>
      </c>
      <c r="E152" s="96" t="inlineStr">
        <is>
          <t>Other — Central Coast (Monterey County)</t>
        </is>
      </c>
      <c r="F152" s="96" t="inlineStr">
        <is>
          <t>0/4  ✗SUW ✗Onl ✗SoCal ✗Card</t>
        </is>
      </c>
      <c r="G152" s="96" t="inlineStr">
        <is>
          <t>—</t>
        </is>
      </c>
      <c r="H152" s="96" t="inlineStr">
        <is>
          <t>$0.30B</t>
        </is>
      </c>
      <c r="I152" s="96" t="inlineStr">
        <is>
          <t>N/M</t>
        </is>
      </c>
      <c r="J152" s="96" t="inlineStr">
        <is>
          <t>Monterey/Carmel/Pacific Grove/Salinas; est 1977; 2023 recap reported</t>
        </is>
      </c>
      <c r="K152" s="96" t="inlineStr">
        <is>
          <t>CA-HQ'd</t>
        </is>
      </c>
      <c r="L152" s="96" t="inlineStr">
        <is>
          <t>—</t>
        </is>
      </c>
      <c r="M152" s="96" t="inlineStr">
        <is>
          <t>❌ No BUSINESS card (legacy consumer subprime 'Emblem' MC only; SBA/commercial lender)</t>
        </is>
      </c>
      <c r="N152" s="96" t="inlineStr">
        <is>
          <t>None for business (legacy Emblem run by Jefferson Capital)</t>
        </is>
      </c>
      <c r="O152" s="96" t="inlineStr">
        <is>
          <t>No</t>
        </is>
      </c>
      <c r="P152" s="96" t="inlineStr">
        <is>
          <t>— (no business card)</t>
        </is>
      </c>
      <c r="Q152" s="96" t="inlineStr">
        <is>
          <t>https://montereycountybank.com</t>
        </is>
      </c>
      <c r="R152" s="96" t="inlineStr">
        <is>
          <t>—</t>
        </is>
      </c>
      <c r="S152" s="96" t="inlineStr">
        <is>
          <t>N/M</t>
        </is>
      </c>
      <c r="T152" s="96" t="inlineStr">
        <is>
          <t>N/M</t>
        </is>
      </c>
      <c r="U152" s="96" t="inlineStr">
        <is>
          <t>N/M (Emblem = consumer subprime credit-builder, not business; not on bank site)</t>
        </is>
      </c>
      <c r="V152" s="96" t="inlineStr">
        <is>
          <t>0</t>
        </is>
      </c>
      <c r="W152" s="96" t="inlineStr">
        <is>
          <t>F — No card</t>
        </is>
      </c>
      <c r="X152" s="96" t="inlineStr">
        <is>
          <t>N/M</t>
        </is>
      </c>
      <c r="Y152" s="96" t="inlineStr">
        <is>
          <t>None (SBA 7(a)/CRE/C&amp;I full-doc; #1 SBA 7(a) lender in Monterey County)</t>
        </is>
      </c>
      <c r="Z152" s="96" t="inlineStr">
        <is>
          <t>N/M</t>
        </is>
      </c>
      <c r="AA152" s="96" t="inlineStr">
        <is>
          <t>Not a card source</t>
        </is>
      </c>
      <c r="AB152" s="96" t="inlineStr">
        <is>
          <t>None for business (debit + Elavon merchant; legacy consumer Emblem MC via Jefferson Capital)</t>
        </is>
      </c>
      <c r="AC152" s="96" t="inlineStr">
        <is>
          <t>Central Coast (Monterey County)</t>
        </is>
      </c>
      <c r="AD152" s="96" t="inlineStr">
        <is>
          <t>Monterey</t>
        </is>
      </c>
      <c r="AE152" s="96" t="inlineStr">
        <is>
          <t>95</t>
        </is>
      </c>
      <c r="AF152" s="96" t="inlineStr">
        <is>
          <t>HIGH no business card (site = debit + merchant only; Emblem is consumer-only legacy). 2026-05-29</t>
        </is>
      </c>
      <c r="AG152" s="96" t="inlineStr">
        <is>
          <t>montereycountybank.com (Debit-Card, Merchant-Services); FDIC cert 22460; creditcardchaser.com (legacy Emblem)</t>
        </is>
      </c>
    </row>
    <row r="153" ht="15.75" customHeight="1">
      <c r="A153" s="96" t="inlineStr">
        <is>
          <t>150</t>
        </is>
      </c>
      <c r="B153" s="96" t="n"/>
      <c r="C153" s="96" t="inlineStr">
        <is>
          <t>Gateway Bank, F.S.B.</t>
        </is>
      </c>
      <c r="D153" s="96" t="inlineStr">
        <is>
          <t>CA Bank</t>
        </is>
      </c>
      <c r="E153" s="96" t="inlineStr">
        <is>
          <t>Other — NorCal</t>
        </is>
      </c>
      <c r="F153" s="96" t="inlineStr">
        <is>
          <t>0/4  ✗SUW ✗Onl ✗SoCal ✗Card</t>
        </is>
      </c>
      <c r="G153" s="96" t="inlineStr">
        <is>
          <t>—</t>
        </is>
      </c>
      <c r="H153" s="96" t="inlineStr">
        <is>
          <t>$0.29B</t>
        </is>
      </c>
      <c r="I153" s="96" t="inlineStr">
        <is>
          <t>N/M</t>
        </is>
      </c>
      <c r="J153" s="96" t="inlineStr">
        <is>
          <t>Oakland + Walnut Creek; federal savings bank (thrift); est 1990. NOT AZ/AR same-name banks</t>
        </is>
      </c>
      <c r="K153" s="96" t="inlineStr">
        <is>
          <t>CA-HQ'd</t>
        </is>
      </c>
      <c r="L153" s="96" t="inlineStr">
        <is>
          <t>—</t>
        </is>
      </c>
      <c r="M153" s="96" t="inlineStr">
        <is>
          <t>❌ No card (thrift; MoneyPass debit; collateral-based CRE lending)</t>
        </is>
      </c>
      <c r="N153" s="96" t="inlineStr">
        <is>
          <t>None</t>
        </is>
      </c>
      <c r="O153" s="96" t="inlineStr">
        <is>
          <t>No</t>
        </is>
      </c>
      <c r="P153" s="96" t="inlineStr">
        <is>
          <t>— (no business card)</t>
        </is>
      </c>
      <c r="Q153" s="96" t="inlineStr">
        <is>
          <t>https://www.gatewayfsb.com</t>
        </is>
      </c>
      <c r="R153" s="96" t="inlineStr">
        <is>
          <t>—</t>
        </is>
      </c>
      <c r="S153" s="96" t="inlineStr">
        <is>
          <t>N/M</t>
        </is>
      </c>
      <c r="T153" s="96" t="inlineStr">
        <is>
          <t>N/M</t>
        </is>
      </c>
      <c r="U153" s="96" t="inlineStr">
        <is>
          <t>N/M</t>
        </is>
      </c>
      <c r="V153" s="96" t="inlineStr">
        <is>
          <t>0</t>
        </is>
      </c>
      <c r="W153" s="96" t="inlineStr">
        <is>
          <t>F — No card</t>
        </is>
      </c>
      <c r="X153" s="96" t="inlineStr">
        <is>
          <t>N/M</t>
        </is>
      </c>
      <c r="Y153" s="96" t="inlineStr">
        <is>
          <t>None (real-estate-collateral CRE/LOC/term full-doc)</t>
        </is>
      </c>
      <c r="Z153" s="96" t="inlineStr">
        <is>
          <t>N/M</t>
        </is>
      </c>
      <c r="AA153" s="96" t="inlineStr">
        <is>
          <t>Not a card source</t>
        </is>
      </c>
      <c r="AB153" s="96" t="inlineStr">
        <is>
          <t>None (deposits + treasury + collateral CRE loans; MoneyPass debit only)</t>
        </is>
      </c>
      <c r="AC153" s="96" t="inlineStr">
        <is>
          <t>NorCal / SF-East Bay</t>
        </is>
      </c>
      <c r="AD153" s="96" t="inlineStr">
        <is>
          <t>Oakland</t>
        </is>
      </c>
      <c r="AE153" s="96" t="inlineStr">
        <is>
          <t>96</t>
        </is>
      </c>
      <c r="AF153" s="96" t="inlineStr">
        <is>
          <t>HIGH no-card (own home + commercial-loans pages; debit only; assets verified $286.5M). 2026-05-29</t>
        </is>
      </c>
      <c r="AG153" s="96" t="inlineStr">
        <is>
          <t>gatewayfsb.com + /commercial-loans; FDIC cert 33103 ($286.53M)</t>
        </is>
      </c>
    </row>
    <row r="154" ht="15.75" customHeight="1">
      <c r="A154" s="96" t="inlineStr">
        <is>
          <t>151</t>
        </is>
      </c>
      <c r="B154" s="96" t="n"/>
      <c r="C154" s="96" t="inlineStr">
        <is>
          <t>Mission National Bank</t>
        </is>
      </c>
      <c r="D154" s="96" t="inlineStr">
        <is>
          <t>CA Bank</t>
        </is>
      </c>
      <c r="E154" s="96" t="inlineStr">
        <is>
          <t>Other — NorCal</t>
        </is>
      </c>
      <c r="F154" s="96" t="inlineStr">
        <is>
          <t>0/4  ✗SUW ✗Onl ✗SoCal ✗Card</t>
        </is>
      </c>
      <c r="G154" s="96" t="inlineStr">
        <is>
          <t>—</t>
        </is>
      </c>
      <c r="H154" s="96" t="inlineStr">
        <is>
          <t>$0.25B</t>
        </is>
      </c>
      <c r="I154" s="96" t="inlineStr">
        <is>
          <t>N/M</t>
        </is>
      </c>
      <c r="J154" s="96" t="inlineStr">
        <is>
          <t>Single SF office (Mission District); ~42 yrs; CA-only</t>
        </is>
      </c>
      <c r="K154" s="96" t="inlineStr">
        <is>
          <t>CA-HQ'd</t>
        </is>
      </c>
      <c r="L154" s="96" t="inlineStr">
        <is>
          <t>—</t>
        </is>
      </c>
      <c r="M154" s="96" t="inlineStr">
        <is>
          <t>❌ No card (community bank; Visa debit only)</t>
        </is>
      </c>
      <c r="N154" s="96" t="inlineStr">
        <is>
          <t>None</t>
        </is>
      </c>
      <c r="O154" s="96" t="inlineStr">
        <is>
          <t>No</t>
        </is>
      </c>
      <c r="P154" s="96" t="inlineStr">
        <is>
          <t>— (no business card)</t>
        </is>
      </c>
      <c r="Q154" s="96" t="inlineStr">
        <is>
          <t>https://mnbsf.com</t>
        </is>
      </c>
      <c r="R154" s="96" t="inlineStr">
        <is>
          <t>—</t>
        </is>
      </c>
      <c r="S154" s="96" t="inlineStr">
        <is>
          <t>N/M</t>
        </is>
      </c>
      <c r="T154" s="96" t="inlineStr">
        <is>
          <t>N/M</t>
        </is>
      </c>
      <c r="U154" s="96" t="inlineStr">
        <is>
          <t>N/M (Prelim portal = deposit account opening, not cards)</t>
        </is>
      </c>
      <c r="V154" s="96" t="inlineStr">
        <is>
          <t>0</t>
        </is>
      </c>
      <c r="W154" s="96" t="inlineStr">
        <is>
          <t>F — No card</t>
        </is>
      </c>
      <c r="X154" s="96" t="inlineStr">
        <is>
          <t>N/M</t>
        </is>
      </c>
      <c r="Y154" s="96" t="inlineStr">
        <is>
          <t>None (term/LOC/CRE/letters-of-credit full-doc)</t>
        </is>
      </c>
      <c r="Z154" s="96" t="inlineStr">
        <is>
          <t>N/M</t>
        </is>
      </c>
      <c r="AA154" s="96" t="inlineStr">
        <is>
          <t>Not a card source</t>
        </is>
      </c>
      <c r="AB154" s="96" t="inlineStr">
        <is>
          <t>Visa DEBIT only (no credit card)</t>
        </is>
      </c>
      <c r="AC154" s="96" t="inlineStr">
        <is>
          <t>NorCal / SF</t>
        </is>
      </c>
      <c r="AD154" s="96" t="inlineStr">
        <is>
          <t>San Francisco</t>
        </is>
      </c>
      <c r="AE154" s="96" t="inlineStr">
        <is>
          <t>99</t>
        </is>
      </c>
      <c r="AF154" s="96" t="inlineStr">
        <is>
          <t>HIGH no-card (site nav = debit + commercial lending only). 2026-05-29</t>
        </is>
      </c>
      <c r="AG154" s="96" t="inlineStr">
        <is>
          <t>mnbsf.com (home, Contact-Us); FDIC cert 23749</t>
        </is>
      </c>
    </row>
    <row r="155" ht="15.75" customHeight="1">
      <c r="A155" s="96" t="inlineStr">
        <is>
          <t>152</t>
        </is>
      </c>
      <c r="B155" s="96" t="n"/>
      <c r="C155" s="96" t="inlineStr">
        <is>
          <t>Neighborhood National Bank</t>
        </is>
      </c>
      <c r="D155" s="96" t="inlineStr">
        <is>
          <t>CA Bank</t>
        </is>
      </c>
      <c r="E155" s="96" t="inlineStr">
        <is>
          <t>★ Core SoCal</t>
        </is>
      </c>
      <c r="F155" s="96" t="inlineStr">
        <is>
          <t>1/4  ✗SUW ✗Onl ✓SoCal ✗Card</t>
        </is>
      </c>
      <c r="G155" s="96" t="inlineStr">
        <is>
          <t>—</t>
        </is>
      </c>
      <c r="H155" s="96" t="inlineStr">
        <is>
          <t>$0.23B</t>
        </is>
      </c>
      <c r="I155" s="96" t="inlineStr">
        <is>
          <t>N/M</t>
        </is>
      </c>
      <c r="J155" s="96" t="inlineStr">
        <is>
          <t>San Diego County (El Cajon HQ, National City); first national bank designated a CDFI; est 1997</t>
        </is>
      </c>
      <c r="K155" s="96" t="inlineStr">
        <is>
          <t>CA-HQ'd</t>
        </is>
      </c>
      <c r="L155" s="96" t="inlineStr">
        <is>
          <t>—</t>
        </is>
      </c>
      <c r="M155" s="96" t="inlineStr">
        <is>
          <t>❌ No card (CDFI community bank; business debit + merchant services only)</t>
        </is>
      </c>
      <c r="N155" s="96" t="inlineStr">
        <is>
          <t>None</t>
        </is>
      </c>
      <c r="O155" s="96" t="inlineStr">
        <is>
          <t>No</t>
        </is>
      </c>
      <c r="P155" s="96" t="inlineStr">
        <is>
          <t>— (no business card)</t>
        </is>
      </c>
      <c r="Q155" s="96" t="inlineStr">
        <is>
          <t>https://www.mynnb.com</t>
        </is>
      </c>
      <c r="R155" s="96" t="inlineStr">
        <is>
          <t>—</t>
        </is>
      </c>
      <c r="S155" s="96" t="inlineStr">
        <is>
          <t>N/M</t>
        </is>
      </c>
      <c r="T155" s="96" t="inlineStr">
        <is>
          <t>N/M</t>
        </is>
      </c>
      <c r="U155" s="96" t="inlineStr">
        <is>
          <t>N/M</t>
        </is>
      </c>
      <c r="V155" s="96" t="inlineStr">
        <is>
          <t>0</t>
        </is>
      </c>
      <c r="W155" s="96" t="inlineStr">
        <is>
          <t>F — No card</t>
        </is>
      </c>
      <c r="X155" s="96" t="inlineStr">
        <is>
          <t>N/M</t>
        </is>
      </c>
      <c r="Y155" s="96" t="inlineStr">
        <is>
          <t>None (term/revolving LOC/CRE/SBA 7(a)/504/Express/construction full-doc)</t>
        </is>
      </c>
      <c r="Z155" s="96" t="inlineStr">
        <is>
          <t>N/M</t>
        </is>
      </c>
      <c r="AA155" s="96" t="inlineStr">
        <is>
          <t>Not a card source</t>
        </is>
      </c>
      <c r="AB155" s="96" t="inlineStr">
        <is>
          <t>Business DEBIT + merchant card services only (no issued credit card)</t>
        </is>
      </c>
      <c r="AC155" s="96" t="inlineStr">
        <is>
          <t>SoCal / San Diego</t>
        </is>
      </c>
      <c r="AD155" s="96" t="inlineStr">
        <is>
          <t>El Cajon</t>
        </is>
      </c>
      <c r="AE155" s="96" t="inlineStr">
        <is>
          <t>101</t>
        </is>
      </c>
      <c r="AF155" s="96" t="inlineStr">
        <is>
          <t>HIGH no-card (home/lending/nav = debit + merchant + commercial lending only). 2026-05-29</t>
        </is>
      </c>
      <c r="AG155" s="96" t="inlineStr">
        <is>
          <t>mynnb.com (lending/business-loans, merchant-card-services); FDIC cert 34548</t>
        </is>
      </c>
    </row>
    <row r="156" ht="15.75" customHeight="1">
      <c r="A156" s="96" t="inlineStr">
        <is>
          <t>153</t>
        </is>
      </c>
      <c r="B156" s="96" t="n"/>
      <c r="C156" s="96" t="inlineStr">
        <is>
          <t>Capital Bank and Trust Company</t>
        </is>
      </c>
      <c r="D156" s="96" t="inlineStr">
        <is>
          <t>CA Bank</t>
        </is>
      </c>
      <c r="E156" s="96" t="inlineStr">
        <is>
          <t>★ Core SoCal</t>
        </is>
      </c>
      <c r="F156" s="96" t="inlineStr">
        <is>
          <t>1/4  ✗SUW ✗Onl ✓SoCal ✗Card</t>
        </is>
      </c>
      <c r="G156" s="96" t="inlineStr">
        <is>
          <t>—</t>
        </is>
      </c>
      <c r="H156" s="96" t="inlineStr">
        <is>
          <t>$0.23B</t>
        </is>
      </c>
      <c r="I156" s="96" t="inlineStr">
        <is>
          <t>N/M</t>
        </is>
      </c>
      <c r="J156" s="96" t="inlineStr">
        <is>
          <t>Captive trust bank of Capital Group (American Funds); Irvine HQ; savings-bank charter; 2 offices</t>
        </is>
      </c>
      <c r="K156" s="96" t="inlineStr">
        <is>
          <t>CA-HQ'd</t>
        </is>
      </c>
      <c r="L156" s="96" t="inlineStr">
        <is>
          <t>—</t>
        </is>
      </c>
      <c r="M156" s="96" t="inlineStr">
        <is>
          <t>❌ No card (Capital Group / American Funds captive trust &amp; custody bank)</t>
        </is>
      </c>
      <c r="N156" s="96" t="inlineStr">
        <is>
          <t>None</t>
        </is>
      </c>
      <c r="O156" s="96" t="inlineStr">
        <is>
          <t>No</t>
        </is>
      </c>
      <c r="P156" s="96" t="inlineStr">
        <is>
          <t>— (no business card)</t>
        </is>
      </c>
      <c r="Q156" s="96" t="inlineStr">
        <is>
          <t>https://www.americanfunds.com</t>
        </is>
      </c>
      <c r="R156" s="96" t="inlineStr">
        <is>
          <t>—</t>
        </is>
      </c>
      <c r="S156" s="96" t="inlineStr">
        <is>
          <t>N/M</t>
        </is>
      </c>
      <c r="T156" s="96" t="inlineStr">
        <is>
          <t>N/M</t>
        </is>
      </c>
      <c r="U156" s="96" t="inlineStr">
        <is>
          <t>N/M (directed-trustee/custodial for American Funds retirement plans + IRAs)</t>
        </is>
      </c>
      <c r="V156" s="96" t="inlineStr">
        <is>
          <t>0</t>
        </is>
      </c>
      <c r="W156" s="96" t="inlineStr">
        <is>
          <t>F — No card</t>
        </is>
      </c>
      <c r="X156" s="96" t="inlineStr">
        <is>
          <t>N/M</t>
        </is>
      </c>
      <c r="Y156" s="96" t="inlineStr">
        <is>
          <t>None (no commercial lending or card; retirement custody only)</t>
        </is>
      </c>
      <c r="Z156" s="96" t="inlineStr">
        <is>
          <t>N/M</t>
        </is>
      </c>
      <c r="AA156" s="96" t="inlineStr">
        <is>
          <t>Not a card source</t>
        </is>
      </c>
      <c r="AB156" s="96" t="inlineStr">
        <is>
          <t>None (directed trustee + custodial services for retirement plans/IRAs)</t>
        </is>
      </c>
      <c r="AC156" s="96" t="inlineStr">
        <is>
          <t>SoCal / Orange County</t>
        </is>
      </c>
      <c r="AD156" s="96" t="inlineStr">
        <is>
          <t>Irvine</t>
        </is>
      </c>
      <c r="AE156" s="96" t="inlineStr">
        <is>
          <t>102</t>
        </is>
      </c>
      <c r="AF156" s="96" t="inlineStr">
        <is>
          <t>HIGH no-card (captive American Funds trust/custody bank; FDIC WEBADDR=americanfunds.com). 2026-05-29</t>
        </is>
      </c>
      <c r="AG156" s="96" t="inlineStr">
        <is>
          <t>FDIC cert 35164 (WEBADDR americanfunds.com); en.wikipedia.org/wiki/Capital_Group</t>
        </is>
      </c>
    </row>
    <row r="157" ht="15.75" customHeight="1">
      <c r="A157" s="96" t="inlineStr">
        <is>
          <t>154</t>
        </is>
      </c>
      <c r="B157" s="96" t="n"/>
      <c r="C157" s="96" t="inlineStr">
        <is>
          <t>United Pacific Bank</t>
        </is>
      </c>
      <c r="D157" s="96" t="inlineStr">
        <is>
          <t>CA Bank</t>
        </is>
      </c>
      <c r="E157" s="96" t="inlineStr">
        <is>
          <t>★ Core SoCal</t>
        </is>
      </c>
      <c r="F157" s="96" t="inlineStr">
        <is>
          <t>1/4  ✗SUW ✗Onl ✓SoCal ✗Card</t>
        </is>
      </c>
      <c r="G157" s="96" t="inlineStr">
        <is>
          <t>—</t>
        </is>
      </c>
      <c r="H157" s="96" t="inlineStr">
        <is>
          <t>$0.19B</t>
        </is>
      </c>
      <c r="I157" s="96" t="inlineStr">
        <is>
          <t>N/M</t>
        </is>
      </c>
      <c r="J157" s="96" t="inlineStr">
        <is>
          <t>City of Industry HQ + Monterey Park; Asian-American; est 1982</t>
        </is>
      </c>
      <c r="K157" s="96" t="inlineStr">
        <is>
          <t>CA-HQ'd</t>
        </is>
      </c>
      <c r="L157" s="96" t="inlineStr">
        <is>
          <t>—</t>
        </is>
      </c>
      <c r="M157" s="96" t="inlineStr">
        <is>
          <t>⚠️ TCM CONSUMER card only; NO business card marketed</t>
        </is>
      </c>
      <c r="N157" s="96" t="inlineStr">
        <is>
          <t>TCM Bank, N.A. (consumer card)</t>
        </is>
      </c>
      <c r="O157" s="96" t="inlineStr">
        <is>
          <t>No</t>
        </is>
      </c>
      <c r="P157" s="96" t="inlineStr">
        <is>
          <t>— (no business card)</t>
        </is>
      </c>
      <c r="Q157" s="96" t="inlineStr">
        <is>
          <t>https://www.upbnet.com</t>
        </is>
      </c>
      <c r="R157" s="96" t="inlineStr">
        <is>
          <t>—</t>
        </is>
      </c>
      <c r="S157" s="96" t="inlineStr">
        <is>
          <t>N/M (TCM)</t>
        </is>
      </c>
      <c r="T157" s="96" t="inlineStr">
        <is>
          <t>N/M</t>
        </is>
      </c>
      <c r="U157" s="96" t="inlineStr">
        <is>
          <t>N/M (only a 'Consumer Credit Card' page; no business card published)</t>
        </is>
      </c>
      <c r="V157" s="96" t="inlineStr">
        <is>
          <t>0</t>
        </is>
      </c>
      <c r="W157" s="96" t="inlineStr">
        <is>
          <t>F — No card</t>
        </is>
      </c>
      <c r="X157" s="96" t="inlineStr">
        <is>
          <t>N/M</t>
        </is>
      </c>
      <c r="Y157" s="96" t="inlineStr">
        <is>
          <t>None (business loans/LOC/SBA/CRE/truck full-doc)</t>
        </is>
      </c>
      <c r="Z157" s="96" t="inlineStr">
        <is>
          <t>N/M</t>
        </is>
      </c>
      <c r="AA157" s="96" t="inlineStr">
        <is>
          <t>Not a card source</t>
        </is>
      </c>
      <c r="AB157" s="96" t="inlineStr">
        <is>
          <t>Consumer Credit Card (TCM) only; no business credit card</t>
        </is>
      </c>
      <c r="AC157" s="96" t="inlineStr">
        <is>
          <t>SoCal / LA (San Gabriel Valley)</t>
        </is>
      </c>
      <c r="AD157" s="96" t="inlineStr">
        <is>
          <t>City of Industry</t>
        </is>
      </c>
      <c r="AE157" s="96" t="inlineStr">
        <is>
          <t>104</t>
        </is>
      </c>
      <c r="AF157" s="96" t="inlineStr">
        <is>
          <t>MED-HIGH no BUSINESS card (only TCM consumer card published); issuer=TCM. 2026-05-29</t>
        </is>
      </c>
      <c r="AG157" s="96" t="inlineStr">
        <is>
          <t>upbnet.com/Consumer-Credit-Card (TCM); FDIC cert 23805</t>
        </is>
      </c>
    </row>
    <row r="158" ht="15.75" customHeight="1">
      <c r="A158" s="96" t="inlineStr">
        <is>
          <t>155</t>
        </is>
      </c>
      <c r="B158" s="96" t="n"/>
      <c r="C158" s="96" t="inlineStr">
        <is>
          <t>Hatch Bank</t>
        </is>
      </c>
      <c r="D158" s="96" t="inlineStr">
        <is>
          <t>CA Bank</t>
        </is>
      </c>
      <c r="E158" s="96" t="inlineStr">
        <is>
          <t>★ Core SoCal</t>
        </is>
      </c>
      <c r="F158" s="96" t="inlineStr">
        <is>
          <t>1/4  ✗SUW ✗Onl ✓SoCal ✗Card</t>
        </is>
      </c>
      <c r="G158" s="96" t="inlineStr">
        <is>
          <t>—</t>
        </is>
      </c>
      <c r="H158" s="96" t="inlineStr">
        <is>
          <t>$0.19B</t>
        </is>
      </c>
      <c r="I158" s="96" t="inlineStr">
        <is>
          <t>N/M</t>
        </is>
      </c>
      <c r="J158" s="96" t="inlineStr">
        <is>
          <t>San Marcos (SD County); BaaS/sponsor bank (ex-Rancho Santa Fe Thrift, renamed 2019); 1 branch</t>
        </is>
      </c>
      <c r="K158" s="96" t="inlineStr">
        <is>
          <t>CA-HQ'd</t>
        </is>
      </c>
      <c r="L158" s="96" t="inlineStr">
        <is>
          <t>—</t>
        </is>
      </c>
      <c r="M158" s="96" t="inlineStr">
        <is>
          <t>❌ No direct-to-business card (BaaS/fintech-sponsor bank)</t>
        </is>
      </c>
      <c r="N158" s="96" t="inlineStr">
        <is>
          <t>None (sponsor bank for fintech card programs; not direct issuer to businesses)</t>
        </is>
      </c>
      <c r="O158" s="96" t="inlineStr">
        <is>
          <t>No</t>
        </is>
      </c>
      <c r="P158" s="96" t="inlineStr">
        <is>
          <t>— (no business card)</t>
        </is>
      </c>
      <c r="Q158" s="96" t="inlineStr">
        <is>
          <t>https://www.hatchbank.com</t>
        </is>
      </c>
      <c r="R158" s="96" t="inlineStr">
        <is>
          <t>—</t>
        </is>
      </c>
      <c r="S158" s="96" t="inlineStr">
        <is>
          <t>N/M</t>
        </is>
      </c>
      <c r="T158" s="96" t="inlineStr">
        <is>
          <t>N/M</t>
        </is>
      </c>
      <c r="U158" s="96" t="inlineStr">
        <is>
          <t>N/M (B2B partner onboarding only; 'Talk to Hatch')</t>
        </is>
      </c>
      <c r="V158" s="96" t="inlineStr">
        <is>
          <t>0</t>
        </is>
      </c>
      <c r="W158" s="96" t="inlineStr">
        <is>
          <t>F — No card</t>
        </is>
      </c>
      <c r="X158" s="96" t="inlineStr">
        <is>
          <t>N/M</t>
        </is>
      </c>
      <c r="Y158" s="96" t="inlineStr">
        <is>
          <t>None direct (embedded lending/card-issuing rails for fintech partners e.g. Enfin/Sungage)</t>
        </is>
      </c>
      <c r="Z158" s="96" t="inlineStr">
        <is>
          <t>N/M</t>
        </is>
      </c>
      <c r="AA158" s="96" t="inlineStr">
        <is>
          <t>Not a card source</t>
        </is>
      </c>
      <c r="AB158" s="96" t="inlineStr">
        <is>
          <t>None to end-businesses (BaaS: card issuing, embedded lending, deposit rails for fintechs). NOT the unrelated 'Hatch Card' fintech</t>
        </is>
      </c>
      <c r="AC158" s="96" t="inlineStr">
        <is>
          <t>SoCal / San Diego</t>
        </is>
      </c>
      <c r="AD158" s="96" t="inlineStr">
        <is>
          <t>San Marcos</t>
        </is>
      </c>
      <c r="AE158" s="96" t="inlineStr">
        <is>
          <t>105</t>
        </is>
      </c>
      <c r="AF158" s="96" t="inlineStr">
        <is>
          <t>HIGH no direct-to-business card (BaaS sponsor model). 2026-05-29</t>
        </is>
      </c>
      <c r="AG158" s="96" t="inlineStr">
        <is>
          <t>hatchbank.com/solutions; FDIC cert 25803; dfpi.ca.gov</t>
        </is>
      </c>
    </row>
    <row r="159" ht="15.75" customHeight="1">
      <c r="A159" s="96" t="inlineStr">
        <is>
          <t>156</t>
        </is>
      </c>
      <c r="B159" s="96" t="n"/>
      <c r="C159" s="96" t="inlineStr">
        <is>
          <t>Beacon Business Bank, N.A.</t>
        </is>
      </c>
      <c r="D159" s="96" t="inlineStr">
        <is>
          <t>CA Bank</t>
        </is>
      </c>
      <c r="E159" s="96" t="inlineStr">
        <is>
          <t>Other — NorCal</t>
        </is>
      </c>
      <c r="F159" s="96" t="inlineStr">
        <is>
          <t>0/4  ✗SUW ✗Onl ✗SoCal ✗Card</t>
        </is>
      </c>
      <c r="G159" s="96" t="inlineStr">
        <is>
          <t>—</t>
        </is>
      </c>
      <c r="H159" s="96" t="inlineStr">
        <is>
          <t>$0.17B</t>
        </is>
      </c>
      <c r="I159" s="96" t="inlineStr">
        <is>
          <t>N/M</t>
        </is>
      </c>
      <c r="J159" s="96" t="inlineStr">
        <is>
          <t>SF Financial District + San Mateo (Peninsula); NorCal only; est 1984 (ex-Trans Pacific National Bank)</t>
        </is>
      </c>
      <c r="K159" s="96" t="inlineStr">
        <is>
          <t>CA-HQ'd</t>
        </is>
      </c>
      <c r="L159" s="96" t="inlineStr">
        <is>
          <t>—</t>
        </is>
      </c>
      <c r="M159" s="96" t="inlineStr">
        <is>
          <t>❌ No card (Visa debit only; SBA/commercial lender)</t>
        </is>
      </c>
      <c r="N159" s="96" t="inlineStr">
        <is>
          <t>None</t>
        </is>
      </c>
      <c r="O159" s="96" t="inlineStr">
        <is>
          <t>No</t>
        </is>
      </c>
      <c r="P159" s="96" t="inlineStr">
        <is>
          <t>— (no business card)</t>
        </is>
      </c>
      <c r="Q159" s="96" t="inlineStr">
        <is>
          <t>https://www.beaconbusinessbank.com</t>
        </is>
      </c>
      <c r="R159" s="96" t="inlineStr">
        <is>
          <t>—</t>
        </is>
      </c>
      <c r="S159" s="96" t="inlineStr">
        <is>
          <t>N/M</t>
        </is>
      </c>
      <c r="T159" s="96" t="inlineStr">
        <is>
          <t>N/M</t>
        </is>
      </c>
      <c r="U159" s="96" t="inlineStr">
        <is>
          <t>N/M (formerly Trans Pacific National Bank, NOT Pan American)</t>
        </is>
      </c>
      <c r="V159" s="96" t="inlineStr">
        <is>
          <t>0</t>
        </is>
      </c>
      <c r="W159" s="96" t="inlineStr">
        <is>
          <t>F — No card</t>
        </is>
      </c>
      <c r="X159" s="96" t="inlineStr">
        <is>
          <t>N/M</t>
        </is>
      </c>
      <c r="Y159" s="96" t="inlineStr">
        <is>
          <t>None (AR/inventory financing/CRE/LOC/construction/bridge/equipment/SBA&lt;=$5M full-doc)</t>
        </is>
      </c>
      <c r="Z159" s="96" t="inlineStr">
        <is>
          <t>N/M</t>
        </is>
      </c>
      <c r="AA159" s="96" t="inlineStr">
        <is>
          <t>Not a card source</t>
        </is>
      </c>
      <c r="AB159" s="96" t="inlineStr">
        <is>
          <t>Visa DEBIT only (no credit card)</t>
        </is>
      </c>
      <c r="AC159" s="96" t="inlineStr">
        <is>
          <t>NorCal / SF</t>
        </is>
      </c>
      <c r="AD159" s="96" t="inlineStr">
        <is>
          <t>San Francisco</t>
        </is>
      </c>
      <c r="AE159" s="96" t="inlineStr">
        <is>
          <t>107</t>
        </is>
      </c>
      <c r="AF159" s="96" t="inlineStr">
        <is>
          <t>HIGH no-card (4 site pages confirm debit-only). NOT the Elan-issuing 'Beacon Bank' (different). 2026-05-29</t>
        </is>
      </c>
      <c r="AG159" s="96" t="inlineStr">
        <is>
          <t>beaconbusinessbank.com (business-loans, debit-card, history); FDIC cert 25644</t>
        </is>
      </c>
    </row>
    <row r="160" ht="15.75" customHeight="1">
      <c r="A160" s="96" t="inlineStr">
        <is>
          <t>157</t>
        </is>
      </c>
      <c r="B160" s="96" t="n"/>
      <c r="C160" s="96" t="inlineStr">
        <is>
          <t>Bank of Whittier, N.A.</t>
        </is>
      </c>
      <c r="D160" s="96" t="inlineStr">
        <is>
          <t>CA Bank</t>
        </is>
      </c>
      <c r="E160" s="96" t="inlineStr">
        <is>
          <t>★ Core SoCal</t>
        </is>
      </c>
      <c r="F160" s="96" t="inlineStr">
        <is>
          <t>1/4  ✗SUW ✗Onl ✓SoCal ✗Card</t>
        </is>
      </c>
      <c r="G160" s="96" t="inlineStr">
        <is>
          <t>—</t>
        </is>
      </c>
      <c r="H160" s="96" t="inlineStr">
        <is>
          <t>$0.16B</t>
        </is>
      </c>
      <c r="I160" s="96" t="inlineStr">
        <is>
          <t>N/M</t>
        </is>
      </c>
      <c r="J160" s="96" t="inlineStr">
        <is>
          <t>Single Whittier office (LA County); Riba-Free/interest-free community bank; est 1982</t>
        </is>
      </c>
      <c r="K160" s="96" t="inlineStr">
        <is>
          <t>CA-HQ'd</t>
        </is>
      </c>
      <c r="L160" s="96" t="inlineStr">
        <is>
          <t>—</t>
        </is>
      </c>
      <c r="M160" s="96" t="inlineStr">
        <is>
          <t>❌ No card (Riba-Free/interest-free Islamic-principle bank; RF debit only)</t>
        </is>
      </c>
      <c r="N160" s="96" t="inlineStr">
        <is>
          <t>None</t>
        </is>
      </c>
      <c r="O160" s="96" t="inlineStr">
        <is>
          <t>No</t>
        </is>
      </c>
      <c r="P160" s="96" t="inlineStr">
        <is>
          <t>— (no business card)</t>
        </is>
      </c>
      <c r="Q160" s="96" t="inlineStr">
        <is>
          <t>https://www.bankofwhittier.com</t>
        </is>
      </c>
      <c r="R160" s="96" t="inlineStr">
        <is>
          <t>—</t>
        </is>
      </c>
      <c r="S160" s="96" t="inlineStr">
        <is>
          <t>N/M</t>
        </is>
      </c>
      <c r="T160" s="96" t="inlineStr">
        <is>
          <t>N/M</t>
        </is>
      </c>
      <c r="U160" s="96" t="inlineStr">
        <is>
          <t>N/M (interest-bearing cards inconsistent with Riba-Free model)</t>
        </is>
      </c>
      <c r="V160" s="96" t="inlineStr">
        <is>
          <t>0</t>
        </is>
      </c>
      <c r="W160" s="96" t="inlineStr">
        <is>
          <t>F — No card</t>
        </is>
      </c>
      <c r="X160" s="96" t="inlineStr">
        <is>
          <t>N/M</t>
        </is>
      </c>
      <c r="Y160" s="96" t="inlineStr">
        <is>
          <t>None (RF business/commercial financing = relationship/asset-based, not no-doc)</t>
        </is>
      </c>
      <c r="Z160" s="96" t="inlineStr">
        <is>
          <t>N/M</t>
        </is>
      </c>
      <c r="AA160" s="96" t="inlineStr">
        <is>
          <t>Not a card source</t>
        </is>
      </c>
      <c r="AB160" s="96" t="inlineStr">
        <is>
          <t>RF Debit Cards only (no credit card; RF deposit + commercial financing)</t>
        </is>
      </c>
      <c r="AC160" s="96" t="inlineStr">
        <is>
          <t>SoCal / LA (Whittier)</t>
        </is>
      </c>
      <c r="AD160" s="96" t="inlineStr">
        <is>
          <t>Whittier</t>
        </is>
      </c>
      <c r="AE160" s="96" t="inlineStr">
        <is>
          <t>108</t>
        </is>
      </c>
      <c r="AF160" s="96" t="inlineStr">
        <is>
          <t>HIGH no-card (Riba-Free model structurally excludes interest cards; debit only). 2026-05-29</t>
        </is>
      </c>
      <c r="AG160" s="96" t="inlineStr">
        <is>
          <t>bankofwhittier.com (home, open-business-account); FDIC cert 24211; OCC CRA eval</t>
        </is>
      </c>
    </row>
    <row r="161" ht="15.75" customHeight="1">
      <c r="A161" s="96" t="inlineStr">
        <is>
          <t>158</t>
        </is>
      </c>
      <c r="B161" s="96" t="n"/>
      <c r="C161" s="96" t="inlineStr">
        <is>
          <t>Eastern International Bank</t>
        </is>
      </c>
      <c r="D161" s="96" t="inlineStr">
        <is>
          <t>CA Bank</t>
        </is>
      </c>
      <c r="E161" s="96" t="inlineStr">
        <is>
          <t>★ Core SoCal</t>
        </is>
      </c>
      <c r="F161" s="96" t="inlineStr">
        <is>
          <t>1/4  ✗SUW ✗Onl ✓SoCal ✗Card</t>
        </is>
      </c>
      <c r="G161" s="96" t="inlineStr">
        <is>
          <t>—</t>
        </is>
      </c>
      <c r="H161" s="96" t="inlineStr">
        <is>
          <t>$0.12B</t>
        </is>
      </c>
      <c r="I161" s="96" t="inlineStr">
        <is>
          <t>N/M</t>
        </is>
      </c>
      <c r="J161" s="96" t="inlineStr">
        <is>
          <t>2 branches (LA Chinatown + Monterey Park); Chinese-American/Pacific Rim; est 1985</t>
        </is>
      </c>
      <c r="K161" s="96" t="inlineStr">
        <is>
          <t>CA-HQ'd</t>
        </is>
      </c>
      <c r="L161" s="96" t="inlineStr">
        <is>
          <t>—</t>
        </is>
      </c>
      <c r="M161" s="96" t="inlineStr">
        <is>
          <t>❌ No card (CRE lender; Visa debit only)</t>
        </is>
      </c>
      <c r="N161" s="96" t="inlineStr">
        <is>
          <t>None</t>
        </is>
      </c>
      <c r="O161" s="96" t="inlineStr">
        <is>
          <t>No</t>
        </is>
      </c>
      <c r="P161" s="96" t="inlineStr">
        <is>
          <t>— (no business card)</t>
        </is>
      </c>
      <c r="Q161" s="96" t="inlineStr">
        <is>
          <t>https://www.eibankca.com</t>
        </is>
      </c>
      <c r="R161" s="96" t="inlineStr">
        <is>
          <t>—</t>
        </is>
      </c>
      <c r="S161" s="96" t="inlineStr">
        <is>
          <t>N/M</t>
        </is>
      </c>
      <c r="T161" s="96" t="inlineStr">
        <is>
          <t>N/M</t>
        </is>
      </c>
      <c r="U161" s="96" t="inlineStr">
        <is>
          <t>N/M</t>
        </is>
      </c>
      <c r="V161" s="96" t="inlineStr">
        <is>
          <t>0</t>
        </is>
      </c>
      <c r="W161" s="96" t="inlineStr">
        <is>
          <t>F — No card</t>
        </is>
      </c>
      <c r="X161" s="96" t="inlineStr">
        <is>
          <t>N/M</t>
        </is>
      </c>
      <c r="Y161" s="96" t="inlineStr">
        <is>
          <t>None (CRE: apartments/office/retail/industrial/hospitality/mixed-use full-doc)</t>
        </is>
      </c>
      <c r="Z161" s="96" t="inlineStr">
        <is>
          <t>N/M</t>
        </is>
      </c>
      <c r="AA161" s="96" t="inlineStr">
        <is>
          <t>Not a card source</t>
        </is>
      </c>
      <c r="AB161" s="96" t="inlineStr">
        <is>
          <t>Visa DEBIT only (no credit card)</t>
        </is>
      </c>
      <c r="AC161" s="96" t="inlineStr">
        <is>
          <t>SoCal / LA (Chinatown)</t>
        </is>
      </c>
      <c r="AD161" s="96" t="inlineStr">
        <is>
          <t>Los Angeles</t>
        </is>
      </c>
      <c r="AE161" s="96" t="inlineStr">
        <is>
          <t>110</t>
        </is>
      </c>
      <c r="AF161" s="96" t="inlineStr">
        <is>
          <t>HIGH no-card (own site; CRE + debit only). 2026-05-29</t>
        </is>
      </c>
      <c r="AG161" s="96" t="inlineStr">
        <is>
          <t>eibankca.com (home, About-Us); FDIC cert 32277</t>
        </is>
      </c>
    </row>
    <row r="162" ht="15.75" customHeight="1">
      <c r="A162" s="96" t="inlineStr">
        <is>
          <t>159</t>
        </is>
      </c>
      <c r="B162" s="96" t="n"/>
      <c r="C162" s="96" t="inlineStr">
        <is>
          <t>California Business Bank</t>
        </is>
      </c>
      <c r="D162" s="96" t="inlineStr">
        <is>
          <t>CA Bank</t>
        </is>
      </c>
      <c r="E162" s="96" t="inlineStr">
        <is>
          <t>★ Core SoCal</t>
        </is>
      </c>
      <c r="F162" s="96" t="inlineStr">
        <is>
          <t>1/4  ✗SUW ✗Onl ✓SoCal ✗Card</t>
        </is>
      </c>
      <c r="G162" s="96" t="inlineStr">
        <is>
          <t>—</t>
        </is>
      </c>
      <c r="H162" s="96" t="inlineStr">
        <is>
          <t>$0.12B</t>
        </is>
      </c>
      <c r="I162" s="96" t="inlineStr">
        <is>
          <t>$0.10B</t>
        </is>
      </c>
      <c r="J162" s="96" t="inlineStr">
        <is>
          <t>Single Irvine office (OC); minority-owned 'fin-tech' commercial bank; est 2005</t>
        </is>
      </c>
      <c r="K162" s="96" t="inlineStr">
        <is>
          <t>CA-HQ'd</t>
        </is>
      </c>
      <c r="L162" s="96" t="inlineStr">
        <is>
          <t>—</t>
        </is>
      </c>
      <c r="M162" s="96" t="inlineStr">
        <is>
          <t>❌ No card (deposits + commercial/SBA loans; no card or debit listed)</t>
        </is>
      </c>
      <c r="N162" s="96" t="inlineStr">
        <is>
          <t>None</t>
        </is>
      </c>
      <c r="O162" s="96" t="inlineStr">
        <is>
          <t>No</t>
        </is>
      </c>
      <c r="P162" s="96" t="inlineStr">
        <is>
          <t>— (no business card)</t>
        </is>
      </c>
      <c r="Q162" s="96" t="inlineStr">
        <is>
          <t>https://www.californiabusinessbank.com</t>
        </is>
      </c>
      <c r="R162" s="96" t="inlineStr">
        <is>
          <t>—</t>
        </is>
      </c>
      <c r="S162" s="96" t="inlineStr">
        <is>
          <t>N/M</t>
        </is>
      </c>
      <c r="T162" s="96" t="inlineStr">
        <is>
          <t>N/M</t>
        </is>
      </c>
      <c r="U162" s="96" t="inlineStr">
        <is>
          <t>N/M (no card product)</t>
        </is>
      </c>
      <c r="V162" s="96" t="inlineStr">
        <is>
          <t>0</t>
        </is>
      </c>
      <c r="W162" s="96" t="inlineStr">
        <is>
          <t>F — No card</t>
        </is>
      </c>
      <c r="X162" s="96" t="inlineStr">
        <is>
          <t>N/M</t>
        </is>
      </c>
      <c r="Y162" s="96" t="inlineStr">
        <is>
          <t>None (Streamlined SBA &lt;=$150K is lightest-touch but still documented SBA; commercial full-doc)</t>
        </is>
      </c>
      <c r="Z162" s="96" t="inlineStr">
        <is>
          <t>N/M</t>
        </is>
      </c>
      <c r="AA162" s="96" t="inlineStr">
        <is>
          <t>Not a card source</t>
        </is>
      </c>
      <c r="AB162" s="96" t="inlineStr">
        <is>
          <t>None (business deposits + commercial/SBA loans; no card)</t>
        </is>
      </c>
      <c r="AC162" s="96" t="inlineStr">
        <is>
          <t>SoCal / Orange County</t>
        </is>
      </c>
      <c r="AD162" s="96" t="inlineStr">
        <is>
          <t>Irvine</t>
        </is>
      </c>
      <c r="AE162" s="96" t="inlineStr">
        <is>
          <t>111</t>
        </is>
      </c>
      <c r="AF162" s="96" t="inlineStr">
        <is>
          <t>HIGH no-card (full site reviewed; deposits+loans only). 2026-05-29</t>
        </is>
      </c>
      <c r="AG162" s="96" t="inlineStr">
        <is>
          <t>californiabusinessbank.com (business-deposits, sba-loans); FDIC cert 58037</t>
        </is>
      </c>
    </row>
    <row r="163" ht="15.75" customHeight="1">
      <c r="A163" s="96" t="inlineStr">
        <is>
          <t>160</t>
        </is>
      </c>
      <c r="B163" s="96" t="n"/>
      <c r="C163" s="96" t="inlineStr">
        <is>
          <t>California Pacific Bank</t>
        </is>
      </c>
      <c r="D163" s="96" t="inlineStr">
        <is>
          <t>CA Bank</t>
        </is>
      </c>
      <c r="E163" s="96" t="inlineStr">
        <is>
          <t>Other — NorCal</t>
        </is>
      </c>
      <c r="F163" s="96" t="inlineStr">
        <is>
          <t>0/4  ✗SUW ✗Onl ✗SoCal ✗Card</t>
        </is>
      </c>
      <c r="G163" s="96" t="inlineStr">
        <is>
          <t>—</t>
        </is>
      </c>
      <c r="H163" s="96" t="inlineStr">
        <is>
          <t>$0.10B</t>
        </is>
      </c>
      <c r="I163" s="96" t="inlineStr">
        <is>
          <t>$0.06B</t>
        </is>
      </c>
      <c r="J163" s="96" t="inlineStr">
        <is>
          <t>SF + Hayward + Fremont; NorCal Bay Area; Chinese-American merchant bank; est 1980</t>
        </is>
      </c>
      <c r="K163" s="96" t="inlineStr">
        <is>
          <t>CA-HQ'd</t>
        </is>
      </c>
      <c r="L163" s="96" t="inlineStr">
        <is>
          <t>—</t>
        </is>
      </c>
      <c r="M163" s="96" t="inlineStr">
        <is>
          <t>❌ No card (relationship merchant/commercial bank; no card published)</t>
        </is>
      </c>
      <c r="N163" s="96" t="inlineStr">
        <is>
          <t>None</t>
        </is>
      </c>
      <c r="O163" s="96" t="inlineStr">
        <is>
          <t>No</t>
        </is>
      </c>
      <c r="P163" s="96" t="inlineStr">
        <is>
          <t>— (no business card)</t>
        </is>
      </c>
      <c r="Q163" s="96" t="inlineStr">
        <is>
          <t>https://www.calpacificbank.com</t>
        </is>
      </c>
      <c r="R163" s="96" t="inlineStr">
        <is>
          <t>—</t>
        </is>
      </c>
      <c r="S163" s="96" t="inlineStr">
        <is>
          <t>N/M</t>
        </is>
      </c>
      <c r="T163" s="96" t="inlineStr">
        <is>
          <t>N/M</t>
        </is>
      </c>
      <c r="U163" s="96" t="inlineStr">
        <is>
          <t>N/M (third-party aggregator 'credit cards' mention unverified)</t>
        </is>
      </c>
      <c r="V163" s="96" t="inlineStr">
        <is>
          <t>0</t>
        </is>
      </c>
      <c r="W163" s="96" t="inlineStr">
        <is>
          <t>F — No card</t>
        </is>
      </c>
      <c r="X163" s="96" t="inlineStr">
        <is>
          <t>N/M</t>
        </is>
      </c>
      <c r="Y163" s="96" t="inlineStr">
        <is>
          <t>None ('fast commercial lending' to import/export/manufacturing/wholesale/retail; no terms/no-doc published)</t>
        </is>
      </c>
      <c r="Z163" s="96" t="inlineStr">
        <is>
          <t>N/M</t>
        </is>
      </c>
      <c r="AA163" s="96" t="inlineStr">
        <is>
          <t>Not a card source</t>
        </is>
      </c>
      <c r="AB163" s="96" t="inlineStr">
        <is>
          <t>None published (commercial/merchant lending + deposits; no card on own site)</t>
        </is>
      </c>
      <c r="AC163" s="96" t="inlineStr">
        <is>
          <t>NorCal / SF-East Bay</t>
        </is>
      </c>
      <c r="AD163" s="96" t="inlineStr">
        <is>
          <t>Hayward</t>
        </is>
      </c>
      <c r="AE163" s="96" t="inlineStr">
        <is>
          <t>113</t>
        </is>
      </c>
      <c r="AF163" s="96" t="inlineStr">
        <is>
          <t>MED-HIGH no-card (own site has no card; tiny merchant bank). 2026-05-29</t>
        </is>
      </c>
      <c r="AG163" s="96" t="inlineStr">
        <is>
          <t>calpacificbank.com (mission, location-and-contact); FDIC cert 23242</t>
        </is>
      </c>
    </row>
    <row r="164" ht="15.75" customHeight="1">
      <c r="A164" s="96" t="inlineStr">
        <is>
          <t>161</t>
        </is>
      </c>
      <c r="B164" s="96" t="n"/>
      <c r="C164" s="96" t="inlineStr">
        <is>
          <t>California International Bank, N.A.</t>
        </is>
      </c>
      <c r="D164" s="96" t="inlineStr">
        <is>
          <t>CA Bank</t>
        </is>
      </c>
      <c r="E164" s="96" t="inlineStr">
        <is>
          <t>★ Core SoCal</t>
        </is>
      </c>
      <c r="F164" s="96" t="inlineStr">
        <is>
          <t>1/4  ✗SUW ✗Onl ✓SoCal ✗Card</t>
        </is>
      </c>
      <c r="G164" s="96" t="inlineStr">
        <is>
          <t>—</t>
        </is>
      </c>
      <c r="H164" s="96" t="inlineStr">
        <is>
          <t>$0.10B</t>
        </is>
      </c>
      <c r="I164" s="96" t="inlineStr">
        <is>
          <t>N/M</t>
        </is>
      </c>
      <c r="J164" s="96" t="inlineStr">
        <is>
          <t>Single Westminster office (OC); Vietnamese-American community bank; OCC national charter; est 2005</t>
        </is>
      </c>
      <c r="K164" s="96" t="inlineStr">
        <is>
          <t>CA-HQ'd</t>
        </is>
      </c>
      <c r="L164" s="96" t="inlineStr">
        <is>
          <t>—</t>
        </is>
      </c>
      <c r="M164" s="96" t="inlineStr">
        <is>
          <t>❌ No card (commercial/SBA bank; ATM/debit only)</t>
        </is>
      </c>
      <c r="N164" s="96" t="inlineStr">
        <is>
          <t>None</t>
        </is>
      </c>
      <c r="O164" s="96" t="inlineStr">
        <is>
          <t>No</t>
        </is>
      </c>
      <c r="P164" s="96" t="inlineStr">
        <is>
          <t>— (no business card)</t>
        </is>
      </c>
      <c r="Q164" s="96" t="inlineStr">
        <is>
          <t>https://www.cali.bank</t>
        </is>
      </c>
      <c r="R164" s="96" t="inlineStr">
        <is>
          <t>—</t>
        </is>
      </c>
      <c r="S164" s="96" t="inlineStr">
        <is>
          <t>N/M</t>
        </is>
      </c>
      <c r="T164" s="96" t="inlineStr">
        <is>
          <t>N/M</t>
        </is>
      </c>
      <c r="U164" s="96" t="inlineStr">
        <is>
          <t>N/M</t>
        </is>
      </c>
      <c r="V164" s="96" t="inlineStr">
        <is>
          <t>0</t>
        </is>
      </c>
      <c r="W164" s="96" t="inlineStr">
        <is>
          <t>F — No card</t>
        </is>
      </c>
      <c r="X164" s="96" t="inlineStr">
        <is>
          <t>N/M</t>
        </is>
      </c>
      <c r="Y164" s="96" t="inlineStr">
        <is>
          <t>None (working capital/asset-based/expansion/CRE + SBA full-doc)</t>
        </is>
      </c>
      <c r="Z164" s="96" t="inlineStr">
        <is>
          <t>N/M</t>
        </is>
      </c>
      <c r="AA164" s="96" t="inlineStr">
        <is>
          <t>Not a card source</t>
        </is>
      </c>
      <c r="AB164" s="96" t="inlineStr">
        <is>
          <t>ATM/debit cards only (no credit card)</t>
        </is>
      </c>
      <c r="AC164" s="96" t="inlineStr">
        <is>
          <t>SoCal / Orange County</t>
        </is>
      </c>
      <c r="AD164" s="96" t="inlineStr">
        <is>
          <t>Westminster</t>
        </is>
      </c>
      <c r="AE164" s="96" t="inlineStr">
        <is>
          <t>114</t>
        </is>
      </c>
      <c r="AF164" s="96" t="inlineStr">
        <is>
          <t>HIGH no-card (own site = deposits/loans/SBA, no credit card). 2026-05-29</t>
        </is>
      </c>
      <c r="AG164" s="96" t="inlineStr">
        <is>
          <t>cali.bank (product pages); FDIC cert 57974</t>
        </is>
      </c>
    </row>
    <row r="165" ht="15.75" customHeight="1">
      <c r="A165" s="96" t="inlineStr">
        <is>
          <t>162</t>
        </is>
      </c>
      <c r="B165" s="96" t="n"/>
      <c r="C165" s="96" t="inlineStr">
        <is>
          <t>Tustin Community Bank</t>
        </is>
      </c>
      <c r="D165" s="96" t="inlineStr">
        <is>
          <t>CA Bank</t>
        </is>
      </c>
      <c r="E165" s="96" t="inlineStr">
        <is>
          <t>★ Core SoCal</t>
        </is>
      </c>
      <c r="F165" s="96" t="inlineStr">
        <is>
          <t>1/4  ✗SUW ✗Onl ✓SoCal ✗Card</t>
        </is>
      </c>
      <c r="G165" s="96" t="inlineStr">
        <is>
          <t>—</t>
        </is>
      </c>
      <c r="H165" s="96" t="inlineStr">
        <is>
          <t>$0.08B</t>
        </is>
      </c>
      <c r="I165" s="96" t="inlineStr">
        <is>
          <t>N/M</t>
        </is>
      </c>
      <c r="J165" s="96" t="inlineStr">
        <is>
          <t>Single Tustin office (OC); ex-Tustin Thrift &amp; Loan; subsidiary of Saddleback Bancorp; est 1981</t>
        </is>
      </c>
      <c r="K165" s="96" t="inlineStr">
        <is>
          <t>CA-HQ'd</t>
        </is>
      </c>
      <c r="L165" s="96" t="inlineStr">
        <is>
          <t>—</t>
        </is>
      </c>
      <c r="M165" s="96" t="inlineStr">
        <is>
          <t>❌ No card (business debit only; indirect auto + CRE lender)</t>
        </is>
      </c>
      <c r="N165" s="96" t="inlineStr">
        <is>
          <t>None</t>
        </is>
      </c>
      <c r="O165" s="96" t="inlineStr">
        <is>
          <t>No</t>
        </is>
      </c>
      <c r="P165" s="96" t="inlineStr">
        <is>
          <t>— (no business card)</t>
        </is>
      </c>
      <c r="Q165" s="96" t="inlineStr">
        <is>
          <t>https://www.tustin.bank</t>
        </is>
      </c>
      <c r="R165" s="96" t="inlineStr">
        <is>
          <t>—</t>
        </is>
      </c>
      <c r="S165" s="96" t="inlineStr">
        <is>
          <t>N/M</t>
        </is>
      </c>
      <c r="T165" s="96" t="inlineStr">
        <is>
          <t>N/M</t>
        </is>
      </c>
      <c r="U165" s="96" t="inlineStr">
        <is>
          <t>N/M</t>
        </is>
      </c>
      <c r="V165" s="96" t="inlineStr">
        <is>
          <t>0</t>
        </is>
      </c>
      <c r="W165" s="96" t="inlineStr">
        <is>
          <t>F — No card</t>
        </is>
      </c>
      <c r="X165" s="96" t="inlineStr">
        <is>
          <t>N/M</t>
        </is>
      </c>
      <c r="Y165" s="96" t="inlineStr">
        <is>
          <t>None (commercial loans secured by business assets/LOC/CRE/term/SBA full-doc)</t>
        </is>
      </c>
      <c r="Z165" s="96" t="inlineStr">
        <is>
          <t>N/M</t>
        </is>
      </c>
      <c r="AA165" s="96" t="inlineStr">
        <is>
          <t>Not a card source</t>
        </is>
      </c>
      <c r="AB165" s="96" t="inlineStr">
        <is>
          <t>Business DEBIT only (no credit card)</t>
        </is>
      </c>
      <c r="AC165" s="96" t="inlineStr">
        <is>
          <t>SoCal / Orange County</t>
        </is>
      </c>
      <c r="AD165" s="96" t="inlineStr">
        <is>
          <t>Tustin</t>
        </is>
      </c>
      <c r="AE165" s="96" t="inlineStr">
        <is>
          <t>115</t>
        </is>
      </c>
      <c r="AF165" s="96" t="inlineStr">
        <is>
          <t>HIGH no-card (own Products &amp; Services = debit only). 2026-05-29</t>
        </is>
      </c>
      <c r="AG165" s="96" t="inlineStr">
        <is>
          <t>tustin.bank/products-services; FDIC cert 32908</t>
        </is>
      </c>
    </row>
    <row r="166" ht="15.75" customHeight="1">
      <c r="A166" s="96" t="inlineStr">
        <is>
          <t>163</t>
        </is>
      </c>
      <c r="B166" s="96" t="n"/>
      <c r="C166" s="96" t="inlineStr">
        <is>
          <t>Altos Bank</t>
        </is>
      </c>
      <c r="D166" s="96" t="inlineStr">
        <is>
          <t>CA Bank</t>
        </is>
      </c>
      <c r="E166" s="96" t="inlineStr">
        <is>
          <t>Other — NorCal</t>
        </is>
      </c>
      <c r="F166" s="96" t="inlineStr">
        <is>
          <t>0/4  ✗SUW ✗Onl ✗SoCal ✗Card</t>
        </is>
      </c>
      <c r="G166" s="96" t="inlineStr">
        <is>
          <t>—</t>
        </is>
      </c>
      <c r="H166" s="96" t="inlineStr">
        <is>
          <t>$0.06B</t>
        </is>
      </c>
      <c r="I166" s="96" t="inlineStr">
        <is>
          <t>N/M</t>
        </is>
      </c>
      <c r="J166" s="96" t="inlineStr">
        <is>
          <t>Single Los Altos office (Silicon Valley); de novo chartered Nov 2024, opened Mar 2025</t>
        </is>
      </c>
      <c r="K166" s="96" t="inlineStr">
        <is>
          <t>CA-HQ'd</t>
        </is>
      </c>
      <c r="L166" s="96" t="inlineStr">
        <is>
          <t>—</t>
        </is>
      </c>
      <c r="M166" s="96" t="inlineStr">
        <is>
          <t>❌ No card (de novo; business debit only; commercial/SBA lending)</t>
        </is>
      </c>
      <c r="N166" s="96" t="inlineStr">
        <is>
          <t>None</t>
        </is>
      </c>
      <c r="O166" s="96" t="inlineStr">
        <is>
          <t>No</t>
        </is>
      </c>
      <c r="P166" s="96" t="inlineStr">
        <is>
          <t>— (no business card)</t>
        </is>
      </c>
      <c r="Q166" s="96" t="inlineStr">
        <is>
          <t>https://www.altosbank.com</t>
        </is>
      </c>
      <c r="R166" s="96" t="inlineStr">
        <is>
          <t>—</t>
        </is>
      </c>
      <c r="S166" s="96" t="inlineStr">
        <is>
          <t>N/M</t>
        </is>
      </c>
      <c r="T166" s="96" t="inlineStr">
        <is>
          <t>N/M</t>
        </is>
      </c>
      <c r="U166" s="96" t="inlineStr">
        <is>
          <t>N/M (chartered Nov 2024; opened Mar 2025; product set may expand)</t>
        </is>
      </c>
      <c r="V166" s="96" t="inlineStr">
        <is>
          <t>0</t>
        </is>
      </c>
      <c r="W166" s="96" t="inlineStr">
        <is>
          <t>F — No card</t>
        </is>
      </c>
      <c r="X166" s="96" t="inlineStr">
        <is>
          <t>N/M</t>
        </is>
      </c>
      <c r="Y166" s="96" t="inlineStr">
        <is>
          <t>None (commercial/SBA 7(a)/504/investor RE/construction/equipment full-doc)</t>
        </is>
      </c>
      <c r="Z166" s="96" t="inlineStr">
        <is>
          <t>N/M</t>
        </is>
      </c>
      <c r="AA166" s="96" t="inlineStr">
        <is>
          <t>Not a card source</t>
        </is>
      </c>
      <c r="AB166" s="96" t="inlineStr">
        <is>
          <t>Business DEBIT only (no credit card)</t>
        </is>
      </c>
      <c r="AC166" s="96" t="inlineStr">
        <is>
          <t>NorCal / Silicon Valley</t>
        </is>
      </c>
      <c r="AD166" s="96" t="inlineStr">
        <is>
          <t>Los Altos</t>
        </is>
      </c>
      <c r="AE166" s="96" t="inlineStr">
        <is>
          <t>116</t>
        </is>
      </c>
      <c r="AF166" s="96" t="inlineStr">
        <is>
          <t>HIGH no-card (business/deposit/lending pages = debit only; ~6mo old). 2026-05-29</t>
        </is>
      </c>
      <c r="AG166" s="96" t="inlineStr">
        <is>
          <t>altosbank.com (business-banking, lending-solutions); FDIC cert 59339; prnewswire</t>
        </is>
      </c>
    </row>
    <row r="167" ht="15.75" customHeight="1">
      <c r="A167" s="96" t="inlineStr">
        <is>
          <t>164</t>
        </is>
      </c>
      <c r="B167" s="96" t="n"/>
      <c r="C167" s="96" t="inlineStr">
        <is>
          <t>Asian Pacific National Bank</t>
        </is>
      </c>
      <c r="D167" s="96" t="inlineStr">
        <is>
          <t>CA Bank</t>
        </is>
      </c>
      <c r="E167" s="96" t="inlineStr">
        <is>
          <t>★ Core SoCal</t>
        </is>
      </c>
      <c r="F167" s="96" t="inlineStr">
        <is>
          <t>1/4  ✗SUW ✗Onl ✓SoCal ✗Card</t>
        </is>
      </c>
      <c r="G167" s="96" t="inlineStr">
        <is>
          <t>—</t>
        </is>
      </c>
      <c r="H167" s="96" t="inlineStr">
        <is>
          <t>$0.06B</t>
        </is>
      </c>
      <c r="I167" s="96" t="inlineStr">
        <is>
          <t>N/M</t>
        </is>
      </c>
      <c r="J167" s="96" t="inlineStr">
        <is>
          <t>San Gabriel HQ (LA County); Asian-American community bank; OCC charter 23006; est 1990</t>
        </is>
      </c>
      <c r="K167" s="96" t="inlineStr">
        <is>
          <t>CA-HQ'd</t>
        </is>
      </c>
      <c r="L167" s="96" t="inlineStr">
        <is>
          <t>—</t>
        </is>
      </c>
      <c r="M167" s="96" t="inlineStr">
        <is>
          <t>❌ No card (commercial bank; debit/prepaid only)</t>
        </is>
      </c>
      <c r="N167" s="96" t="inlineStr">
        <is>
          <t>None</t>
        </is>
      </c>
      <c r="O167" s="96" t="inlineStr">
        <is>
          <t>No</t>
        </is>
      </c>
      <c r="P167" s="96" t="inlineStr">
        <is>
          <t>— (no business card)</t>
        </is>
      </c>
      <c r="Q167" s="96" t="inlineStr">
        <is>
          <t>https://www.asianpacificbank.com</t>
        </is>
      </c>
      <c r="R167" s="96" t="inlineStr">
        <is>
          <t>—</t>
        </is>
      </c>
      <c r="S167" s="96" t="inlineStr">
        <is>
          <t>N/M</t>
        </is>
      </c>
      <c r="T167" s="96" t="inlineStr">
        <is>
          <t>N/M</t>
        </is>
      </c>
      <c r="U167" s="96" t="inlineStr">
        <is>
          <t>N/M (smallest CA-HQ'd bank by assets)</t>
        </is>
      </c>
      <c r="V167" s="96" t="inlineStr">
        <is>
          <t>0</t>
        </is>
      </c>
      <c r="W167" s="96" t="inlineStr">
        <is>
          <t>F — No card</t>
        </is>
      </c>
      <c r="X167" s="96" t="inlineStr">
        <is>
          <t>N/M</t>
        </is>
      </c>
      <c r="Y167" s="96" t="inlineStr">
        <is>
          <t>None (business loans/LOC/CRE/construction/SBA/hotel-motel/warehouse full-doc)</t>
        </is>
      </c>
      <c r="Z167" s="96" t="inlineStr">
        <is>
          <t>N/M</t>
        </is>
      </c>
      <c r="AA167" s="96" t="inlineStr">
        <is>
          <t>Not a card source</t>
        </is>
      </c>
      <c r="AB167" s="96" t="inlineStr">
        <is>
          <t>Debit/prepaid cards only (no credit card)</t>
        </is>
      </c>
      <c r="AC167" s="96" t="inlineStr">
        <is>
          <t>SoCal / LA (San Gabriel Valley)</t>
        </is>
      </c>
      <c r="AD167" s="96" t="inlineStr">
        <is>
          <t>San Gabriel</t>
        </is>
      </c>
      <c r="AE167" s="96" t="inlineStr">
        <is>
          <t>117</t>
        </is>
      </c>
      <c r="AF167" s="96" t="inlineStr">
        <is>
          <t>HIGH no-card (3 bank pages = no credit cards). 2026-05-29</t>
        </is>
      </c>
      <c r="AG167" s="96" t="inlineStr">
        <is>
          <t>asianpacificbank.com (Business-Banking, Banking-Services); occ.treas.gov (charter 23006); FDIC cert 33013</t>
        </is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G1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85" customWidth="1" min="3" max="3"/>
    <col width="8.710000000000001" customWidth="1" min="4" max="4"/>
  </cols>
  <sheetData>
    <row r="1">
      <c r="A1" s="90" t="inlineStr">
        <is>
          <t>NO-GO LIST - mentor exclusions + NO-GO by extension (issuer is banned even if storefront differs)</t>
        </is>
      </c>
    </row>
    <row r="3">
      <c r="A3" s="105" t="inlineStr">
        <is>
          <t>Institution / Issuer</t>
        </is>
      </c>
      <c r="B3" s="105" t="inlineStr">
        <is>
          <t>Status</t>
        </is>
      </c>
      <c r="C3" s="105" t="inlineStr">
        <is>
          <t>Reason / Note</t>
        </is>
      </c>
    </row>
    <row r="4">
      <c r="A4" s="106" t="inlineStr">
        <is>
          <t>Chase (JPMorgan Chase)</t>
        </is>
      </c>
      <c r="B4" s="107" t="inlineStr">
        <is>
          <t>Mentor NO-GO</t>
        </is>
      </c>
      <c r="C4" s="107" t="inlineStr">
        <is>
          <t>Excluded by mentor.</t>
        </is>
      </c>
    </row>
    <row r="5">
      <c r="A5" s="106" t="inlineStr">
        <is>
          <t>Bank of America</t>
        </is>
      </c>
      <c r="B5" s="107" t="inlineStr">
        <is>
          <t>Mentor NO-GO</t>
        </is>
      </c>
      <c r="C5" s="107" t="inlineStr">
        <is>
          <t>Excluded by mentor.</t>
        </is>
      </c>
    </row>
    <row r="6">
      <c r="A6" s="106" t="inlineStr">
        <is>
          <t>American Express (AMEX)</t>
        </is>
      </c>
      <c r="B6" s="107" t="inlineStr">
        <is>
          <t>Mentor NO-GO</t>
        </is>
      </c>
      <c r="C6" s="107" t="inlineStr">
        <is>
          <t>Excluded by mentor.</t>
        </is>
      </c>
    </row>
    <row r="7">
      <c r="A7" s="106" t="inlineStr">
        <is>
          <t>U.S. Bank</t>
        </is>
      </c>
      <c r="B7" s="107" t="inlineStr">
        <is>
          <t>Mentor NO-GO</t>
        </is>
      </c>
      <c r="C7" s="107" t="inlineStr">
        <is>
          <t>Excluded by mentor. NOTE: U.S. Bank owns ELAN -&gt; all Elan-issued cards inherit this.</t>
        </is>
      </c>
    </row>
    <row r="8">
      <c r="A8" s="106" t="inlineStr">
        <is>
          <t>ELAN (Elan Financial Services)</t>
        </is>
      </c>
      <c r="B8" s="107" t="inlineStr">
        <is>
          <t>Mentor NO-GO + by-extension</t>
        </is>
      </c>
      <c r="C8" s="107" t="inlineStr">
        <is>
          <t>Agent issuer (U.S. Bank). EXTENDS TO: Valley National, Hanmi, Poppy, First Entertainment CU - all Elan-issued.</t>
        </is>
      </c>
    </row>
    <row r="9">
      <c r="A9" s="106" t="inlineStr">
        <is>
          <t>TCM (TCM Bank, N.A.)</t>
        </is>
      </c>
      <c r="B9" s="107" t="inlineStr">
        <is>
          <t>Mentor NO-GO + by-extension</t>
        </is>
      </c>
      <c r="C9" s="107" t="inlineStr">
        <is>
          <t>White-label issuer. EXTENDS TO: Mission Valley Bank, GBC International (TCM-issued).</t>
        </is>
      </c>
    </row>
    <row r="10">
      <c r="A10" s="106" t="inlineStr">
        <is>
          <t>Wells Fargo</t>
        </is>
      </c>
      <c r="B10" s="107" t="inlineStr">
        <is>
          <t>Mentor NO-GO</t>
        </is>
      </c>
      <c r="C10" s="107" t="inlineStr">
        <is>
          <t>Excluded by mentor.</t>
        </is>
      </c>
    </row>
    <row r="11">
      <c r="A11" s="106" t="inlineStr">
        <is>
          <t>Capital One</t>
        </is>
      </c>
      <c r="B11" s="107" t="inlineStr">
        <is>
          <t>Mentor NO-GO</t>
        </is>
      </c>
      <c r="C11" s="107" t="inlineStr">
        <is>
          <t>Excluded by mentor (also reports to personal credit).</t>
        </is>
      </c>
    </row>
    <row r="12">
      <c r="A12" s="106" t="inlineStr">
        <is>
          <t>Discover</t>
        </is>
      </c>
      <c r="B12" s="107" t="inlineStr">
        <is>
          <t>Mentor NO-GO</t>
        </is>
      </c>
      <c r="C12" s="107" t="inlineStr">
        <is>
          <t>Excluded by mentor.</t>
        </is>
      </c>
    </row>
    <row r="13">
      <c r="A13" s="106" t="inlineStr">
        <is>
          <t>Synchrony Bank</t>
        </is>
      </c>
      <c r="B13" s="107" t="inlineStr">
        <is>
          <t>Mentor NO-GO</t>
        </is>
      </c>
      <c r="C13" s="107" t="inlineStr">
        <is>
          <t>Excluded by mentor.</t>
        </is>
      </c>
    </row>
    <row r="14">
      <c r="A14" s="106" t="inlineStr">
        <is>
          <t>Citi (Citibank)</t>
        </is>
      </c>
      <c r="B14" s="107" t="inlineStr">
        <is>
          <t>Mentor NO-GO</t>
        </is>
      </c>
      <c r="C14" s="107" t="inlineStr">
        <is>
          <t>Excluded by mentor.</t>
        </is>
      </c>
    </row>
    <row r="15">
      <c r="A15" s="108" t="inlineStr">
        <is>
          <t>--- NO-GO BY EXTENSION (storefront differs, issuer is banned) ---</t>
        </is>
      </c>
      <c r="B15" s="109" t="n"/>
      <c r="C15" s="109" t="n"/>
    </row>
    <row r="16">
      <c r="A16" s="106" t="inlineStr">
        <is>
          <t>Hanmi Bank</t>
        </is>
      </c>
      <c r="B16" s="107">
        <f> Elan</f>
        <v/>
      </c>
      <c r="C16" s="107" t="inlineStr">
        <is>
          <t>Mentor thought Fifth Third; REFUTED - Elan-issued. Same underwriter as U.S. Bank.</t>
        </is>
      </c>
    </row>
    <row r="17">
      <c r="A17" s="106" t="inlineStr">
        <is>
          <t>Poppy Bank</t>
        </is>
      </c>
      <c r="B17" s="107">
        <f> Elan</f>
        <v/>
      </c>
      <c r="C17" s="107" t="inlineStr">
        <is>
          <t>Elan-issued. ('$2,500 deposit' was a savings min balance, not the card.)</t>
        </is>
      </c>
    </row>
    <row r="18">
      <c r="A18" s="106" t="inlineStr">
        <is>
          <t>First Entertainment CU</t>
        </is>
      </c>
      <c r="B18" s="107">
        <f> Elan</f>
        <v/>
      </c>
      <c r="C18" s="107" t="inlineStr">
        <is>
          <t>Mentor thought self-UW; REFUTED - Elan-issued.</t>
        </is>
      </c>
    </row>
    <row r="19">
      <c r="A19" s="106" t="inlineStr">
        <is>
          <t>Valley National Bank</t>
        </is>
      </c>
      <c r="B19" s="107">
        <f> Elan</f>
        <v/>
      </c>
      <c r="C19" s="107" t="inlineStr">
        <is>
          <t>Mentor flagged 'ELAN now?' - confirmed direction; Elan storefront.</t>
        </is>
      </c>
    </row>
    <row r="20">
      <c r="A20" s="106" t="inlineStr">
        <is>
          <t>Mission Valley Bank</t>
        </is>
      </c>
      <c r="B20" s="107">
        <f> TCM</f>
        <v/>
      </c>
      <c r="C20" s="107" t="inlineStr">
        <is>
          <t>TCM-issued (in base research).</t>
        </is>
      </c>
    </row>
    <row r="21" ht="15.75" customHeight="1">
      <c r="A21" s="106" t="inlineStr">
        <is>
          <t>GBC International Bank</t>
        </is>
      </c>
      <c r="B21" s="107">
        <f> TCM</f>
        <v/>
      </c>
      <c r="C21" s="107" t="inlineStr">
        <is>
          <t>TCM-issued (in base research).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8" customWidth="1" min="3" max="3"/>
    <col width="26" customWidth="1" min="4" max="4"/>
    <col width="50" customWidth="1" min="5" max="5"/>
    <col width="8.710000000000001" customWidth="1" min="6" max="6"/>
  </cols>
  <sheetData>
    <row r="1">
      <c r="A1" s="90" t="inlineStr">
        <is>
          <t>MENTOR INTEL RECONCILIATION - claim vs. what research verified (2026-05-29)</t>
        </is>
      </c>
    </row>
    <row r="3">
      <c r="A3" s="92" t="inlineStr">
        <is>
          <t>Institution</t>
        </is>
      </c>
      <c r="B3" s="92" t="inlineStr">
        <is>
          <t>Claim ([M]/[A])</t>
        </is>
      </c>
      <c r="C3" s="92" t="inlineStr">
        <is>
          <t>Verified Status</t>
        </is>
      </c>
      <c r="D3" s="92" t="inlineStr">
        <is>
          <t>Verdict</t>
        </is>
      </c>
      <c r="E3" s="92" t="inlineStr">
        <is>
          <t>Source / Note</t>
        </is>
      </c>
    </row>
    <row r="4">
      <c r="A4" s="110" t="inlineStr">
        <is>
          <t>PNC Bank</t>
        </is>
      </c>
      <c r="B4" s="96" t="inlineStr">
        <is>
          <t>[M] Self-UW; EQ,TU,//EX</t>
        </is>
      </c>
      <c r="C4" s="96" t="inlineStr">
        <is>
          <t>Base: Self (PNC NA); cards=EX HP, BusinessOptions=SOFT Equifax</t>
        </is>
      </c>
      <c r="D4" s="97" t="inlineStr">
        <is>
          <t>CORROBORATED</t>
        </is>
      </c>
      <c r="E4" s="96" t="inlineStr">
        <is>
          <t>pnc.com; myFICO #6589727</t>
        </is>
      </c>
    </row>
    <row r="5">
      <c r="A5" s="110" t="inlineStr">
        <is>
          <t>Valley National</t>
        </is>
      </c>
      <c r="B5" s="96" t="inlineStr">
        <is>
          <t>[M] 'ELAN now?'; TU</t>
        </is>
      </c>
      <c r="C5" s="96" t="inlineStr">
        <is>
          <t>Elan storefront -&gt; on NO-GO list</t>
        </is>
      </c>
      <c r="D5" s="102" t="inlineStr">
        <is>
          <t>CONFIRMED + NO-GO</t>
        </is>
      </c>
      <c r="E5" s="96" t="inlineStr">
        <is>
          <t>Elan-issued =&gt; NO-GO by extension</t>
        </is>
      </c>
    </row>
    <row r="6">
      <c r="A6" s="110" t="inlineStr">
        <is>
          <t>First Citizens</t>
        </is>
      </c>
      <c r="B6" s="96" t="inlineStr">
        <is>
          <t>[M] Self-UW; EX</t>
        </is>
      </c>
      <c r="C6" s="96" t="inlineStr">
        <is>
          <t>Base: Self (First-Citizens B&amp;T); pulls all 3 blended</t>
        </is>
      </c>
      <c r="D6" s="102" t="inlineStr">
        <is>
          <t>PARTIAL CONFLICT</t>
        </is>
      </c>
      <c r="E6" s="96" t="inlineStr">
        <is>
          <t>Mentor=EX-only; base=all-3. Verify.</t>
        </is>
      </c>
    </row>
    <row r="7">
      <c r="A7" s="110" t="inlineStr">
        <is>
          <t>Travis CU</t>
        </is>
      </c>
      <c r="B7" s="96" t="inlineStr">
        <is>
          <t>[M] Self-UW; all 3</t>
        </is>
      </c>
      <c r="C7" s="96" t="inlineStr">
        <is>
          <t>Identity verified NorCal; issuer + bureaus UNCONFIRMED</t>
        </is>
      </c>
      <c r="D7" s="102" t="inlineStr">
        <is>
          <t>UNVERIFIED</t>
        </is>
      </c>
      <c r="E7" s="96" t="inlineStr">
        <is>
          <t>traviscu.org; NCUA</t>
        </is>
      </c>
    </row>
    <row r="8">
      <c r="A8" s="110" t="inlineStr">
        <is>
          <t>First Entertainment CU</t>
        </is>
      </c>
      <c r="B8" s="96" t="inlineStr">
        <is>
          <t>[M] Self-UW; EX</t>
        </is>
      </c>
      <c r="C8" s="96" t="inlineStr">
        <is>
          <t>ELAN-ISSUED (myaccountaccess/theme=elan1). Not self-UW.</t>
        </is>
      </c>
      <c r="D8" s="102" t="inlineStr">
        <is>
          <t>REFUTED -&gt; NO-GO</t>
        </is>
      </c>
      <c r="E8" s="96" t="inlineStr">
        <is>
          <t>firstent.org; Elan portal</t>
        </is>
      </c>
    </row>
    <row r="9">
      <c r="A9" s="110" t="inlineStr">
        <is>
          <t>City National</t>
        </is>
      </c>
      <c r="B9" s="96" t="inlineStr">
        <is>
          <t>[M] Self-UW; all 3</t>
        </is>
      </c>
      <c r="C9" s="96" t="inlineStr">
        <is>
          <t>Base: Self (City National); commercial card via RM</t>
        </is>
      </c>
      <c r="D9" s="97" t="inlineStr">
        <is>
          <t>CORROBORATED (self-UW)</t>
        </is>
      </c>
      <c r="E9" s="96" t="inlineStr">
        <is>
          <t>cnb.com</t>
        </is>
      </c>
    </row>
    <row r="10">
      <c r="A10" s="110" t="inlineStr">
        <is>
          <t>Fremont Bank</t>
        </is>
      </c>
      <c r="B10" s="96" t="inlineStr">
        <is>
          <t>[M] Pinnacle UW; EX; DOUBLE DIP</t>
        </is>
      </c>
      <c r="C10" s="96" t="inlineStr">
        <is>
          <t>Base: CorServ 'Apex' (Pinnacle Bank=issuing bank). Double-dip UNCORROBORATED</t>
        </is>
      </c>
      <c r="D10" s="97" t="inlineStr">
        <is>
          <t>CORROBORATED (UW); double-dip=mentor-only</t>
        </is>
      </c>
      <c r="E10" s="96" t="inlineStr">
        <is>
          <t>fremontbank.myapexcard.com; corservsolutions.com</t>
        </is>
      </c>
    </row>
    <row r="11">
      <c r="A11" s="110" t="inlineStr">
        <is>
          <t>Hanmi Bank</t>
        </is>
      </c>
      <c r="B11" s="96" t="inlineStr">
        <is>
          <t>[M] Fifth Third UW; all 3</t>
        </is>
      </c>
      <c r="C11" s="96" t="inlineStr">
        <is>
          <t>ELAN-ISSUED (verbatim). 'Fifth Third'=0 hits. Elan=1 bureau.</t>
        </is>
      </c>
      <c r="D11" s="102" t="inlineStr">
        <is>
          <t>REFUTED -&gt; NO-GO</t>
        </is>
      </c>
      <c r="E11" s="96" t="inlineStr">
        <is>
          <t>hanmi.com/business/business-credit-cards</t>
        </is>
      </c>
    </row>
    <row r="12">
      <c r="A12" s="110" t="inlineStr">
        <is>
          <t>SCE CU (now Rize)</t>
        </is>
      </c>
      <c r="B12" s="96" t="inlineStr">
        <is>
          <t>[M] Self-UW; TU; no-doc; online; no checking</t>
        </is>
      </c>
      <c r="C12" s="96" t="inlineStr">
        <is>
          <t>Rebranded RIZE CU. SoCal. Open membership. $5K-$50K. Card RM-mediated; needs formation docs.</t>
        </is>
      </c>
      <c r="D12" s="102" t="inlineStr">
        <is>
          <t>UNVERIFIED / partly contradicted</t>
        </is>
      </c>
      <c r="E12" s="96" t="inlineStr">
        <is>
          <t>rizecu.com - HIGH VALUE if confirmed; CALL THEM</t>
        </is>
      </c>
    </row>
    <row r="13">
      <c r="A13" s="110" t="inlineStr">
        <is>
          <t>Bank of the West</t>
        </is>
      </c>
      <c r="B13" s="96" t="inlineStr">
        <is>
          <t>[M] Self-UW; TU</t>
        </is>
      </c>
      <c r="C13" s="96" t="inlineStr">
        <is>
          <t>Now BMO (brand retired)</t>
        </is>
      </c>
      <c r="D13" s="102" t="inlineStr">
        <is>
          <t>OUTDATED</t>
        </is>
      </c>
      <c r="E13" s="96" t="inlineStr">
        <is>
          <t>Use BMO entry.</t>
        </is>
      </c>
    </row>
    <row r="14">
      <c r="A14" s="110" t="inlineStr">
        <is>
          <t>First Bank</t>
        </is>
      </c>
      <c r="B14" s="96" t="inlineStr">
        <is>
          <t>[M] FNBO UW; EX</t>
        </is>
      </c>
      <c r="C14" s="96" t="inlineStr">
        <is>
          <t>Multiple 'First Bank' entities; FNBO program plausible</t>
        </is>
      </c>
      <c r="D14" s="111" t="inlineStr">
        <is>
          <t>NEEDS DISAMBIG (agent pending)</t>
        </is>
      </c>
      <c r="E14" s="96" t="inlineStr">
        <is>
          <t>Confirm exact entity + FNBO</t>
        </is>
      </c>
    </row>
    <row r="15">
      <c r="A15" s="110" t="inlineStr">
        <is>
          <t>First Foundation</t>
        </is>
      </c>
      <c r="B15" s="96" t="inlineStr">
        <is>
          <t>[M] 'Card Assets' UW; EQ</t>
        </is>
      </c>
      <c r="C15" s="96" t="inlineStr">
        <is>
          <t>SoCal (Irvine). 'Card Assets' program plausible</t>
        </is>
      </c>
      <c r="D15" s="111" t="inlineStr">
        <is>
          <t>PLAUSIBLE (agent pending)</t>
        </is>
      </c>
      <c r="E15" s="96" t="inlineStr">
        <is>
          <t>firstfoundationinc.com</t>
        </is>
      </c>
    </row>
    <row r="16">
      <c r="A16" s="110" t="inlineStr">
        <is>
          <t>Global CU</t>
        </is>
      </c>
      <c r="B16" s="96" t="inlineStr">
        <is>
          <t>[M] mentioned; 'San Bern only now'</t>
        </is>
      </c>
      <c r="C16" s="96" t="inlineStr">
        <is>
          <t>AK-HQ (ex-Alaska USA); acquired CA First Financial CU</t>
        </is>
      </c>
      <c r="D16" s="111" t="inlineStr">
        <is>
          <t>IDENTIFIED (agent pending)</t>
        </is>
      </c>
      <c r="E16" s="96" t="inlineStr">
        <is>
          <t>globalcu.org</t>
        </is>
      </c>
    </row>
    <row r="17">
      <c r="A17" s="110" t="inlineStr">
        <is>
          <t>Banner Bank</t>
        </is>
      </c>
      <c r="B17" s="96" t="inlineStr">
        <is>
          <t>[M] mentioned</t>
        </is>
      </c>
      <c r="C17" s="96" t="inlineStr">
        <is>
          <t>Base: Self (Banner Bank); ~30 CA branches; paper-&gt;branch</t>
        </is>
      </c>
      <c r="D17" s="97" t="inlineStr">
        <is>
          <t>CORROBORATED (self-UW)</t>
        </is>
      </c>
      <c r="E17" s="96" t="inlineStr">
        <is>
          <t>bannerbank.com</t>
        </is>
      </c>
    </row>
    <row r="18">
      <c r="A18" s="110" t="inlineStr">
        <is>
          <t>Sunwest Bank</t>
        </is>
      </c>
      <c r="B18" s="96" t="inlineStr">
        <is>
          <t>[M] mentioned</t>
        </is>
      </c>
      <c r="C18" s="96" t="inlineStr">
        <is>
          <t>Visionary Card (Torpago+Marqeta); NO PG / NO deposit / NO personal pull</t>
        </is>
      </c>
      <c r="D18" s="97" t="inlineStr">
        <is>
          <t>CONFIRMED + EXPANDED</t>
        </is>
      </c>
      <c r="E18" s="96" t="inlineStr">
        <is>
          <t>torpago.com press; sunwestbank.com</t>
        </is>
      </c>
    </row>
    <row r="19">
      <c r="A19" s="110" t="inlineStr">
        <is>
          <t>Poppy Bank</t>
        </is>
      </c>
      <c r="B19" s="96" t="inlineStr">
        <is>
          <t>[M] $2,500 deposit; $25K-$50K</t>
        </is>
      </c>
      <c r="C19" s="96" t="inlineStr">
        <is>
          <t>ELAN unsecured card; $2,500 = biz savings min balance (misattributed)</t>
        </is>
      </c>
      <c r="D19" s="102" t="inlineStr">
        <is>
          <t>REFUTED -&gt; NO-GO</t>
        </is>
      </c>
      <c r="E19" s="96" t="inlineStr">
        <is>
          <t>poppy.bank/business-checking-accounts</t>
        </is>
      </c>
    </row>
    <row r="20">
      <c r="A20" s="110" t="inlineStr">
        <is>
          <t>Tri Counties</t>
        </is>
      </c>
      <c r="B20" s="96" t="inlineStr">
        <is>
          <t>[A] ~$9B; no online app</t>
        </is>
      </c>
      <c r="C20" s="96" t="inlineStr">
        <is>
          <t>SELF-ISSUED (disclosure); NorCal; no online app</t>
        </is>
      </c>
      <c r="D20" s="97" t="inlineStr">
        <is>
          <t>CONFIRMED + CORRECTION</t>
        </is>
      </c>
      <c r="E20" s="96" t="inlineStr">
        <is>
          <t>tcbk.com - self-issued, NOT TIB</t>
        </is>
      </c>
    </row>
    <row r="21" ht="15.75" customHeight="1">
      <c r="A21" s="110" t="inlineStr">
        <is>
          <t>F&amp;M (fmbonline)</t>
        </is>
      </c>
      <c r="B21" s="96" t="inlineStr">
        <is>
          <t>[A] ~$5B; UMB; no app</t>
        </is>
      </c>
      <c r="C21" s="96" t="inlineStr">
        <is>
          <t>F&amp;M of CENTRAL CALIFORNIA (Lodi); UMB-issued; ~$5.7B</t>
        </is>
      </c>
      <c r="D21" s="97" t="inlineStr">
        <is>
          <t>CONFIRMED</t>
        </is>
      </c>
      <c r="E21" s="96" t="inlineStr">
        <is>
          <t>fmbonline.com - mentor's ~$5B was right; NorCal</t>
        </is>
      </c>
    </row>
    <row r="22" ht="15.75" customHeight="1">
      <c r="A22" s="110" t="inlineStr">
        <is>
          <t>CalPrivate</t>
        </is>
      </c>
      <c r="B22" s="96" t="inlineStr">
        <is>
          <t>[A] ~$2.3B; TIB; contact banker</t>
        </is>
      </c>
      <c r="C22" s="96" t="inlineStr">
        <is>
          <t>SoCal (La Jolla); TIB CONFIRMED; ~$2.5B</t>
        </is>
      </c>
      <c r="D22" s="97" t="inlineStr">
        <is>
          <t>CONFIRMED</t>
        </is>
      </c>
      <c r="E22" s="96" t="inlineStr">
        <is>
          <t>calprivate.bank - the true SoCal one</t>
        </is>
      </c>
    </row>
    <row r="23" ht="15.75" customHeight="1">
      <c r="A23" s="110" t="inlineStr">
        <is>
          <t>WCCB (wccb.com)</t>
        </is>
      </c>
      <c r="B23" s="96" t="inlineStr">
        <is>
          <t>[A] ~$2.5B</t>
        </is>
      </c>
      <c r="C23" s="96" t="inlineStr">
        <is>
          <t>West Coast Community Bank (Santa Cruz); CorServ Mastercard; ~$2.66B</t>
        </is>
      </c>
      <c r="D23" s="111" t="inlineStr">
        <is>
          <t>IDENTIFIED + CORRECTION</t>
        </is>
      </c>
      <c r="E23" s="96" t="inlineStr">
        <is>
          <t>wccb.com - NorCal; CorServ not TIB</t>
        </is>
      </c>
    </row>
    <row r="24" ht="15.75" customHeight="1">
      <c r="A24" s="110" t="inlineStr">
        <is>
          <t>Nuvision/Logix/Kinecta/SDCCU/Altura/Sun Community/California CU</t>
        </is>
      </c>
      <c r="B24" s="96" t="inlineStr">
        <is>
          <t>[A] self-issued SoCal CUs; membership paths</t>
        </is>
      </c>
      <c r="C24" s="96" t="inlineStr">
        <is>
          <t>All SoCal, self-issued, membership corroborated (base)</t>
        </is>
      </c>
      <c r="D24" s="97" t="inlineStr">
        <is>
          <t>CORROBORATED</t>
        </is>
      </c>
      <c r="E24" s="96" t="inlineStr">
        <is>
          <t>per-CU pages + base</t>
        </is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  <col width="8.710000000000001" customWidth="1" min="3" max="3"/>
  </cols>
  <sheetData>
    <row r="1">
      <c r="A1" s="90" t="inlineStr">
        <is>
          <t>LEGEND, METHODOLOGY &amp; DISCLAIMERS</t>
        </is>
      </c>
    </row>
    <row r="3">
      <c r="A3" s="112" t="inlineStr">
        <is>
          <t>PURPOSE</t>
        </is>
      </c>
      <c r="B3" s="96" t="inlineStr">
        <is>
          <t>Consolidate Slack chat intel + 2 prior spreadsheets into one workbook for a Southern CA (Beverly Hills/LA/OC/Riverside/SD) business-credit-card funding sprint. Focus: little/no seasoning or deposit activity required.</t>
        </is>
      </c>
    </row>
    <row r="4">
      <c r="A4" s="112" t="inlineStr">
        <is>
          <t>WHO BUILT WHAT</t>
        </is>
      </c>
      <c r="B4" s="96" t="inlineStr">
        <is>
          <t>Alan built the 164-institution master (base research). The mentor contributed a short core list (the numbered 1-11 + a few 'mentioned' names), the NO-GO list, and the deposit/seasoning framing. Slack notes are tagged [M]=mentor, [A]=Alan, [M+A]=both, so credit is explicit.</t>
        </is>
      </c>
    </row>
    <row r="5">
      <c r="A5" s="112" t="inlineStr">
        <is>
          <t>SOURCES MERGED</t>
        </is>
      </c>
      <c r="B5" s="96" t="inlineStr">
        <is>
          <t>(A) research/ca_business_credit_funding_v2.csv = 164-institution base (Alan), pre-sourced ~2026-05-28. (B) Slack chat = experiential intel. (C) Deep web research 2026-05-29 (subagents) for 10 named institutions; this OVERRIDES base where it conflicts (e.g., Hanmi/Poppy = Elan).</t>
        </is>
      </c>
    </row>
    <row r="6">
      <c r="A6" s="112" t="inlineStr">
        <is>
          <t>CRITICAL READING RULE</t>
        </is>
      </c>
      <c r="B6" s="96" t="inlineStr">
        <is>
          <t>'(verified)' columns = sourced. 'SLACK NOTE' = chat intel, NOT independently confirmed unless 'CLAIM STATUS' says so. Mentor himself said 'take it with a grain of salt' - so the salt is made explicit.</t>
        </is>
      </c>
    </row>
    <row r="7">
      <c r="A7" s="112" t="inlineStr">
        <is>
          <t>N/M</t>
        </is>
      </c>
      <c r="B7" s="96" t="inlineStr">
        <is>
          <t>Not Mentioned / not found in any source. NEVER guessed. Blank deposit/limit/bureau = no source stated it -&gt; confirm with the bank.</t>
        </is>
      </c>
    </row>
    <row r="8">
      <c r="A8" s="112" t="inlineStr">
        <is>
          <t>ESTIMATE / INFERENCE</t>
        </is>
      </c>
      <c r="B8" s="96" t="inlineStr">
        <is>
          <t>Any value with 'est','~','inferred','likely','UNVERIFIED','UNCONFIRMED' is NOT confirmed fact. '~' asset figures are FDIC/NCUA ballpark.</t>
        </is>
      </c>
    </row>
    <row r="9">
      <c r="A9" s="112" t="inlineStr">
        <is>
          <t>TIER 1</t>
        </is>
      </c>
      <c r="B9" s="96" t="inlineStr">
        <is>
          <t>SoCal, self/CU-issued, low/no seasoning - best sprint targets.</t>
        </is>
      </c>
    </row>
    <row r="10">
      <c r="A10" s="112" t="inlineStr">
        <is>
          <t>TIER 2</t>
        </is>
      </c>
      <c r="B10" s="96" t="inlineStr">
        <is>
          <t>SoCal but white-label issuer (TIB) or contact/in-person to apply.</t>
        </is>
      </c>
    </row>
    <row r="11">
      <c r="A11" s="112" t="inlineStr">
        <is>
          <t>TIER 3</t>
        </is>
      </c>
      <c r="B11" s="96" t="inlineStr">
        <is>
          <t>National self-UW that lends into CA with no-seasoning paths (PNC, First Citizens, Fremont, etc.).</t>
        </is>
      </c>
    </row>
    <row r="12">
      <c r="A12" s="112" t="inlineStr">
        <is>
          <t>TIER 4</t>
        </is>
      </c>
      <c r="B12" s="96" t="inlineStr">
        <is>
          <t>NorCal / Central Valley / lower SoCal priority, or business-card existence/terms unconfirmed.</t>
        </is>
      </c>
    </row>
    <row r="13">
      <c r="A13" s="112" t="inlineStr">
        <is>
          <t>CAUTION (red)</t>
        </is>
      </c>
      <c r="B13" s="96" t="inlineStr">
        <is>
          <t>NO-GO by extension: the storefront bank is fine but the ISSUER is on your NO-GO list. Hanmi/Poppy/First Entertainment/Valley National all run on ELAN (a U.S. Bank arm). Bank of the West is now BMO.</t>
        </is>
      </c>
    </row>
    <row r="14">
      <c r="A14" s="112" t="inlineStr">
        <is>
          <t>** THE ELAN TRAP **</t>
        </is>
      </c>
      <c r="B14" s="96" t="inlineStr">
        <is>
          <t>Mentor NO-GO'd ELAN and U.S. Bank. Deep research found Hanmi, Poppy, and First Entertainment CU are ALL Elan-issued - so applying to them = applying to your banned issuer (same underwriting, same pull behavior, no independent 'stack'). This is the single biggest correction in this workbook.</t>
        </is>
      </c>
    </row>
    <row r="15">
      <c r="A15" s="112" t="inlineStr">
        <is>
          <t>WHITE-LABEL ISSUERS</t>
        </is>
      </c>
      <c r="B15" s="96" t="inlineStr">
        <is>
          <t>TIB=The Independent BankersBank; TCM=TCM Bank; UMB=UMB Bank; FNBO=First National Bank of Omaha; CorServ/Apex (issuing bank Pinnacle Bank TN); Elan (U.S. Bank); Card Assets; Torpago (Sunwest, on own balance sheet). The HARD PULL + reporting follow the ISSUER, not the storefront - which is why grouping by underwriter matters.</t>
        </is>
      </c>
    </row>
    <row r="16">
      <c r="A16" s="112" t="inlineStr">
        <is>
          <t>KEY CORRECTIONS</t>
        </is>
      </c>
      <c r="B16" s="96" t="inlineStr">
        <is>
          <t>(1) Hanmi=Elan, not Fifth Third. (2) Poppy=Elan; '$2,500' was its biz-savings min balance, not a card deposit. (3) First Entertainment=Elan, not self-UW. (4) SCE CU rebranded to RIZE CU (rizecu.com; sce.org=electric utility). (5) fmbonline.com = F&amp;M of Central California (Lodi, ~$5.7B), UMB-issued - mentor's ~$5B was right. (6) Tri Counties=self-issued, not TIB. (7) WCCB=West Coast Community Bank (Santa Cruz, NorCal), CorServ-issued. (8) Sunwest Visionary=Torpago, no PG/deposit/personal-pull.</t>
        </is>
      </c>
    </row>
    <row r="17">
      <c r="A17" s="112" t="inlineStr">
        <is>
          <t>HIGHEST-VALUE UNVERIFIED CLAIMS</t>
        </is>
      </c>
      <c r="B17" s="96" t="inlineStr">
        <is>
          <t>1) SCE/Rize CU: no-doc + no biz checking + apply online + TU (PLAUSIBLE; needs a call - business membership does require formation docs). 2) Fremont 'double dip' (mentor intel only, no corroboration). 3) First Bank/FNBO + First Foundation/'Card Assets' (verification agent pending). These are worth a direct call before relying on them.</t>
        </is>
      </c>
    </row>
    <row r="18">
      <c r="A18" s="112" t="inlineStr">
        <is>
          <t>DEPOSIT / LIQUIDATION NOTE</t>
        </is>
      </c>
      <c r="B18" s="96" t="inlineStr">
        <is>
          <t>Per Alan's ask: most SoCal CUs need only a nominal membership share ($5-$25). Verified HARD deposit requirements were NOT found for most institutions. The one specific number in the chat ($2,500 Poppy) was REFUTED (it's a savings min balance). DO NOT pre-liquidate against unconfirmed deposit numbers.</t>
        </is>
      </c>
    </row>
    <row r="19">
      <c r="A19" s="112" t="inlineStr">
        <is>
          <t>BEST NO-SEASONING STRUCTURAL FITS</t>
        </is>
      </c>
      <c r="B19" s="96" t="inlineStr">
        <is>
          <t>SDCCU (online, $5K-$20K), Nuvision (online), California Bank &amp; Trust (online, up to $250K advertised), and Sunwest Visionary (no PG/deposit/personal pull, cash-flow underwriting, contact-to-apply). SCE/Rize is promising if its mentor claims hold.</t>
        </is>
      </c>
    </row>
    <row r="20">
      <c r="A20" s="112" t="inlineStr">
        <is>
          <t>DISCLAIMER</t>
        </is>
      </c>
      <c r="B20" s="96" t="inlineStr">
        <is>
          <t>Approval terms, underwriters, and bureaus change often and vary by applicant. 'Previous success != same success today' (mentor). Nothing here guarantees approval. Verify each target directly before applying. Pull ibanknet manually for current-month hard-inquiry data where freshness matters.</t>
        </is>
      </c>
    </row>
    <row r="21" ht="15.75" customHeight="1">
      <c r="A21" s="112" t="inlineStr">
        <is>
          <t>BUILD</t>
        </is>
      </c>
      <c r="B21" s="96" t="inlineStr">
        <is>
          <t>Built 2026-05-29. Script: research/build_consolidated_xlsx.py. Companion Slack draft: research/SLACK_MESSAGE.md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62" customWidth="1" min="3" max="3"/>
    <col width="52" customWidth="1" min="4" max="4"/>
    <col width="30" customWidth="1" min="5" max="5"/>
    <col width="46" customWidth="1" min="6" max="6"/>
  </cols>
  <sheetData>
    <row r="1">
      <c r="A1" s="113" t="inlineStr">
        <is>
          <t>EWS / CHEXSYSTEMS PRIORITY BOARD — organized by screening evidence — built 2026-06-09</t>
        </is>
      </c>
    </row>
    <row r="2">
      <c r="A2" s="114" t="inlineStr">
        <is>
          <t>GOLD = confirmed NO-pull with dated DP (only tier safe to treat as screen-free — and even these decay). SILVER = silence CONFIRMED across DoC archive/myFICO/depositaccounts/Reddit (unproven, likely manual KYC). BRONZE = mixed/stale/indirect. RED = confirmed pullers. Every claim carries date+source; re-verify anything &gt;12 months old.</t>
        </is>
      </c>
    </row>
    <row r="4">
      <c r="A4" s="115" t="inlineStr">
        <is>
          <t>Tier</t>
        </is>
      </c>
      <c r="B4" s="115" t="inlineStr">
        <is>
          <t>Institution</t>
        </is>
      </c>
      <c r="C4" s="115" t="inlineStr">
        <is>
          <t>Chex / EWS evidence (DATED + sourced)</t>
        </is>
      </c>
      <c r="D4" s="115" t="inlineStr">
        <is>
          <t>Card-side summary (incl. bureau/limit DPs)</t>
        </is>
      </c>
      <c r="E4" s="115" t="inlineStr">
        <is>
          <t>How found / first source</t>
        </is>
      </c>
      <c r="F4" s="115" t="inlineStr">
        <is>
          <t>Key link</t>
        </is>
      </c>
    </row>
    <row r="5">
      <c r="A5" s="116" t="inlineStr">
        <is>
          <t>🥇  GOLD — confirmed NO-PULL evidence (dated)</t>
        </is>
      </c>
      <c r="B5" s="117" t="n"/>
      <c r="C5" s="117" t="n"/>
      <c r="D5" s="117" t="n"/>
      <c r="E5" s="117" t="n"/>
      <c r="F5" s="118" t="n"/>
    </row>
    <row r="6">
      <c r="A6" s="119" t="inlineStr">
        <is>
          <t>GOLD</t>
        </is>
      </c>
      <c r="B6" s="120" t="inlineStr">
        <is>
          <t>Mercury (biz banking layer)</t>
        </is>
      </c>
      <c r="C6" s="121" t="inlineStr">
        <is>
          <t>Chex NO [2025-03 DP ×2; frozen-OK; 'never seen on EWS reports']</t>
        </is>
      </c>
      <c r="D6" s="121" t="inlineStr">
        <is>
          <t>IO card: no PG/no personal pull; ~$5K intro, $15K+ balance unlocks limits</t>
        </is>
      </c>
      <c r="E6" s="121" t="inlineStr">
        <is>
          <t>Found via: fintech-lane agent sweep 6/9</t>
        </is>
      </c>
      <c r="F6" s="121" t="inlineStr">
        <is>
          <t>https://www.doctorofcredit.com/mercury-fintech-500-business-checking-bonus/#comment-2028499</t>
        </is>
      </c>
    </row>
    <row r="7">
      <c r="A7" s="119" t="inlineStr">
        <is>
          <t>GOLD</t>
        </is>
      </c>
      <c r="B7" s="120" t="inlineStr">
        <is>
          <t>Found (biz banking layer)</t>
        </is>
      </c>
      <c r="C7" s="121" t="inlineStr">
        <is>
          <t>Chex NO [2024-10 DP; reaffirmed 2026-06-04]</t>
        </is>
      </c>
      <c r="D7" s="121" t="inlineStr">
        <is>
          <t>Banking only — no credit card</t>
        </is>
      </c>
      <c r="E7" s="121" t="inlineStr">
        <is>
          <t>fintech-lane sweep</t>
        </is>
      </c>
      <c r="F7" s="121" t="inlineStr">
        <is>
          <t>https://www.doctorofcredit.com/found-125-business-checking-bonus/#comment-1927305</t>
        </is>
      </c>
    </row>
    <row r="8">
      <c r="A8" s="119" t="inlineStr">
        <is>
          <t>GOLD</t>
        </is>
      </c>
      <c r="B8" s="120" t="inlineStr">
        <is>
          <t>BlueVine (biz banking layer)</t>
        </is>
      </c>
      <c r="C8" s="121" t="inlineStr">
        <is>
          <t>Chex NO [2024-07 DP] (DoC don't-pull section)</t>
        </is>
      </c>
      <c r="D8" s="121" t="inlineStr">
        <is>
          <t>Banking + LOC; no card</t>
        </is>
      </c>
      <c r="E8" s="121" t="inlineStr">
        <is>
          <t>DoC don't-pull section (your chex docs)</t>
        </is>
      </c>
      <c r="F8" s="121" t="inlineStr">
        <is>
          <t>https://www.doctorofcredit.com/bluevine-business-checking-300-bonus/#comment-1879825</t>
        </is>
      </c>
    </row>
    <row r="9">
      <c r="A9" s="119" t="inlineStr">
        <is>
          <t>GOLD</t>
        </is>
      </c>
      <c r="B9" s="120" t="inlineStr">
        <is>
          <t>Live Oak Bank (biz banking layer)</t>
        </is>
      </c>
      <c r="C9" s="121" t="inlineStr">
        <is>
          <t>Chex NO [2022-10 DP; reaffirmed 2026-03-27 Gadget list]; EWS doesn't-pull DP</t>
        </is>
      </c>
      <c r="D9" s="121" t="inlineStr">
        <is>
          <t>Biz savings/banking; no card</t>
        </is>
      </c>
      <c r="E9" s="121" t="inlineStr">
        <is>
          <t>DoC don't-pull section (your docs)</t>
        </is>
      </c>
      <c r="F9" s="121" t="inlineStr">
        <is>
          <t>https://www.doctorofcredit.com/live-oak-bank-300-business-checking-bonus/#comment-1462969</t>
        </is>
      </c>
    </row>
    <row r="10">
      <c r="A10" s="119" t="inlineStr">
        <is>
          <t>GOLD</t>
        </is>
      </c>
      <c r="B10" s="120" t="inlineStr">
        <is>
          <t>Lili (biz banking layer)</t>
        </is>
      </c>
      <c r="C10" s="121" t="inlineStr">
        <is>
          <t>Chex NO [2021-06 DP — AGING]</t>
        </is>
      </c>
      <c r="D10" s="121" t="inlineStr">
        <is>
          <t>Banking only</t>
        </is>
      </c>
      <c r="E10" s="121" t="inlineStr">
        <is>
          <t>DoC don't-pull section</t>
        </is>
      </c>
      <c r="F10" s="121" t="inlineStr">
        <is>
          <t>https://www.doctorofcredit.com/lili-bank-50-swagbucks-50-referral-offer-direct-deposit-not-required/#comment-1198992</t>
        </is>
      </c>
    </row>
    <row r="11">
      <c r="A11" s="119" t="inlineStr">
        <is>
          <t>GOLD</t>
        </is>
      </c>
      <c r="B11" s="120" t="inlineStr">
        <is>
          <t>Navy Federal CU</t>
        </is>
      </c>
      <c r="C11" s="121" t="inlineStr">
        <is>
          <t>Chex NO (DoC don't-pull section, page upd. 2025-08-07)</t>
        </is>
      </c>
      <c r="D11" s="121" t="inlineStr">
        <is>
          <t>GO BIZ Rewards MC $0 AF self-issued — BUT military/veteran/DoD FOM + 1yr member OR 24mo TIB</t>
        </is>
      </c>
      <c r="E11" s="121" t="inlineStr">
        <is>
          <t>DoC don't-pull + SoCal-finds agent</t>
        </is>
      </c>
      <c r="F11" s="121" t="inlineStr">
        <is>
          <t>https://www.doctorofcredit.com/banks-credit-unions-dodont-pull-chexsystems/#Navy_Federal_Credit_Union_NFCU</t>
        </is>
      </c>
    </row>
    <row r="12">
      <c r="A12" s="119" t="inlineStr">
        <is>
          <t>GOLD</t>
        </is>
      </c>
      <c r="B12" s="120" t="inlineStr">
        <is>
          <t>First Foundation Bank (pre-merger)</t>
        </is>
      </c>
      <c r="C12" s="121" t="inlineStr">
        <is>
          <t>Chex NO [2025-03-19 DP] ⚠ charter now Sunflower N.A. (pulls — 2016/2018 DPs); conversion end-Q3-2026 — re-test after</t>
        </is>
      </c>
      <c r="D12" s="121" t="inlineStr">
        <is>
          <t>Business MC via Card Assets (EQ forum-claim); SoCal Irvine</t>
        </is>
      </c>
      <c r="E12" s="121" t="inlineStr">
        <is>
          <t>Mentor-adjacent + agent verify 5/29</t>
        </is>
      </c>
      <c r="F12" s="121" t="inlineStr">
        <is>
          <t>https://www.doctorofcredit.com/banks-credit-unions-dodont-pull-chexsystems/</t>
        </is>
      </c>
    </row>
    <row r="13">
      <c r="A13" s="122" t="inlineStr">
        <is>
          <t>🥈  SILVER — silence CONFIRMED across archives (no evidence either way)</t>
        </is>
      </c>
      <c r="B13" s="117" t="n"/>
      <c r="C13" s="117" t="n"/>
      <c r="D13" s="117" t="n"/>
      <c r="E13" s="117" t="n"/>
      <c r="F13" s="118" t="n"/>
    </row>
    <row r="14">
      <c r="A14" s="123" t="inlineStr">
        <is>
          <t>SILVER</t>
        </is>
      </c>
      <c r="B14" s="120" t="inlineStr">
        <is>
          <t>City National Bank LA</t>
        </is>
      </c>
      <c r="C14" s="121" t="inlineStr">
        <is>
          <t>No Chex/EWS in own personal+business deposit agreements (pdftotext 6/9); DoC 'City National' rows = WV bank (entity-proof comments 2017-12/2018-03)</t>
        </is>
      </c>
      <c r="D14" s="121" t="inlineStr">
        <is>
          <t>Commercial card via RM; self; EX (personal Crystal DP). Relationship play</t>
        </is>
      </c>
      <c r="E14" s="121" t="inlineStr">
        <is>
          <t>DoC-docs grep + agreements pull 6/9</t>
        </is>
      </c>
      <c r="F14" s="121" t="inlineStr">
        <is>
          <t>https://www.cnb.com/content/dam/cnb/business-banking/accounts/documents/business-accounts-deposit-account-agreement-174.pdf</t>
        </is>
      </c>
    </row>
    <row r="15">
      <c r="A15" s="123" t="inlineStr">
        <is>
          <t>SILVER</t>
        </is>
      </c>
      <c r="B15" s="120" t="inlineStr">
        <is>
          <t>CalPrivate Bank</t>
        </is>
      </c>
      <c r="C15" s="121" t="inlineStr">
        <is>
          <t>Zero hits in DoC comment archive ('calprivate'), forums, web [6/9 sweep]</t>
        </is>
      </c>
      <c r="D15" s="121" t="inlineStr">
        <is>
          <t>TIB business cards; contact-banker; La Jolla/Beverly Hills/Newport</t>
        </is>
      </c>
      <c r="E15" s="121" t="inlineStr">
        <is>
          <t>Alan's base list + TIB-portal decode</t>
        </is>
      </c>
      <c r="F15" s="121" t="inlineStr">
        <is>
          <t>https://calprivate.bank/business-banking/business-credit-cards/</t>
        </is>
      </c>
    </row>
    <row r="16">
      <c r="A16" s="123" t="inlineStr">
        <is>
          <t>SILVER</t>
        </is>
      </c>
      <c r="B16" s="120" t="inlineStr">
        <is>
          <t>Sunwest Bank</t>
        </is>
      </c>
      <c r="C16" s="121" t="inlineStr">
        <is>
          <t>No DPs; ⚠ DoC 'SunWest' comments = SunWest Educational CU (AZ) — entity trap</t>
        </is>
      </c>
      <c r="D16" s="121" t="inlineStr">
        <is>
          <t>Visionary: no PG / no deposit / NO personal pull (Torpago) — best no-screening stack</t>
        </is>
      </c>
      <c r="E16" s="121" t="inlineStr">
        <is>
          <t>Mentor named; Torpago press verified 5/29</t>
        </is>
      </c>
      <c r="F16" s="121" t="inlineStr">
        <is>
          <t>https://www.sunwestbank.com/visionary-corporate-card/</t>
        </is>
      </c>
    </row>
    <row r="17">
      <c r="A17" s="123" t="inlineStr">
        <is>
          <t>SILVER</t>
        </is>
      </c>
      <c r="B17" s="120" t="inlineStr">
        <is>
          <t>Western Alliance / Torrey Pines</t>
        </is>
      </c>
      <c r="C17" s="121" t="inlineStr">
        <is>
          <t>No screening DPs (only a 2026-05 biz-bonus comment with no Chex info)</t>
        </is>
      </c>
      <c r="D17" s="121" t="inlineStr">
        <is>
          <t>Self-issued Visa Business Plus; TU per mentor (uncorroborated); RM lead-form; SD</t>
        </is>
      </c>
      <c r="E17" s="121" t="inlineStr">
        <is>
          <t>Alan's base + mentor TU</t>
        </is>
      </c>
      <c r="F17" s="121" t="inlineStr">
        <is>
          <t>https://www.westernalliancebancorporation.com/torrey-pines-bank/small-business/business-credit-cards</t>
        </is>
      </c>
    </row>
    <row r="18">
      <c r="A18" s="123" t="inlineStr">
        <is>
          <t>SILVER</t>
        </is>
      </c>
      <c r="B18" s="120" t="inlineStr">
        <is>
          <t>Logix FCU</t>
        </is>
      </c>
      <c r="C18" s="121" t="inlineStr">
        <is>
          <t>No Chex DPs (DoC's own commenters note Logix DPs are 'ancient 2014')</t>
        </is>
      </c>
      <c r="D18" s="121" t="inlineStr">
        <is>
          <t>Self-issued; Burbank; in-person; ⚠ reports to personal</t>
        </is>
      </c>
      <c r="E18" s="121" t="inlineStr">
        <is>
          <t>Alan's base</t>
        </is>
      </c>
      <c r="F18" s="121" t="inlineStr">
        <is>
          <t>https://www.logixbanking.com/about-us/privacy-and-disclosures</t>
        </is>
      </c>
    </row>
    <row r="19">
      <c r="A19" s="123" t="inlineStr">
        <is>
          <t>SILVER</t>
        </is>
      </c>
      <c r="B19" s="120" t="inlineStr">
        <is>
          <t>Sun Community FCU</t>
        </is>
      </c>
      <c r="C19" s="121" t="inlineStr">
        <is>
          <t>No DPs; ⚠ unchex 'Sun Federal CU' = Toledo OH — entity trap</t>
        </is>
      </c>
      <c r="D19" s="121" t="inlineStr">
        <is>
          <t>Self-issued; Coachella/Imperial; in-person</t>
        </is>
      </c>
      <c r="E19" s="121" t="inlineStr">
        <is>
          <t>Alan's base</t>
        </is>
      </c>
      <c r="F19" s="121" t="inlineStr">
        <is>
          <t>https://www.suncommunity.com/products/checking-accounts</t>
        </is>
      </c>
    </row>
    <row r="20">
      <c r="A20" s="123" t="inlineStr">
        <is>
          <t>SILVER</t>
        </is>
      </c>
      <c r="B20" s="120" t="inlineStr">
        <is>
          <t>First Bank (first.bank MO)</t>
        </is>
      </c>
      <c r="C20" s="121" t="inlineStr">
        <is>
          <t>No DPs; DoC 'First Bank' entries = other entities (CO/WI/MS)</t>
        </is>
      </c>
      <c r="D20" s="121" t="inlineStr">
        <is>
          <t>CorServ self-issue; ONLINE app; CA branches</t>
        </is>
      </c>
      <c r="E20" s="121" t="inlineStr">
        <is>
          <t>Mentor named (as FNBO — stale); CorServ press 2024-02</t>
        </is>
      </c>
      <c r="F20" s="121" t="inlineStr">
        <is>
          <t>https://www.first.bank/Business/Bank/Business-Credit-Cards</t>
        </is>
      </c>
    </row>
    <row r="21">
      <c r="A21" s="123" t="inlineStr">
        <is>
          <t>SILVER</t>
        </is>
      </c>
      <c r="B21" s="120" t="inlineStr">
        <is>
          <t>Enterprise Bank &amp; Trust</t>
        </is>
      </c>
      <c r="C21" s="121" t="inlineStr">
        <is>
          <t>No DPs (don't confuse w/ enterprise.bank NE / First Enterprise OK)</t>
        </is>
      </c>
      <c r="D21" s="121" t="inlineStr">
        <is>
          <t>Self on FIS rails; 7 SoCal branches; RM-mediated</t>
        </is>
      </c>
      <c r="E21" s="121" t="inlineStr">
        <is>
          <t>SoCal-finds agent (First Choice acquisition lead)</t>
        </is>
      </c>
      <c r="F21" s="121" t="inlineStr">
        <is>
          <t>https://www.enterprisebank.com/business/credit-cards</t>
        </is>
      </c>
    </row>
    <row r="22">
      <c r="A22" s="123" t="inlineStr">
        <is>
          <t>SILVER</t>
        </is>
      </c>
      <c r="B22" s="120" t="inlineStr">
        <is>
          <t>Tustin Community Bank</t>
        </is>
      </c>
      <c r="C22" s="121" t="inlineStr">
        <is>
          <t>No DPs — and NO CREDIT CARD (live 6/9)</t>
        </is>
      </c>
      <c r="D22" s="121" t="inlineStr">
        <is>
          <t>n/a</t>
        </is>
      </c>
      <c r="E22" s="121" t="inlineStr">
        <is>
          <t>Mentor named — refuted</t>
        </is>
      </c>
      <c r="F22" s="121" t="inlineStr">
        <is>
          <t>https://www.tustin.bank/products-services</t>
        </is>
      </c>
    </row>
    <row r="23">
      <c r="A23" s="124" t="inlineStr">
        <is>
          <t>🥉  BRONZE — mixed / stale / indirect</t>
        </is>
      </c>
      <c r="B23" s="117" t="n"/>
      <c r="C23" s="117" t="n"/>
      <c r="D23" s="117" t="n"/>
      <c r="E23" s="117" t="n"/>
      <c r="F23" s="118" t="n"/>
    </row>
    <row r="24">
      <c r="A24" s="125" t="inlineStr">
        <is>
          <t>BRONZE</t>
        </is>
      </c>
      <c r="B24" s="120" t="inlineStr">
        <is>
          <t>PNC Bank</t>
        </is>
      </c>
      <c r="C24" s="121" t="inlineStr">
        <is>
          <t>Chex: 2026 DPs say NOT pulled / freeze BLOCKS successfully [2026-03-27 + 04-14]. EWS: YES — co-owner; 'EWS New Account Opening Score' bank list DP [2022-08]; denial DPs</t>
        </is>
      </c>
      <c r="D24" s="121" t="inlineStr">
        <is>
          <t>Soft-EQ BusinessOptions $25K–$100K (3 dated DPs) — but banker criterion 2+ yrs TIB + Alan's prior decline</t>
        </is>
      </c>
      <c r="E24" s="121" t="inlineStr">
        <is>
          <t>Alan's base + both DP agents</t>
        </is>
      </c>
      <c r="F24" s="121" t="inlineStr">
        <is>
          <t>https://www.doctorofcredit.com/banks-credit-unions-dodont-pull-early-warning-services/#comment-1420080</t>
        </is>
      </c>
    </row>
    <row r="25">
      <c r="A25" s="125" t="inlineStr">
        <is>
          <t>BRONZE</t>
        </is>
      </c>
      <c r="B25" s="120" t="inlineStr">
        <is>
          <t>SDCCU</t>
        </is>
      </c>
      <c r="C25" s="121" t="inlineStr">
        <is>
          <t>No pull DPs ever (even DoC owner asked, unanswered 2017); indirect: hosts Chex dispute form + 'visit a branch' FAQ flexibility</t>
        </is>
      </c>
      <c r="D25" s="121" t="inlineStr">
        <is>
          <t>Self $5K–$20K ONLINE; membership EX-believed + HP-reuse [2024-05]; conservative (new-corp refusals)</t>
        </is>
      </c>
      <c r="E25" s="121" t="inlineStr">
        <is>
          <t>Alan's base + DP agents</t>
        </is>
      </c>
      <c r="F25" s="121" t="inlineStr">
        <is>
          <t>https://ficoforums.myfico.com/t5/Credit-Cards/San-DIego-County-Credit-Union-SDCCU-Does-anyone-have-any-DP-s-or/td-p/6761567</t>
        </is>
      </c>
    </row>
    <row r="26">
      <c r="A26" s="125" t="inlineStr">
        <is>
          <t>BRONZE</t>
        </is>
      </c>
      <c r="B26" s="120" t="inlineStr">
        <is>
          <t>Nuvision CU</t>
        </is>
      </c>
      <c r="C26" s="121" t="inlineStr">
        <is>
          <t>Stale 2012 pull DP + 2025-10 freeze-lift DP (user unfroze to open savings/CD)</t>
        </is>
      </c>
      <c r="D26" s="121" t="inlineStr">
        <is>
          <t>Self-issued; ONLINE; HB/OC; ACC open membership</t>
        </is>
      </c>
      <c r="E26" s="121" t="inlineStr">
        <is>
          <t>Alan's base + DP agent</t>
        </is>
      </c>
      <c r="F26" s="121" t="inlineStr">
        <is>
          <t>https://www.doctorofcredit.com/nuvision-federal-cu/#comment-2166921</t>
        </is>
      </c>
    </row>
    <row r="27">
      <c r="A27" s="125" t="inlineStr">
        <is>
          <t>BRONZE</t>
        </is>
      </c>
      <c r="B27" s="120" t="inlineStr">
        <is>
          <t>Fremont Bank</t>
        </is>
      </c>
      <c r="C27" s="121" t="inlineStr">
        <is>
          <t>Doc-sourced Chex-hit DPs ~2020 era (your chex file); fresh sweep found nothing since</t>
        </is>
      </c>
      <c r="D27" s="121" t="inlineStr">
        <is>
          <t>CorServ self; EX inferred; ONLINE; 0% 6mo; customers-only</t>
        </is>
      </c>
      <c r="E27" s="121" t="inlineStr">
        <is>
          <t>Alan's base + docs grep</t>
        </is>
      </c>
      <c r="F27" s="121" t="inlineStr">
        <is>
          <t>https://www.fremontbank.com/business/credit</t>
        </is>
      </c>
    </row>
    <row r="28">
      <c r="A28" s="125" t="inlineStr">
        <is>
          <t>BRONZE</t>
        </is>
      </c>
      <c r="B28" s="120" t="inlineStr">
        <is>
          <t>WaFd Bank</t>
        </is>
      </c>
      <c r="C28" s="121" t="inlineStr">
        <is>
          <t>Chex YES (own Fresh Start page) but freeze behavior unknown; EWS N/M</t>
        </is>
      </c>
      <c r="D28" s="121" t="inlineStr">
        <is>
          <t>Self (ex-Elan); $15K DP 2023-05; ⚠ apps PAUSED → reopen 6/30 w/ UNNAMED new provider</t>
        </is>
      </c>
      <c r="E28" s="121" t="inlineStr">
        <is>
          <t>Mentor named + agents</t>
        </is>
      </c>
      <c r="F28" s="121" t="inlineStr">
        <is>
          <t>https://www.wafdbank.com/personal-banking/fresh-start-second-chance-account</t>
        </is>
      </c>
    </row>
    <row r="29">
      <c r="A29" s="126" t="inlineStr">
        <is>
          <t>🔴  RED — confirmed pullers (dated evidence)</t>
        </is>
      </c>
      <c r="B29" s="117" t="n"/>
      <c r="C29" s="117" t="n"/>
      <c r="D29" s="117" t="n"/>
      <c r="E29" s="117" t="n"/>
      <c r="F29" s="118" t="n"/>
    </row>
    <row r="30">
      <c r="A30" s="127" t="inlineStr">
        <is>
          <t>RED</t>
        </is>
      </c>
      <c r="B30" s="120" t="inlineStr">
        <is>
          <t>Banner Bank</t>
        </is>
      </c>
      <c r="C30" s="121" t="inlineStr">
        <is>
          <t>HARDEST RED: QualiFile AUTO-DENY, NO branch override [2026-03 ×2, 2026-01]; BUSINESS checking declined too [2023-05]; inquiry-sensitive</t>
        </is>
      </c>
      <c r="D30" s="121" t="inlineStr">
        <is>
          <t>Self-issued; TU (mentor, uncorroborated); paper→branch</t>
        </is>
      </c>
      <c r="E30" s="121" t="inlineStr">
        <is>
          <t>—</t>
        </is>
      </c>
      <c r="F30" s="121" t="inlineStr">
        <is>
          <t>https://www.doctorofcredit.com/or-wa-ca-id-banner-bank-200-checking-bonus/#comment-2280518</t>
        </is>
      </c>
    </row>
    <row r="31">
      <c r="A31" s="127" t="inlineStr">
        <is>
          <t>RED</t>
        </is>
      </c>
      <c r="B31" s="120" t="inlineStr">
        <is>
          <t>California Credit Union</t>
        </is>
      </c>
      <c r="C31" s="121" t="inlineStr">
        <is>
          <t>Chex-sensitive ×4 DPs [2026-01→06]: instant online denial, in-branch equally sensitive, must UNFREEZE to proceed</t>
        </is>
      </c>
      <c r="D31" s="121" t="inlineStr">
        <is>
          <t>Self; EQ (mentor DP); in-person card app</t>
        </is>
      </c>
      <c r="E31" s="121" t="inlineStr">
        <is>
          <t>—</t>
        </is>
      </c>
      <c r="F31" s="121" t="inlineStr">
        <is>
          <t>https://www.doctorofcredit.com/ca-only-california-credit-union-100-checking-bonus/#comment-2321668</t>
        </is>
      </c>
    </row>
    <row r="32">
      <c r="A32" s="127" t="inlineStr">
        <is>
          <t>RED</t>
        </is>
      </c>
      <c r="B32" s="120" t="inlineStr">
        <is>
          <t>Premier America CU</t>
        </is>
      </c>
      <c r="C32" s="121" t="inlineStr">
        <is>
          <t>Denial policy: 3 Chex inquiries/90 days [2025-12-30]; 2024-10 denial DP; phone-verified user</t>
        </is>
      </c>
      <c r="D32" s="121" t="inlineStr">
        <is>
          <t>Self $5K–$50K ONLINE; EX×2 personal DP 2022 ($3K vs $20K ask)</t>
        </is>
      </c>
      <c r="E32" s="121" t="inlineStr">
        <is>
          <t>—</t>
        </is>
      </c>
      <c r="F32" s="121" t="inlineStr">
        <is>
          <t>https://www.doctorofcredit.com/ca-tx-only-premier-america-credit-union-100-checking-bonus-for-both-parties/#comment-2218498</t>
        </is>
      </c>
    </row>
    <row r="33">
      <c r="A33" s="127" t="inlineStr">
        <is>
          <t>RED</t>
        </is>
      </c>
      <c r="B33" s="120" t="inlineStr">
        <is>
          <t>Rize CU (ex-SCE)</t>
        </is>
      </c>
      <c r="C33" s="121" t="inlineStr">
        <is>
          <t>'(Chex Sensitive)' in DoC post title [2026-01]; in-branch rejections [2026-02]; users unfreeze first [2026-01]</t>
        </is>
      </c>
      <c r="D33" s="121" t="inlineStr">
        <is>
          <t>Issuer UNCONFIRMED; $5K–$50K advertised; BankOn workaround exists</t>
        </is>
      </c>
      <c r="E33" s="121" t="inlineStr">
        <is>
          <t>—</t>
        </is>
      </c>
      <c r="F33" s="121" t="inlineStr">
        <is>
          <t>https://www.doctorofcredit.com/rize-credit-union-400-checking-bonus/</t>
        </is>
      </c>
    </row>
    <row r="34">
      <c r="A34" s="127" t="inlineStr">
        <is>
          <t>RED</t>
        </is>
      </c>
      <c r="B34" s="120" t="inlineStr">
        <is>
          <t>BMO</t>
        </is>
      </c>
      <c r="C34" s="121" t="inlineStr">
        <is>
          <t>Online AND phone pulls [2026-03-27 Gadget]; in 2026-04 pulled list; 18 DPs lifetime</t>
        </is>
      </c>
      <c r="D34" s="121" t="inlineStr">
        <is>
          <t>Self; TU×2 dated DPs; 0% 18mo; inquiry-INsensitive on cards [2022-08: 28 inq OK]</t>
        </is>
      </c>
      <c r="E34" s="121" t="inlineStr">
        <is>
          <t>—</t>
        </is>
      </c>
      <c r="F34" s="121" t="inlineStr">
        <is>
          <t>https://www.doctorofcredit.com/banks-credit-unions-dodont-pull-chexsystems/#comment-2286329</t>
        </is>
      </c>
    </row>
    <row r="35">
      <c r="A35" s="127" t="inlineStr">
        <is>
          <t>RED</t>
        </is>
      </c>
      <c r="B35" s="120" t="inlineStr">
        <is>
          <t>KeyBank</t>
        </is>
      </c>
      <c r="C35" s="121" t="inlineStr">
        <is>
          <t>Chex denial [2026-02-01]; branch override ~50/50 [2026-03-10]; EWS 'extensive… 20 pages' [2018-11]</t>
        </is>
      </c>
      <c r="D35" s="121" t="inlineStr">
        <is>
          <t>Self; soft-EQ claim has NO dated public confirmation; Alan's prior decline</t>
        </is>
      </c>
      <c r="E35" s="121" t="inlineStr">
        <is>
          <t>—</t>
        </is>
      </c>
      <c r="F35" s="121" t="inlineStr">
        <is>
          <t>https://www.doctorofcredit.com/rize-credit-union-400-checking-bonus/#comment-2244817</t>
        </is>
      </c>
    </row>
    <row r="36">
      <c r="A36" s="127" t="inlineStr">
        <is>
          <t>RED</t>
        </is>
      </c>
      <c r="B36" s="120" t="inlineStr">
        <is>
          <t>First Citizens Bank</t>
        </is>
      </c>
      <c r="C36" s="121" t="inlineStr">
        <is>
          <t>Old pull DP [2016] + crediful directory; in EWS bank list</t>
        </is>
      </c>
      <c r="D36" s="121" t="inlineStr">
        <is>
          <t>Self; biz card = all-3 blend (banker 2023-08); $20K DP; branch+checking gate</t>
        </is>
      </c>
      <c r="E36" s="121" t="inlineStr">
        <is>
          <t>—</t>
        </is>
      </c>
      <c r="F36" s="121" t="inlineStr">
        <is>
          <t>https://www.crediful.com/chexsystems/first-citizens-bank/</t>
        </is>
      </c>
    </row>
    <row r="37">
      <c r="A37" s="127" t="inlineStr">
        <is>
          <t>RED</t>
        </is>
      </c>
      <c r="B37" s="120" t="inlineStr">
        <is>
          <t>Valley National (=Elan)</t>
        </is>
      </c>
      <c r="C37" s="121" t="inlineStr">
        <is>
          <t>Crediful 2025-10 directory + your docs' 2025-26 comment DPs; online Chex-sensitive, branch fixes</t>
        </is>
      </c>
      <c r="D37" s="121" t="inlineStr">
        <is>
          <t>NO-GO (Elan) regardless</t>
        </is>
      </c>
      <c r="E37" s="121" t="inlineStr">
        <is>
          <t>—</t>
        </is>
      </c>
      <c r="F37" s="121" t="inlineStr">
        <is>
          <t>https://www.crediful.com/chexsystems/valley-national-bank/</t>
        </is>
      </c>
    </row>
    <row r="38">
      <c r="A38" s="127" t="inlineStr">
        <is>
          <t>RED</t>
        </is>
      </c>
      <c r="B38" s="120" t="inlineStr">
        <is>
          <t>Kinecta FCU</t>
        </is>
      </c>
      <c r="C38" s="121" t="inlineStr">
        <is>
          <t>Chex inquirer on report [2022-09 myFICO] + own disclosure 'ALL new account applicants verified through ChexSystems'</t>
        </is>
      </c>
      <c r="D38" s="121" t="inlineStr">
        <is>
          <t>Self MyPro; EX + same-HP-reuse DP [2022-04, $35K]</t>
        </is>
      </c>
      <c r="E38" s="121" t="inlineStr">
        <is>
          <t>—</t>
        </is>
      </c>
      <c r="F38" s="121" t="inlineStr">
        <is>
          <t>https://ficoforums.myfico.com/t5/Personal-Finance/CU-s-that-pull-ChexSystems-for-membership-IME/td-p/6588582</t>
        </is>
      </c>
    </row>
    <row r="39">
      <c r="A39" s="127" t="inlineStr">
        <is>
          <t>RED</t>
        </is>
      </c>
      <c r="B39" s="120" t="inlineStr">
        <is>
          <t>Altura CU</t>
        </is>
      </c>
      <c r="C39" s="121" t="inlineStr">
        <is>
          <t>Own Reliance second-chance structure (pay Chex debts to upgrade) — screening implied; no pull DPs</t>
        </is>
      </c>
      <c r="D39" s="121" t="inlineStr">
        <is>
          <t>Self ≤$25K; Riverside; in-person</t>
        </is>
      </c>
      <c r="E39" s="121" t="inlineStr">
        <is>
          <t>—</t>
        </is>
      </c>
      <c r="F39" s="121" t="inlineStr">
        <is>
          <t>https://www.alturacu.com/products/checking/personal-accounts/reliance-checking/</t>
        </is>
      </c>
    </row>
    <row r="40">
      <c r="A40" s="127" t="inlineStr">
        <is>
          <t>RED</t>
        </is>
      </c>
      <c r="B40" s="120" t="inlineStr">
        <is>
          <t>LAFCU</t>
        </is>
      </c>
      <c r="C40" s="121" t="inlineStr">
        <is>
          <t>Own site: Chex + HARD credit pull at account opening; Second Chance Checking exists; letmebank corroborates</t>
        </is>
      </c>
      <c r="D40" s="121" t="inlineStr">
        <is>
          <t>Self ≤$50K ONLINE card app — but 2-yr TIB gate + membership TU-HP [2021] + card EX [2022] + denied @4/24</t>
        </is>
      </c>
      <c r="E40" s="121" t="inlineStr">
        <is>
          <t>—</t>
        </is>
      </c>
      <c r="F40" s="121" t="inlineStr">
        <is>
          <t>https://www.lafcu.org/accounts/checking</t>
        </is>
      </c>
    </row>
    <row r="41">
      <c r="A41" s="127" t="inlineStr">
        <is>
          <t>RED</t>
        </is>
      </c>
      <c r="B41" s="120" t="inlineStr">
        <is>
          <t>California Bank &amp; Trust (Zions)</t>
        </is>
      </c>
      <c r="C41" s="121" t="inlineStr">
        <is>
          <t>Zions-platform Fresh Start disclosure (unsatisfactory Chex → 12mo product); CB&amp;T-specific DPs none</t>
        </is>
      </c>
      <c r="D41" s="121" t="inlineStr">
        <is>
          <t>Self; bureau UNEVIDENCED publicly (zero applicant DPs ever!); ≤$250K advertised; FULLY ONLINE for std LLC</t>
        </is>
      </c>
      <c r="E41" s="121" t="inlineStr">
        <is>
          <t>—</t>
        </is>
      </c>
      <c r="F41" s="121" t="inlineStr">
        <is>
          <t>https://www.zionsbank.com/content/dam/zbna/disclosures/localized/zfnb/personal/personal-checking/new-balance-checkingut.pdf</t>
        </is>
      </c>
    </row>
    <row r="42">
      <c r="A42" s="127" t="inlineStr">
        <is>
          <t>RED</t>
        </is>
      </c>
      <c r="B42" s="120" t="inlineStr">
        <is>
          <t>Grasshopper Bank</t>
        </is>
      </c>
      <c r="C42" s="121" t="inlineStr">
        <is>
          <t>FLIPPED ~2026-04: detects freeze, demands lift [2026-04-16]; 'started pulling' [2026-06-04]. Was no-pull/soft-EQ [2025-01]</t>
        </is>
      </c>
      <c r="D42" s="121" t="inlineStr">
        <is>
          <t>Biz banking layer — now screened</t>
        </is>
      </c>
      <c r="E42" s="121" t="inlineStr">
        <is>
          <t>—</t>
        </is>
      </c>
      <c r="F42" s="121" t="inlineStr">
        <is>
          <t>https://www.doctorofcredit.com/grasshopper-200-business-checking-referral-bonus/#comment-2301949</t>
        </is>
      </c>
    </row>
    <row r="43">
      <c r="A43" s="127" t="inlineStr">
        <is>
          <t>RED</t>
        </is>
      </c>
      <c r="B43" s="120" t="inlineStr">
        <is>
          <t>Sunflower Bank (First Foundation's new charter)</t>
        </is>
      </c>
      <c r="C43" s="121" t="inlineStr">
        <is>
          <t>Pulls Chex [2016-07, 2018 DPs]; applies to FF after end-Q3-2026 conversion</t>
        </is>
      </c>
      <c r="D43" s="121" t="inlineStr">
        <is>
          <t>Card Assets program continuity TBD</t>
        </is>
      </c>
      <c r="E43" s="121" t="inlineStr">
        <is>
          <t>—</t>
        </is>
      </c>
      <c r="F43" s="121" t="inlineStr">
        <is>
          <t>https://www.doctorofcredit.com/banks-credit-unions-dodont-pull-chexsystems/#comment-274161</t>
        </is>
      </c>
    </row>
  </sheetData>
  <mergeCells count="6">
    <mergeCell ref="A2:F2"/>
    <mergeCell ref="A13:F13"/>
    <mergeCell ref="A1:F1"/>
    <mergeCell ref="A23:F23"/>
    <mergeCell ref="A5:F5"/>
    <mergeCell ref="A29:F29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46" customWidth="1" min="4" max="4"/>
    <col width="22" customWidth="1" min="5" max="5"/>
    <col width="24" customWidth="1" min="6" max="6"/>
    <col width="28" customWidth="1" min="7" max="7"/>
    <col width="30" customWidth="1" min="8" max="8"/>
    <col width="22" customWidth="1" min="9" max="9"/>
    <col width="30" customWidth="1" min="10" max="10"/>
    <col width="28" customWidth="1" min="11" max="11"/>
    <col width="26" customWidth="1" min="12" max="12"/>
    <col width="30" customWidth="1" min="13" max="13"/>
    <col width="22" customWidth="1" min="14" max="14"/>
    <col width="42" customWidth="1" min="15" max="15"/>
    <col width="30" customWidth="1" min="16" max="16"/>
  </cols>
  <sheetData>
    <row r="1">
      <c r="A1" s="113" t="inlineStr">
        <is>
          <t>MENTOR'S SoCal NO-DOC LIST (bureau-grouped) × OUR LISTS × EWS/CHEX — researched 2026-06-09</t>
        </is>
      </c>
    </row>
    <row r="2">
      <c r="A2" s="114" t="inlineStr">
        <is>
          <t>Verified columns sourced; 'mentor DP' = his experience, uncorroborated unless stated. N/M = not found anywhere — never guessed. Chex/EWS doc columns = your 3 DoC files; web columns = independent research.</t>
        </is>
      </c>
    </row>
    <row r="4">
      <c r="A4" s="115" t="inlineStr">
        <is>
          <t>His #</t>
        </is>
      </c>
      <c r="B4" s="115" t="inlineStr">
        <is>
          <t>Institution</t>
        </is>
      </c>
      <c r="C4" s="115" t="inlineStr">
        <is>
          <t>HIS: Bureau</t>
        </is>
      </c>
      <c r="D4" s="115" t="inlineStr">
        <is>
          <t>VERDICT on his claim</t>
        </is>
      </c>
      <c r="E4" s="115" t="inlineStr">
        <is>
          <t>Best-evidence bureau</t>
        </is>
      </c>
      <c r="F4" s="115" t="inlineStr">
        <is>
          <t>In OUR lists?</t>
        </is>
      </c>
      <c r="G4" s="115" t="inlineStr">
        <is>
          <t>Issuer / Underwriter</t>
        </is>
      </c>
      <c r="H4" s="115" t="inlineStr">
        <is>
          <t>Limit data</t>
        </is>
      </c>
      <c r="I4" s="115" t="inlineStr">
        <is>
          <t>Apply</t>
        </is>
      </c>
      <c r="J4" s="115" t="inlineStr">
        <is>
          <t>Deposit / Membership gate</t>
        </is>
      </c>
      <c r="K4" s="115" t="inlineStr">
        <is>
          <t>Chex (your DoC docs)</t>
        </is>
      </c>
      <c r="L4" s="115" t="inlineStr">
        <is>
          <t>EWS (your DoC docs)</t>
        </is>
      </c>
      <c r="M4" s="115" t="inlineStr">
        <is>
          <t>Chex (web research)</t>
        </is>
      </c>
      <c r="N4" s="115" t="inlineStr">
        <is>
          <t>EWS (web research)</t>
        </is>
      </c>
      <c r="O4" s="115" t="inlineStr">
        <is>
          <t>FLAGS / actions</t>
        </is>
      </c>
      <c r="P4" s="115" t="inlineStr">
        <is>
          <t>Key sources</t>
        </is>
      </c>
    </row>
    <row r="5">
      <c r="A5" s="128" t="inlineStr">
        <is>
          <t>EXPERIAN  (his grouping)</t>
        </is>
      </c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8" t="n"/>
    </row>
    <row r="6">
      <c r="A6" s="121" t="n">
        <v>1</v>
      </c>
      <c r="B6" s="121" t="inlineStr">
        <is>
          <t>PNC Bank</t>
        </is>
      </c>
      <c r="C6" s="121" t="inlineStr">
        <is>
          <t>Experian</t>
        </is>
      </c>
      <c r="D6" s="129" t="inlineStr">
        <is>
          <t>CONSISTENT — hard-pull cards=EX; BusinessOptions=SOFT Equifax (no HP)</t>
        </is>
      </c>
      <c r="E6" s="121" t="inlineStr">
        <is>
          <t>EX (cards) / soft-EQ (BusinessOptions)</t>
        </is>
      </c>
      <c r="F6" s="121" t="inlineStr">
        <is>
          <t>YES — all 3 lists (v3 pick #22; CW v4 score 151; Sprint Tier 3)</t>
        </is>
      </c>
      <c r="G6" s="121" t="inlineStr">
        <is>
          <t>Self (PNC Bank NA)</t>
        </is>
      </c>
      <c r="H6" s="121" t="inlineStr">
        <is>
          <t>BusinessOptions/LOC $25K–$100K soft-pull, no tax returns [myFICO #6589727]</t>
        </is>
      </c>
      <c r="I6" s="121" t="inlineStr">
        <is>
          <t>Online</t>
        </is>
      </c>
      <c r="J6" s="121" t="inlineStr">
        <is>
          <t>No deposit needed for cards (helps BusinessOptions/LOC)</t>
        </is>
      </c>
      <c r="K6" s="121" t="inlineStr">
        <is>
          <t>MIXED (DoC sec 3.14 'Mixed Data Points'; old fatwallet pull DPs + 2024-25 'did NOT pull' DP)</t>
        </is>
      </c>
      <c r="L6" s="121" t="inlineStr">
        <is>
          <t>YES — heavy (DoC: 'Does pull: 1,2,3,4,5'; reports incl. balance info; 'PNC, BofA, KeyBank are EWS sensitive')</t>
        </is>
      </c>
      <c r="M6" s="121" t="inlineStr">
        <is>
          <t>MIXED [agg] (DoC 'Mixed DPs'; crediful: standard accts Chex-screened). Bank On products (Foundation Checking) = no Chex review</t>
        </is>
      </c>
      <c r="N6" s="121" t="inlineStr">
        <is>
          <t>YES [agg+DP] — EWS-primary (PNC co-owns EWS); myFICO denial DP</t>
        </is>
      </c>
      <c r="O6" s="121" t="inlineStr">
        <is>
          <t>⚠ ALAN WAS DECLINED at PNC before — no local presence (CW v4: 'CA approval unlikely, no branches'). EWS-PRIMARY bank (co-owns EWS). Bank On 'Foundation Checking' = no-Chex entry path.</t>
        </is>
      </c>
      <c r="P6" s="121" t="inlineStr">
        <is>
          <t>pnc.com; myFICO #6589727; DoC EWS list</t>
        </is>
      </c>
    </row>
    <row r="7">
      <c r="A7" s="121" t="n">
        <v>2</v>
      </c>
      <c r="B7" s="121" t="inlineStr">
        <is>
          <t>Sunwest Bank</t>
        </is>
      </c>
      <c r="C7" s="121" t="inlineStr">
        <is>
          <t>Experian</t>
        </is>
      </c>
      <c r="D7" s="127" t="inlineStr">
        <is>
          <t>CONTRADICTED for current product — Visionary (Torpago) does NO traditional personal pull; mentor's EX most plausibly = the DEAD legacy Elan program (archive.org 2015 snapshot shows elancard.com apply links; gone since ~2019 rebuild)</t>
        </is>
      </c>
      <c r="E7" s="121" t="inlineStr">
        <is>
          <t>None current (cash-flow UW). Legacy Elan card = defunct</t>
        </is>
      </c>
      <c r="F7" s="121" t="inlineStr">
        <is>
          <t>Sprint Tier 1 only (Visionary/Torpago row)</t>
        </is>
      </c>
      <c r="G7" s="121" t="inlineStr">
        <is>
          <t>Self — issuer on own balance sheet (Torpago platform + Marqeta)</t>
        </is>
      </c>
      <c r="H7" s="121" t="inlineStr">
        <is>
          <t>Set by business cash flow; grows over time (no published range)</t>
        </is>
      </c>
      <c r="I7" s="121" t="inlineStr">
        <is>
          <t>Contact-to-apply (VisionaryPayments@SunwestBank.com)</t>
        </is>
      </c>
      <c r="J7" s="121" t="inlineStr">
        <is>
          <t>No security deposit; needs a business bank account (any bank)</t>
        </is>
      </c>
      <c r="K7" s="121" t="inlineStr">
        <is>
          <t>Not mentioned</t>
        </is>
      </c>
      <c r="L7" s="121" t="inlineStr">
        <is>
          <t>Not mentioned</t>
        </is>
      </c>
      <c r="M7" s="121" t="inlineStr">
        <is>
          <t>N/M — business-focused, nothing published</t>
        </is>
      </c>
      <c r="N7" s="121" t="inlineStr">
        <is>
          <t>N/M</t>
        </is>
      </c>
      <c r="O7" s="121" t="inlineStr">
        <is>
          <t>ASK MENTOR: which Sunwest product did he fund through, and when? If pre-2019 → stale Elan intel. No PG / no deposit / no personal pull = still the best no-seasoning structure on his list.</t>
        </is>
      </c>
      <c r="P7" s="121" t="inlineStr">
        <is>
          <t>sunwestbank.com/visionary-corporate-card; torpago.com press; archive.org 2015-09-05</t>
        </is>
      </c>
    </row>
    <row r="8">
      <c r="A8" s="121" t="n">
        <v>3</v>
      </c>
      <c r="B8" s="127" t="inlineStr">
        <is>
          <t>Tustin Community Bank</t>
        </is>
      </c>
      <c r="C8" s="121" t="inlineStr">
        <is>
          <t>Experian</t>
        </is>
      </c>
      <c r="D8" s="127" t="inlineStr">
        <is>
          <t>CONTRADICTED — NO CREDIT CARD EXISTS (re-fetched products page live 2026-06-09: deposits, LOC, CRE/SBA, DEBIT only; no agent-portal tells anywhere; FDIC cert 32908, single office)</t>
        </is>
      </c>
      <c r="E8" s="121" t="inlineStr">
        <is>
          <t>n/a — no product</t>
        </is>
      </c>
      <c r="F8" s="121" t="inlineStr">
        <is>
          <t>v3 rank #162 = 'No card' (verified 2026-05-29, re-verified 06-09)</t>
        </is>
      </c>
      <c r="G8" s="121" t="inlineStr">
        <is>
          <t>—</t>
        </is>
      </c>
      <c r="H8" s="121" t="inlineStr">
        <is>
          <t>—</t>
        </is>
      </c>
      <c r="I8" s="121" t="inlineStr">
        <is>
          <t>n/a</t>
        </is>
      </c>
      <c r="J8" s="121" t="inlineStr">
        <is>
          <t>n/a</t>
        </is>
      </c>
      <c r="K8" s="121" t="inlineStr">
        <is>
          <t>Not mentioned</t>
        </is>
      </c>
      <c r="L8" s="121" t="inlineStr">
        <is>
          <t>Not mentioned</t>
        </is>
      </c>
      <c r="M8" s="121" t="inlineStr">
        <is>
          <t>N/M — tiny single-branch biz bank, nothing published</t>
        </is>
      </c>
      <c r="N8" s="121" t="inlineStr">
        <is>
          <t>N/M</t>
        </is>
      </c>
      <c r="O8" s="121" t="inlineStr">
        <is>
          <t>ASK MENTOR: what product/program was actually pulled here? Possibly confused with another Tustin-area bank, or a non-card credit product (their business LOC).</t>
        </is>
      </c>
      <c r="P8" s="121" t="inlineStr">
        <is>
          <t>tustin.bank/products-services (live 6/9)</t>
        </is>
      </c>
    </row>
    <row r="9">
      <c r="A9" s="130" t="inlineStr">
        <is>
          <t>EQUIFAX  (his grouping)</t>
        </is>
      </c>
      <c r="B9" s="117" t="n"/>
      <c r="C9" s="117" t="n"/>
      <c r="D9" s="117" t="n"/>
      <c r="E9" s="117" t="n"/>
      <c r="F9" s="117" t="n"/>
      <c r="G9" s="117" t="n"/>
      <c r="H9" s="117" t="n"/>
      <c r="I9" s="117" t="n"/>
      <c r="J9" s="117" t="n"/>
      <c r="K9" s="117" t="n"/>
      <c r="L9" s="117" t="n"/>
      <c r="M9" s="117" t="n"/>
      <c r="N9" s="117" t="n"/>
      <c r="O9" s="117" t="n"/>
      <c r="P9" s="118" t="n"/>
    </row>
    <row r="10">
      <c r="A10" s="121" t="n">
        <v>1</v>
      </c>
      <c r="B10" s="121" t="inlineStr">
        <is>
          <t>First Citizens Bank</t>
        </is>
      </c>
      <c r="C10" s="121" t="inlineStr">
        <is>
          <t>Equifax</t>
        </is>
      </c>
      <c r="D10" s="131" t="inlineStr">
        <is>
          <t>NOT SUPPORTED as single-EQ — business card = ALL-3 blended w/ business data (banker DP, Aug 2023; Nav showed biz-Experian hit); CONSUMER card = EQ (Aug 2021 DP, $15K @10.99%). Mentor's EQ matches consumer side only</t>
        </is>
      </c>
      <c r="E10" s="121" t="inlineStr">
        <is>
          <t>Business: all-3 blend. Consumer: EQ</t>
        </is>
      </c>
      <c r="F10" s="121" t="inlineStr">
        <is>
          <t>YES — all 3 lists (v3 pick #13)</t>
        </is>
      </c>
      <c r="G10" s="121" t="inlineStr">
        <is>
          <t>Self (First-Citizens Bank &amp; Trust)</t>
        </is>
      </c>
      <c r="H10" s="121" t="inlineStr">
        <is>
          <t>$20K SL DP (Low-Interest Biz; FICO ~750, D&amp;B 80) [myFICO #6704468]</t>
        </is>
      </c>
      <c r="I10" s="121" t="inlineStr">
        <is>
          <t>In-person (branch)</t>
        </is>
      </c>
      <c r="J10" s="121" t="inlineStr">
        <is>
          <t>YES — business checking relationship, opened in-branch</t>
        </is>
      </c>
      <c r="K10" s="121" t="inlineStr">
        <is>
          <t>YES pulls (DoC sec 1.126 + all-caps pull list)</t>
        </is>
      </c>
      <c r="L10" s="121" t="inlineStr">
        <is>
          <t>LISTED in EWS bank list (appears in EWS reports)</t>
        </is>
      </c>
      <c r="M10" s="121" t="inlineStr">
        <is>
          <t>YES [agg] (DoC does-pull, 1 DP — thin but unrefuted)</t>
        </is>
      </c>
      <c r="N10" s="121" t="inlineStr">
        <is>
          <t>N/M</t>
        </is>
      </c>
      <c r="O10" s="121" t="inlineStr">
        <is>
          <t>Branch + deposit gate. SVB Innovator = separate no-PG charge card for funded cos. Chex=YES; in EWS bank list.</t>
        </is>
      </c>
      <c r="P10" s="121" t="inlineStr">
        <is>
          <t>myFICO #6704468 / #6390982 / #6860230</t>
        </is>
      </c>
    </row>
    <row r="11">
      <c r="A11" s="121" t="n">
        <v>2</v>
      </c>
      <c r="B11" s="121" t="inlineStr">
        <is>
          <t>KeyBank</t>
        </is>
      </c>
      <c r="C11" s="121" t="inlineStr">
        <is>
          <t>Equifax</t>
        </is>
      </c>
      <c r="D11" s="129" t="inlineStr">
        <is>
          <t>CONSISTENT — Equifax, SOFT pull common (esp. existing customers)</t>
        </is>
      </c>
      <c r="E11" s="121" t="inlineStr">
        <is>
          <t>EQ (soft-pull path documented)</t>
        </is>
      </c>
      <c r="F11" s="121" t="inlineStr">
        <is>
          <t>YES — v3 pick #26; CW v4 score 129</t>
        </is>
      </c>
      <c r="G11" s="121" t="inlineStr">
        <is>
          <t>Self (KeyBank NA; self-issues since 2012, ex-Elan)</t>
        </is>
      </c>
      <c r="H11" s="121" t="inlineStr">
        <is>
          <t>Modest biz $3K–$4K DPs; CLIs after 6mo [myFICO #5345434]</t>
        </is>
      </c>
      <c r="I11" s="121" t="inlineStr">
        <is>
          <t>Online (relationship-gated in practice)</t>
        </is>
      </c>
      <c r="J11" s="121" t="inlineStr">
        <is>
          <t>No to apply; relationship helps</t>
        </is>
      </c>
      <c r="K11" s="121" t="inlineStr">
        <is>
          <t>YES pulls (DoC sec 1.184 + 2026 DP)</t>
        </is>
      </c>
      <c r="L11" s="121" t="inlineStr">
        <is>
          <t>MIXED ('Doesn't pull:1 / Does pull:1,2'; 'EWS sensitive' comment Jun 2025)</t>
        </is>
      </c>
      <c r="M11" s="121" t="inlineStr">
        <is>
          <t>YES [agg] (DoC does-pull, 10 DPs; recent ones pull)</t>
        </is>
      </c>
      <c r="N11" s="121" t="inlineStr">
        <is>
          <t>MIXED [agg] (old DoC DPs 1-no/2-yes; 'EWS sensitive')</t>
        </is>
      </c>
      <c r="O11" s="121" t="inlineStr">
        <is>
          <t>⚠ ALAN WAS DECLINED at KeyBank before — no local presence (KeyBank pulled out of CA retail). NEVER reports to personal (FAQ). Chex=YES (10 DPs); 'EWS sensitive' per comment.</t>
        </is>
      </c>
      <c r="P11" s="121" t="inlineStr">
        <is>
          <t>key.com FAQ; myFICO #5345434; DoC</t>
        </is>
      </c>
    </row>
    <row r="12">
      <c r="A12" s="121" t="n">
        <v>3</v>
      </c>
      <c r="B12" s="121" t="inlineStr">
        <is>
          <t>California Credit Union</t>
        </is>
      </c>
      <c r="C12" s="121" t="inlineStr">
        <is>
          <t>Equifax</t>
        </is>
      </c>
      <c r="D12" s="131" t="inlineStr">
        <is>
          <t>NEW DP — our lists had bureau UNKNOWN; mentor's EQ is the first bureau data point (mentor-sourced, uncorroborated)</t>
        </is>
      </c>
      <c r="E12" s="121" t="inlineStr">
        <is>
          <t>EQ (mentor DP only)</t>
        </is>
      </c>
      <c r="F12" s="121" t="inlineStr">
        <is>
          <t>CW v4 ONLY (Rec #6, SoCal, self-issued, in-person) — missing from v3/Sprint masters</t>
        </is>
      </c>
      <c r="G12" s="121" t="inlineStr">
        <is>
          <t>Self (California CU / California Federal CU)</t>
        </is>
      </c>
      <c r="H12" s="121" t="inlineStr">
        <is>
          <t>Not published (member-set; CW est ~$5K–$25K UNOFFICIAL)</t>
        </is>
      </c>
      <c r="I12" s="121" t="inlineStr">
        <is>
          <t>In-person (no online card app)</t>
        </is>
      </c>
      <c r="J12" s="121" t="inlineStr">
        <is>
          <t>Membership OPEN (free American Consumer Council); PG, ~680 min score (mentor's earlier note)</t>
        </is>
      </c>
      <c r="K12" s="121" t="inlineStr">
        <is>
          <t>YES pulls + DENIES — DP: 'California Credit Union (DENIED)' among Chex inquiries (inquiry-sensitive)</t>
        </is>
      </c>
      <c r="L12" s="121" t="inlineStr">
        <is>
          <t>Not mentioned</t>
        </is>
      </c>
      <c r="M12" s="121" t="inlineStr">
        <is>
          <t>N/M — full account agreement names no Chex/EWS; generic credit-report auth at membership (CRA unnamed)</t>
        </is>
      </c>
      <c r="N12" s="121" t="inlineStr">
        <is>
          <t>N/M</t>
        </is>
      </c>
      <c r="O12" s="121" t="inlineStr">
        <is>
          <t>Chex-SENSITIVE: denial DP in your DoC docs ('California Credit Union (DENIED)' among Chex inquiries). Account agreement names no CRA (web).</t>
        </is>
      </c>
      <c r="P12" s="121" t="inlineStr">
        <is>
          <t>ccu.com; CW v4 row 6; DoC chex comments</t>
        </is>
      </c>
    </row>
    <row r="13">
      <c r="A13" s="121" t="n">
        <v>4</v>
      </c>
      <c r="B13" s="127" t="inlineStr">
        <is>
          <t>First Western Trust Bank</t>
        </is>
      </c>
      <c r="C13" s="121" t="inlineStr">
        <is>
          <t>Equifax</t>
        </is>
      </c>
      <c r="D13" s="127" t="inlineStr">
        <is>
          <t>ISSUER = ELAN (myfw.com/login → myaccountaccess.com theme=elan1 loc=17029) → belongs in mentor's OWN NO-GO bucket. Bureau N/M (Elan varies; TU-most-common; his EQ possible under Elan variance but uncorroborated)</t>
        </is>
      </c>
      <c r="E13" s="121" t="inlineStr">
        <is>
          <t>Elan program rules (varies)</t>
        </is>
      </c>
      <c r="F13" s="121" t="inlineStr">
        <is>
          <t>NOT in any of our lists — and should NOT be added as a target (Elan)</t>
        </is>
      </c>
      <c r="G13" s="121" t="inlineStr">
        <is>
          <t>Elan Financial Services (U.S. Bank) — agent loc 17029</t>
        </is>
      </c>
      <c r="H13" s="121" t="inlineStr">
        <is>
          <t>N/M (no DPs; 10-K shows no material card lending of its own)</t>
        </is>
      </c>
      <c r="I13" s="121" t="inlineStr">
        <is>
          <t>Via private banker only (no public app)</t>
        </is>
      </c>
      <c r="J13" s="121" t="inlineStr">
        <is>
          <t>Private/trust bank; CA office = Century City LA, 'Trust and Wealth Management Only' (not a banking branch)</t>
        </is>
      </c>
      <c r="K13" s="121" t="inlineStr">
        <is>
          <t>Not mentioned in provided docs</t>
        </is>
      </c>
      <c r="L13" s="121" t="inlineStr">
        <is>
          <t>Not mentioned</t>
        </is>
      </c>
      <c r="M13" s="121" t="inlineStr">
        <is>
          <t>N/M — private/trust bank, nothing published</t>
        </is>
      </c>
      <c r="N13" s="121" t="inlineStr">
        <is>
          <t>N/M</t>
        </is>
      </c>
      <c r="O13" s="121" t="inlineStr">
        <is>
          <t>🚩 NO-GO BY EXTENSION (Elan = U.S. Bank). ASK MENTOR: did his FWT funding pre-date his Elan no-go, or does he treat Elan storefronts as OK case-by-case?</t>
        </is>
      </c>
      <c r="P13" s="121" t="inlineStr">
        <is>
          <t>myfw.com/login (Elan link); MYFW 10-K 2026</t>
        </is>
      </c>
    </row>
    <row r="14">
      <c r="A14" s="132" t="inlineStr">
        <is>
          <t>TRANSUNION  (his grouping)</t>
        </is>
      </c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17" t="n"/>
      <c r="M14" s="117" t="n"/>
      <c r="N14" s="117" t="n"/>
      <c r="O14" s="117" t="n"/>
      <c r="P14" s="118" t="n"/>
    </row>
    <row r="15">
      <c r="A15" s="121" t="n">
        <v>1</v>
      </c>
      <c r="B15" s="121" t="inlineStr">
        <is>
          <t>Banner Bank</t>
        </is>
      </c>
      <c r="C15" s="121" t="inlineStr">
        <is>
          <t>TransUnion</t>
        </is>
      </c>
      <c r="D15" s="131" t="inlineStr">
        <is>
          <t>TU UNCORROBORATED — zero public bureau DPs (the only myFICO thread #5679382 asks and never gets an answer). Adopt as mentor-DP</t>
        </is>
      </c>
      <c r="E15" s="121" t="inlineStr">
        <is>
          <t>N/M (mentor TU only)</t>
        </is>
      </c>
      <c r="F15" s="121" t="inlineStr">
        <is>
          <t>YES — v3 pick #24; Sprint Tier 2</t>
        </is>
      </c>
      <c r="G15" s="121" t="inlineStr">
        <is>
          <t>Self (Banner Bank — own agreement verbatim; NOT Elan. Don't confuse w/ Banner FEDERAL CU = Elan)</t>
        </is>
      </c>
      <c r="H15" s="121" t="inlineStr">
        <is>
          <t>N/M (no DPs); 0% intro exists, terms N/M</t>
        </is>
      </c>
      <c r="I15" s="121" t="inlineStr">
        <is>
          <t>Paper application → branch (no online)</t>
        </is>
      </c>
      <c r="J15" s="121" t="inlineStr">
        <is>
          <t>N/M; ~30 CA branches incl. SoCal</t>
        </is>
      </c>
      <c r="K15" s="121" t="inlineStr">
        <is>
          <t>YES pulls — DP Nov 2022 'Did Pull: Banner Bank'</t>
        </is>
      </c>
      <c r="L15" s="121" t="inlineStr">
        <is>
          <t>Not mentioned</t>
        </is>
      </c>
      <c r="M15" s="121" t="inlineStr">
        <is>
          <t>YES [agg] (unchex: uses Chex, inquiry-sensitive; OK if you owe bank nothing)</t>
        </is>
      </c>
      <c r="N15" s="121" t="inlineStr">
        <is>
          <t>N/M</t>
        </is>
      </c>
      <c r="O15" s="121" t="inlineStr">
        <is>
          <t>Chex=YES (2022 DP; unchex: inquiry-sensitive, OK if you owe bank nothing).</t>
        </is>
      </c>
      <c r="P15" s="121" t="inlineStr">
        <is>
          <t>bannerbank.com agreement; myFICO #5679382; unchex</t>
        </is>
      </c>
    </row>
    <row r="16">
      <c r="A16" s="121" t="n">
        <v>2</v>
      </c>
      <c r="B16" s="127" t="inlineStr">
        <is>
          <t>Valley Bank (= Valley National)</t>
        </is>
      </c>
      <c r="C16" s="121" t="inlineStr">
        <is>
          <t>TransUnion</t>
        </is>
      </c>
      <c r="D16" s="127">
        <f> ELAN STOREFRONT (verbatim disclosure on vnb.com; valley.com → mycardapply Elan portal). TU plausible — Elan's most common pull — but it's the banned issuer</f>
        <v/>
      </c>
      <c r="E16" s="121" t="inlineStr">
        <is>
          <t>TU-typical under Elan</t>
        </is>
      </c>
      <c r="F16" s="121" t="inlineStr">
        <is>
          <t>Sprint NO-GO tab (added 5/29 as Elan)</t>
        </is>
      </c>
      <c r="G16" s="121" t="inlineStr">
        <is>
          <t>Elan Financial Services (U.S. Bank)</t>
        </is>
      </c>
      <c r="H16" s="121" t="inlineStr">
        <is>
          <t>N/M</t>
        </is>
      </c>
      <c r="I16" s="121" t="inlineStr">
        <is>
          <t>Online (Elan portal) — but NO-GO</t>
        </is>
      </c>
      <c r="J16" s="121" t="inlineStr">
        <is>
          <t>N/M</t>
        </is>
      </c>
      <c r="K16" s="121" t="inlineStr">
        <is>
          <t>YES pulls — multiple comment DPs (2025-2026, checking; existing customer too)</t>
        </is>
      </c>
      <c r="L16" s="121" t="inlineStr">
        <is>
          <t>Not mentioned</t>
        </is>
      </c>
      <c r="M16" s="121" t="inlineStr">
        <is>
          <t>YES [agg+DP] — online apps Chex-SENSITIVE; in-branch more lenient</t>
        </is>
      </c>
      <c r="N16" s="121" t="inlineStr">
        <is>
          <t>N/M</t>
        </is>
      </c>
      <c r="O16" s="121" t="inlineStr">
        <is>
          <t>🚩 NO-GO BY EXTENSION + TENSION: mentor NO-GO'd ELAN yet recommends Valley. ASK: does he mean Elan-direct is dead but specific storefronts still approve? Chex=YES (online-sensitive; branch visit fixes).</t>
        </is>
      </c>
      <c r="P16" s="121" t="inlineStr">
        <is>
          <t>vnb.com card page; crediful; dannydealguru</t>
        </is>
      </c>
    </row>
    <row r="17">
      <c r="A17" s="121" t="n">
        <v>3</v>
      </c>
      <c r="B17" s="121" t="inlineStr">
        <is>
          <t>BMO Bank</t>
        </is>
      </c>
      <c r="C17" s="121" t="inlineStr">
        <is>
          <t>TransUnion</t>
        </is>
      </c>
      <c r="D17" s="129" t="inlineStr">
        <is>
          <t>CONSISTENT — TransUnion</t>
        </is>
      </c>
      <c r="E17" s="121" t="inlineStr">
        <is>
          <t>TU</t>
        </is>
      </c>
      <c r="F17" s="121" t="inlineStr">
        <is>
          <t>YES — v3 pick #8 (top-10)</t>
        </is>
      </c>
      <c r="G17" s="121" t="inlineStr">
        <is>
          <t>Self (BMO Bank NA; ex-Bank of the West)</t>
        </is>
      </c>
      <c r="H17" s="121" t="inlineStr">
        <is>
          <t>Modest DPs $1,300–$7,500; grows via CLI [myFICO #6773916]</t>
        </is>
      </c>
      <c r="I17" s="121" t="inlineStr">
        <is>
          <t>Online</t>
        </is>
      </c>
      <c r="J17" s="121" t="inlineStr">
        <is>
          <t>N/M; large CA branch network (ex-BotW)</t>
        </is>
      </c>
      <c r="K17" s="121" t="inlineStr">
        <is>
          <t>YES pulls (DoC 'BMO Harris' sec 1.38; Oct2025-Mar2026 DP 'BMO BANK N.A. (online)')</t>
        </is>
      </c>
      <c r="L17" s="121" t="inlineStr">
        <is>
          <t>YES — reports to EWS (Dec 2025 DPs: open date+status, no balances; in EWS bank list)</t>
        </is>
      </c>
      <c r="M17" s="121" t="inlineStr">
        <is>
          <t>YES [agg] (DoC does-pull, 18 DPs — heaviest confirmed)</t>
        </is>
      </c>
      <c r="N17" s="121" t="inlineStr">
        <is>
          <t>N/M (web) — but provided docs show it reports to EWS</t>
        </is>
      </c>
      <c r="O17" s="121" t="inlineStr">
        <is>
          <t>0% 18 mo = best intro on his list. Chex=YES (18 DPs, heaviest confirmed); REPORTS to EWS (open date+status, Dec 2025 DPs).</t>
        </is>
      </c>
      <c r="P17" s="121" t="inlineStr">
        <is>
          <t>bmo.com; myFICO #6773916; DoC</t>
        </is>
      </c>
    </row>
    <row r="18">
      <c r="A18" s="121" t="n">
        <v>4</v>
      </c>
      <c r="B18" s="121" t="inlineStr">
        <is>
          <t>Western Alliance Bank</t>
        </is>
      </c>
      <c r="C18" s="121" t="inlineStr">
        <is>
          <t>TransUnion</t>
        </is>
      </c>
      <c r="D18" s="131" t="inlineStr">
        <is>
          <t>TU UNCORROBORATED — zero DPs (RM-driven apply suppresses DP volume). Adopt as mentor-DP</t>
        </is>
      </c>
      <c r="E18" s="121" t="inlineStr">
        <is>
          <t>N/M (mentor TU only)</t>
        </is>
      </c>
      <c r="F18" s="121" t="inlineStr">
        <is>
          <t>YES — v3 pick #14; Sprint Tier 2 (★ Core SoCal via Torrey Pines SD)</t>
        </is>
      </c>
      <c r="G18" s="121" t="inlineStr">
        <is>
          <t>Self ('issued by Western Alliance Bank' on Torrey Pines pages — confirmed)</t>
        </is>
      </c>
      <c r="H18" s="121" t="inlineStr">
        <is>
          <t>N/M (no DPs)</t>
        </is>
      </c>
      <c r="I18" s="121" t="inlineStr">
        <is>
          <t>RM lead-form (banker contacts in 2–3 days)</t>
        </is>
      </c>
      <c r="J18" s="121" t="inlineStr">
        <is>
          <t>Banking relationship expected</t>
        </is>
      </c>
      <c r="K18" s="121" t="inlineStr">
        <is>
          <t>Not mentioned in provided docs</t>
        </is>
      </c>
      <c r="L18" s="121" t="inlineStr">
        <is>
          <t>Not mentioned</t>
        </is>
      </c>
      <c r="M18" s="121" t="inlineStr">
        <is>
          <t>N/M — no published evidence; manual-KYC onboarding [inf]</t>
        </is>
      </c>
      <c r="N18" s="121" t="inlineStr">
        <is>
          <t>N/M</t>
        </is>
      </c>
      <c r="O18" s="121" t="inlineStr">
        <is>
          <t>No Chex/EWS evidence anywhere (manual-KYC commercial onboarding).</t>
        </is>
      </c>
      <c r="P18" s="121" t="inlineStr">
        <is>
          <t>westernalliancebancorporation.com Torrey Pines card pages</t>
        </is>
      </c>
    </row>
    <row r="19">
      <c r="A19" s="121" t="n">
        <v>5</v>
      </c>
      <c r="B19" s="121" t="inlineStr">
        <is>
          <t>WaFd Bank</t>
        </is>
      </c>
      <c r="C19" s="121" t="inlineStr">
        <is>
          <t>TransUnion</t>
        </is>
      </c>
      <c r="D19" s="131" t="inlineStr">
        <is>
          <t>TU UNCORROBORATED (zero DPs) + PROGRAM IN TRANSITION: 'upgrading credit card providers… accepting applications June 30' — apps PAUSED today; new provider UNNAMED</t>
        </is>
      </c>
      <c r="E19" s="121" t="inlineStr">
        <is>
          <t>N/M — re-verify bureau AND issuer after 6/30 relaunch</t>
        </is>
      </c>
      <c r="F19" s="121" t="inlineStr">
        <is>
          <t>NOT in our lists — NEW ADD (gold-grade, with the 6/30 caveat)</t>
        </is>
      </c>
      <c r="G19" s="121" t="inlineStr">
        <is>
          <t>Self (current program; ex-Elan, severed ~2022 per myFICO DP). Post-6/30 issuer = N/M</t>
        </is>
      </c>
      <c r="H19" s="121" t="inlineStr">
        <is>
          <t>$15,000 SL @ 13.99% DP (May 2023) [myFICO #6674742]; UW verbatim 'based on your personal credit'; fair credit ~580-660 can qualify</t>
        </is>
      </c>
      <c r="I19" s="121" t="inlineStr">
        <is>
          <t>Online — REOPENS JUNE 30, 2026</t>
        </is>
      </c>
      <c r="J19" s="121" t="inlineStr">
        <is>
          <t>Deposit acct N/M. SoCal branches (ex-Luther Burbank): El Segundo, Long Beach, Encino, Burbank/Toluca Lake</t>
        </is>
      </c>
      <c r="K19" s="121" t="inlineStr">
        <is>
          <t>YES pulls — DP Aug 2021 'Did pull chex: ... Washington Federal'</t>
        </is>
      </c>
      <c r="L19" s="121" t="inlineStr">
        <is>
          <t>Not mentioned</t>
        </is>
      </c>
      <c r="M19" s="121" t="inlineStr">
        <is>
          <t>YES [bank] — Fresh Start page exists for Chex-burned applicants (Bank On certified; 12mo → full products)</t>
        </is>
      </c>
      <c r="N19" s="121" t="inlineStr">
        <is>
          <t>N/M</t>
        </is>
      </c>
      <c r="O19" s="121" t="inlineStr">
        <is>
          <t>📅 CALENDAR 6/30: confirm new provider ≠ Elan before applying. Chex=YES (own Fresh Start page).</t>
        </is>
      </c>
      <c r="P19" s="121" t="inlineStr">
        <is>
          <t>wafdbank.com small-business-credit-card; myFICO #6674742</t>
        </is>
      </c>
    </row>
    <row r="20">
      <c r="A20" s="121" t="n">
        <v>6</v>
      </c>
      <c r="B20" s="121" t="inlineStr">
        <is>
          <t>Los Angeles Federal CU (LAFCU)</t>
        </is>
      </c>
      <c r="C20" s="121" t="inlineStr">
        <is>
          <t>TransUnion</t>
        </is>
      </c>
      <c r="D20" s="131" t="inlineStr">
        <is>
          <t>PARTIAL — TU is REAL but it's the MEMBERSHIP hard pull (Jun 2021 DP); the only card-app DP = EXPERIAN (consumer Visa, May 2022). Expect possibly BOTH (TU to join + EX for card). Business-card bureau = N/M</t>
        </is>
      </c>
      <c r="E20" s="121" t="inlineStr">
        <is>
          <t>Membership=TU; card=EX (consumer DP)</t>
        </is>
      </c>
      <c r="F20" s="121" t="inlineStr">
        <is>
          <t>NOT in our lists — NEW ADD (with eyes open)</t>
        </is>
      </c>
      <c r="G20" s="121" t="inlineStr">
        <is>
          <t>Self (strong inference: own Visa agreement 'WE = LOS ANGELES FCU'; in-house LoansPQ; no agent tells)</t>
        </is>
      </c>
      <c r="H20" s="121" t="inlineStr">
        <is>
          <t>Business Rewards Platinum Visa UP TO $50,000, $0 AF, 2x cats (published)</t>
        </is>
      </c>
      <c r="I20" s="121" t="inlineStr">
        <is>
          <t>Online (LoansPQ; '48-hr prequalification') — BUT business membership must be opened IN-BRANCH via LA Charitable Association</t>
        </is>
      </c>
      <c r="J20" s="121" t="inlineStr">
        <is>
          <t>FOM = 10 SoCal counties ($8 LACA donation + $10). ⚠ GATES: 'business established and operating minimum 2 FULL years' (stated); Chex + HARD credit pull at deposit-account opening (their own site); conservative human UW (denied at 4/24 inquiries)</t>
        </is>
      </c>
      <c r="K20" s="121" t="inlineStr">
        <is>
          <t>Not mentioned</t>
        </is>
      </c>
      <c r="L20" s="121" t="inlineStr">
        <is>
          <t>Not mentioned</t>
        </is>
      </c>
      <c r="M20" s="121" t="inlineStr">
        <is>
          <t>YES [bank] — checking+savings pages: 'a ChexSystems check AND A HARD-HIT ON YOUR CREDIT will be run' ⚠️ hard inquiry just to open deposit acct</t>
        </is>
      </c>
      <c r="N20" s="121" t="inlineStr">
        <is>
          <t>N/M</t>
        </is>
      </c>
      <c r="O20" s="121" t="inlineStr">
        <is>
          <t>⚠ The 2-yr seasoning + hard-pull-to-join + inquiry sensitivity = weak fit for a no-seasoning sprint despite the $50K headline. Verify whether 2-yr rule applies to the card.</t>
        </is>
      </c>
      <c r="P20" s="121" t="inlineStr">
        <is>
          <t>lafcu.org/loans-credit/business-loans; myFICO #6596415</t>
        </is>
      </c>
    </row>
    <row r="21">
      <c r="A21" s="133" t="inlineStr">
        <is>
          <t>BRANCH VERIFY  (his grouping)</t>
        </is>
      </c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  <c r="O21" s="117" t="n"/>
      <c r="P21" s="118" t="n"/>
    </row>
    <row r="22">
      <c r="A22" s="121" t="n">
        <v>1</v>
      </c>
      <c r="B22" s="121" t="inlineStr">
        <is>
          <t>California Bank &amp; Trust</t>
        </is>
      </c>
      <c r="C22" s="121" t="inlineStr">
        <is>
          <t>(branch verify)</t>
        </is>
      </c>
      <c r="D22" s="127" t="inlineStr">
        <is>
          <t>CONTRADICTED as a blanket claim — live Zions NAOP app (secureapps-b.calbanktrust.com, CREDIT_CARD, SELF_SERVICE) is FULLY ONLINE w/ DocuSign, 'status emailed within minutes'. Branch required ONLY for: foreign entity, non-US-citizen signers, or entity-owned business. Gates: HQ in CA, revenue &lt; $20M</t>
        </is>
      </c>
      <c r="E22" s="121" t="inlineStr">
        <is>
          <t>EX (most-cited; unchanged)</t>
        </is>
      </c>
      <c r="F22" s="121" t="inlineStr">
        <is>
          <t>YES — v3 pick #9; Sprint Tier 1; CW v4 gold</t>
        </is>
      </c>
      <c r="G22" s="121" t="inlineStr">
        <is>
          <t>Self (Zions Bancorporation, N.A.)</t>
        </is>
      </c>
      <c r="H22" s="121" t="inlineStr">
        <is>
          <t>Advertised up to $250K (AmaZing Rate min $500)</t>
        </is>
      </c>
      <c r="I22" s="121" t="inlineStr">
        <is>
          <t>Fully ONLINE for standard US-citizen direct-owned CA LLC</t>
        </is>
      </c>
      <c r="J22" s="121" t="inlineStr">
        <is>
          <t>N/M deposit. Zions affiliate disclosure: unsatisfactory Chex record → forced into Fresh Start product 12mo (Chex gate likely)</t>
        </is>
      </c>
      <c r="K22" s="121" t="inlineStr">
        <is>
          <t>Not mentioned (no CB&amp;T/Zions entry)</t>
        </is>
      </c>
      <c r="L22" s="121" t="inlineStr">
        <is>
          <t>Not mentioned</t>
        </is>
      </c>
      <c r="M22" s="121" t="inlineStr">
        <is>
          <t>LIKELY YES [inf from Zions disclosure PDF: 'unsatisfactory ChexSystems record' → Fresh Start product 12mo]; CB&amp;T site silent</t>
        </is>
      </c>
      <c r="N22" s="121" t="inlineStr">
        <is>
          <t>N/M</t>
        </is>
      </c>
      <c r="O22" s="121" t="inlineStr">
        <is>
          <t>★ Remains the strongest SoCal self-UW apply-online play. Bonus: CB&amp;T bought FirstBank(CO)'s Coachella Valley branches + card accounts (Mar 2025) → covers Coachella. Mentor's 'branch verify' applies only to the edge cases.</t>
        </is>
      </c>
      <c r="P22" s="121" t="inlineStr">
        <is>
          <t>calbanktrust.com AmaZing Rate + live NAOP form; Zions disclosure PDF</t>
        </is>
      </c>
    </row>
    <row r="24">
      <c r="A24" s="134" t="inlineStr">
        <is>
          <t>⚠ SUPERSEDED IN PART by Tab 0 + Tab 6 (DP Log) — 2026-06-09 dated DPs changed these verdicts: California CU = Chex-SENSITIVE, must UNFREEZE (4 DPs 2026); Banner = QualiFile AUTO-DENY no override (2026) incl. BUSINESS checking (2023); PNC = 2026 DPs show NO Chex pull (freeze blocks) — EWS is its real screen; CB&amp;T bureau = UNEVIDENCED publicly (zero applicant DPs ever); BMO TU confirmed ×2 (2024-07 card $7.5K, 2023-12 LOC $46K) + inquiry-INsensitive (28 inq DP).</t>
        </is>
      </c>
    </row>
  </sheetData>
  <mergeCells count="7">
    <mergeCell ref="A5:P5"/>
    <mergeCell ref="A14:P14"/>
    <mergeCell ref="A1:P1"/>
    <mergeCell ref="A24:H24"/>
    <mergeCell ref="A9:P9"/>
    <mergeCell ref="A21:P21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10" customWidth="1" min="4" max="4"/>
    <col width="32" customWidth="1" min="5" max="5"/>
    <col width="34" customWidth="1" min="6" max="6"/>
    <col width="24" customWidth="1" min="7" max="7"/>
    <col width="38" customWidth="1" min="8" max="8"/>
    <col width="24" customWidth="1" min="9" max="9"/>
    <col width="46" customWidth="1" min="10" max="10"/>
    <col width="30" customWidth="1" min="11" max="11"/>
  </cols>
  <sheetData>
    <row r="1">
      <c r="A1" s="113" t="inlineStr">
        <is>
          <t>OUR TARGETS THE MENTOR'S LIST IS MISSING — formatted for his bureau framework</t>
        </is>
      </c>
    </row>
    <row r="2">
      <c r="A2" s="114" t="inlineStr">
        <is>
          <t>From Code c2 v3 / CW v4 / Sprint CD c3 (+ deep-verify corrections). Bureau labels carry confidence — 'inference'/'forum DP' ≠ confirmed.</t>
        </is>
      </c>
    </row>
    <row r="4">
      <c r="A4" s="115" t="inlineStr">
        <is>
          <t>Institution</t>
        </is>
      </c>
      <c r="B4" s="115" t="inlineStr">
        <is>
          <t>Bureau (best evidence)</t>
        </is>
      </c>
      <c r="C4" s="115" t="inlineStr">
        <is>
          <t>Category</t>
        </is>
      </c>
      <c r="D4" s="115" t="inlineStr">
        <is>
          <t>Our pick #</t>
        </is>
      </c>
      <c r="E4" s="115" t="inlineStr">
        <is>
          <t>Issuer / UW</t>
        </is>
      </c>
      <c r="F4" s="115" t="inlineStr">
        <is>
          <t>Limit data</t>
        </is>
      </c>
      <c r="G4" s="115" t="inlineStr">
        <is>
          <t>Apply</t>
        </is>
      </c>
      <c r="H4" s="115" t="inlineStr">
        <is>
          <t>Gate / membership</t>
        </is>
      </c>
      <c r="I4" s="115" t="inlineStr">
        <is>
          <t>Region</t>
        </is>
      </c>
      <c r="J4" s="115" t="inlineStr">
        <is>
          <t>Why add for his framework</t>
        </is>
      </c>
      <c r="K4" s="115" t="inlineStr">
        <is>
          <t>Sources</t>
        </is>
      </c>
    </row>
    <row r="5">
      <c r="A5" s="121" t="inlineStr">
        <is>
          <t>SDCCU</t>
        </is>
      </c>
      <c r="B5" s="121" t="inlineStr">
        <is>
          <t>EX (forum DP; membership HP may be reused)</t>
        </is>
      </c>
      <c r="C5" s="121" t="inlineStr">
        <is>
          <t>A — Self-UW (online)</t>
        </is>
      </c>
      <c r="D5" s="121" t="inlineStr">
        <is>
          <t>10</t>
        </is>
      </c>
      <c r="E5" s="121" t="inlineStr">
        <is>
          <t>Self (San Diego County Credit Union)</t>
        </is>
      </c>
      <c r="F5" s="121" t="inlineStr">
        <is>
          <t>$5K–$20K  [myFICO #6761567]</t>
        </is>
      </c>
      <c r="G5" s="121" t="inlineStr">
        <is>
          <t>Online</t>
        </is>
      </c>
      <c r="H5" s="121" t="inlineStr">
        <is>
          <t>Membership required (all SoCal counties + nationwide via Financial Fitness Assoc $8)</t>
        </is>
      </c>
      <c r="I5" s="121" t="inlineStr">
        <is>
          <t>SoCal / San Diego (all-SoCal FOM)</t>
        </is>
      </c>
      <c r="J5" s="121" t="inlineStr">
        <is>
          <t>GOLD: SoCal self-issued + ONLINE app; $5K–$20K. Conservative UW (income reviewed). Membership all SoCal counties + FFA $8 nationwide.</t>
        </is>
      </c>
      <c r="K5" s="121" t="inlineStr">
        <is>
          <t>sdccu.com/business/business-credit-card + rates PDF + consumer agreement; myfico.com #6761567; wallethub.com</t>
        </is>
      </c>
    </row>
    <row r="6">
      <c r="A6" s="121" t="inlineStr">
        <is>
          <t>Nuvision Credit Union</t>
        </is>
      </c>
      <c r="B6" s="121" t="inlineStr">
        <is>
          <t>N/M (agreement names EX/EQ/TU generically)</t>
        </is>
      </c>
      <c r="C6" s="121" t="inlineStr">
        <is>
          <t>A — Self-UW (online)</t>
        </is>
      </c>
      <c r="D6" s="121" t="inlineStr">
        <is>
          <t>11</t>
        </is>
      </c>
      <c r="E6" s="121" t="inlineStr">
        <is>
          <t>Self (Nuvision FCU)</t>
        </is>
      </c>
      <c r="F6" s="121" t="inlineStr">
        <is>
          <t>N/M (no bank-specific data point found)</t>
        </is>
      </c>
      <c r="G6" s="121" t="inlineStr">
        <is>
          <t>Online</t>
        </is>
      </c>
      <c r="H6" s="121" t="inlineStr">
        <is>
          <t>Membership required (LA/Orange/San Diego/Ventura/Santa Barbara counties + Boeing/SEGs + family; OPEN nationwide via American Consumer Council)</t>
        </is>
      </c>
      <c r="I6" s="121" t="inlineStr">
        <is>
          <t>SoCal / Orange County</t>
        </is>
      </c>
      <c r="J6" s="121" t="inlineStr">
        <is>
          <t>GOLD: HB/OC self-issued + ONLINE app; open membership via American Consumer Council. ⚠ Chex pull DP (stale 2012).</t>
        </is>
      </c>
      <c r="K6" s="121" t="inlineStr">
        <is>
          <t>nuvisionfederal.com/business-banking/credit-cards + visa agreement PDF (self-issued); /about-us/am-i-eligible (ACC path)</t>
        </is>
      </c>
    </row>
    <row r="7">
      <c r="A7" s="121" t="inlineStr">
        <is>
          <t>Premier America Credit Union</t>
        </is>
      </c>
      <c r="B7" s="121" t="inlineStr">
        <is>
          <t>Personal pull on guarantor (bureau N/M)</t>
        </is>
      </c>
      <c r="C7" s="121" t="inlineStr">
        <is>
          <t>A — Self-UW (online)</t>
        </is>
      </c>
      <c r="D7" s="121" t="inlineStr">
        <is>
          <t>12</t>
        </is>
      </c>
      <c r="E7" s="121" t="inlineStr">
        <is>
          <t>Self (Premier America CU — confirmed creditor; Experian BusinessIQ app, no agent bank named)</t>
        </is>
      </c>
      <c r="F7" s="121" t="inlineStr">
        <is>
          <t>$5,000–$50,000 ($50K needs 2+yr profitable; new biz lower)  [product page]</t>
        </is>
      </c>
      <c r="G7" s="121" t="inlineStr">
        <is>
          <t>Online</t>
        </is>
      </c>
      <c r="H7" s="121" t="inlineStr">
        <is>
          <t>Membership required (LA + Ventura County CA + Harris County TX + family; OPEN via Thousand Oaks Alliance for the Arts; business share deposit $250)</t>
        </is>
      </c>
      <c r="I7" s="121" t="inlineStr">
        <is>
          <t>SoCal / LA (+ Ventura)</t>
        </is>
      </c>
      <c r="J7" s="121" t="inlineStr">
        <is>
          <t>GOLD (4th): Chatsworth/LA self-issued, $5K–$50K, ONLINE. Does use Chex (phone-verified); Fresh Start product exists.</t>
        </is>
      </c>
      <c r="K7" s="121" t="inlineStr">
        <is>
          <t>premieramerica.com/business/loans/premier-business-mastercard + /borrow/credit-cards/compare-all-cards (CU=lender); commercialcreditapps.com BusinessIQ app (PG, FCRA); hustlermoneyblog (arts path)</t>
        </is>
      </c>
    </row>
    <row r="8">
      <c r="A8" s="121" t="inlineStr">
        <is>
          <t>Fremont Bank</t>
        </is>
      </c>
      <c r="B8" s="121" t="inlineStr">
        <is>
          <t>EX (inferred from sister personal card)</t>
        </is>
      </c>
      <c r="C8" s="121" t="inlineStr">
        <is>
          <t>A — Self-UW (online)</t>
        </is>
      </c>
      <c r="D8" s="121" t="inlineStr">
        <is>
          <t>16</t>
        </is>
      </c>
      <c r="E8" s="121" t="inlineStr">
        <is>
          <t>Self (CorServ 'Apex' platform)</t>
        </is>
      </c>
      <c r="F8" s="121" t="inlineStr">
        <is>
          <t>N/M (no bank-specific data point found)</t>
        </is>
      </c>
      <c r="G8" s="121" t="inlineStr">
        <is>
          <t>Online</t>
        </is>
      </c>
      <c r="H8" s="121" t="inlineStr">
        <is>
          <t>Yes ('Exclusively for Fremont Bank customers')</t>
        </is>
      </c>
      <c r="I8" s="121" t="inlineStr">
        <is>
          <t>NorCal / SF-East Bay</t>
        </is>
      </c>
      <c r="J8" s="121" t="inlineStr">
        <is>
          <t>Self/CorServ Apex, ONLINE, 0% 6mo. Mentor's own double-dip intel (uncorroborated publicly). 'Exclusively for Fremont customers' = deposit gate. NorCal but online.</t>
        </is>
      </c>
      <c r="K8" s="121" t="inlineStr">
        <is>
          <t>fremontbank.com/business/credit (4 product pages); fremontbank.myapexcard.com; corservsolutions.com</t>
        </is>
      </c>
    </row>
    <row r="9">
      <c r="A9" s="121" t="inlineStr">
        <is>
          <t>Kinecta Federal Credit Union</t>
        </is>
      </c>
      <c r="B9" s="121" t="inlineStr">
        <is>
          <t>N/M</t>
        </is>
      </c>
      <c r="C9" s="121" t="inlineStr">
        <is>
          <t>B — Self-UW (in branch)</t>
        </is>
      </c>
      <c r="D9" s="121" t="inlineStr">
        <is>
          <t>17</t>
        </is>
      </c>
      <c r="E9" s="121" t="inlineStr">
        <is>
          <t>Self (Kinecta FCU; CUNA Mutual/TruStage = forms vendor only)</t>
        </is>
      </c>
      <c r="F9" s="121" t="inlineStr">
        <is>
          <t>N/M (no bank-specific data point found)</t>
        </is>
      </c>
      <c r="G9" s="121" t="inlineStr">
        <is>
          <t>In-person</t>
        </is>
      </c>
      <c r="H9" s="121" t="inlineStr">
        <is>
          <t>Membership required (Greater LA SoCal ZIPs; OPEN nationwide via Innovision Society $10 — Kinecta covers yr1)</t>
        </is>
      </c>
      <c r="I9" s="121" t="inlineStr">
        <is>
          <t>SoCal / Los Angeles (Manhattan Beach)</t>
        </is>
      </c>
      <c r="J9" s="121" t="inlineStr">
        <is>
          <t>SoCal self-issued (Manhattan Beach); MyPro MC. ⚠ Bank-disclosed: 'ALL new account applicants verified through ChexSystems'. Apply by appointment.</t>
        </is>
      </c>
      <c r="K9" s="121" t="inlineStr">
        <is>
          <t>kinecta.org/credit-card/mypro + MyPro agreement/disclosure PDFs; CFPB Kinecta MyPro agreement; join pages</t>
        </is>
      </c>
    </row>
    <row r="10">
      <c r="A10" s="121" t="inlineStr">
        <is>
          <t>Logix Federal Credit Union</t>
        </is>
      </c>
      <c r="B10" s="121" t="inlineStr">
        <is>
          <t>N/M (lawsuit alleged EQ+TU consumer-side)</t>
        </is>
      </c>
      <c r="C10" s="121" t="inlineStr">
        <is>
          <t>B — Self-UW (in branch)</t>
        </is>
      </c>
      <c r="D10" s="121" t="inlineStr">
        <is>
          <t>19</t>
        </is>
      </c>
      <c r="E10" s="121" t="inlineStr">
        <is>
          <t>Self (Logix FCU)</t>
        </is>
      </c>
      <c r="F10" s="121" t="inlineStr">
        <is>
          <t>N/M (no bank-specific data point found)</t>
        </is>
      </c>
      <c r="G10" s="121" t="inlineStr">
        <is>
          <t>In-person</t>
        </is>
      </c>
      <c r="H10" s="121" t="inlineStr">
        <is>
          <t>Membership required (SoCal Easy-Membership + OPEN via American Consumer Council; business within 30mi of a branch)</t>
        </is>
      </c>
      <c r="I10" s="121" t="inlineStr">
        <is>
          <t>SoCal / Los Angeles (Valencia/Burbank) + Ventura</t>
        </is>
      </c>
      <c r="J10" s="121" t="inlineStr">
        <is>
          <t>SoCal self-issued (Burbank); biz within 30mi. ⚠ Reports to PERSONAL credit. In-person.</t>
        </is>
      </c>
      <c r="K10" s="121" t="inlineStr">
        <is>
          <t>logixbanking.com/business/credit-card + Smart Business Cashback agreement PDF (issuer=self); CFPB; become-a-member</t>
        </is>
      </c>
    </row>
    <row r="11">
      <c r="A11" s="121" t="inlineStr">
        <is>
          <t>HCN Bank</t>
        </is>
      </c>
      <c r="B11" s="121" t="inlineStr">
        <is>
          <t>EX (TIB; inference)</t>
        </is>
      </c>
      <c r="C11" s="121" t="inlineStr">
        <is>
          <t>C — Other agent card</t>
        </is>
      </c>
      <c r="D11" s="121" t="inlineStr">
        <is>
          <t>20</t>
        </is>
      </c>
      <c r="E11" s="121" t="inlineStr">
        <is>
          <t>TIB</t>
        </is>
      </c>
      <c r="F11" s="121" t="inlineStr">
        <is>
          <t>N/M (TIB; financials typically required $10K+)</t>
        </is>
      </c>
      <c r="G11" s="121" t="inlineStr">
        <is>
          <t>Online</t>
        </is>
      </c>
      <c r="H11" s="121" t="inlineStr">
        <is>
          <t>N/M</t>
        </is>
      </c>
      <c r="I11" s="121" t="inlineStr">
        <is>
          <t>SoCal / Inland Empire</t>
        </is>
      </c>
      <c r="J11" s="121" t="inlineStr">
        <is>
          <t>Riverside/Inland Empire TIB card, ONLINE app — non-Elan agent lane for IE.</t>
        </is>
      </c>
      <c r="K11" s="121" t="inlineStr">
        <is>
          <t>hcnbank.com/Business-Credit-Cards (TIB disclosure); cardaccount.net; FDIC cert 21606</t>
        </is>
      </c>
    </row>
    <row r="12">
      <c r="A12" s="121" t="inlineStr">
        <is>
          <t>American Plus Bank, N.A.</t>
        </is>
      </c>
      <c r="B12" s="121" t="inlineStr">
        <is>
          <t>EX/TU (TIB; inference)</t>
        </is>
      </c>
      <c r="C12" s="121" t="inlineStr">
        <is>
          <t>C — Other agent card</t>
        </is>
      </c>
      <c r="D12" s="121" t="inlineStr">
        <is>
          <t>21</t>
        </is>
      </c>
      <c r="E12" s="121" t="inlineStr">
        <is>
          <t>TIB</t>
        </is>
      </c>
      <c r="F12" s="121" t="inlineStr">
        <is>
          <t>N/M (TIB; financials typically required $10K+)</t>
        </is>
      </c>
      <c r="G12" s="121" t="inlineStr">
        <is>
          <t>Online</t>
        </is>
      </c>
      <c r="H12" s="121" t="inlineStr">
        <is>
          <t>N/M</t>
        </is>
      </c>
      <c r="I12" s="121" t="inlineStr">
        <is>
          <t>SoCal / LA (San Gabriel Valley)</t>
        </is>
      </c>
      <c r="J12" s="121" t="inlineStr">
        <is>
          <t>Arcadia/SGV TIB card, ONLINE app.</t>
        </is>
      </c>
      <c r="K12" s="121" t="inlineStr">
        <is>
          <t>bankaplus.com/Credit-Cards; mycommunitycc.com (TIB portal); FDIC cert 58469</t>
        </is>
      </c>
    </row>
    <row r="13">
      <c r="A13" s="121" t="inlineStr">
        <is>
          <t>Infinity Bank</t>
        </is>
      </c>
      <c r="B13" s="121" t="inlineStr">
        <is>
          <t>N/M (guarantor pull)</t>
        </is>
      </c>
      <c r="C13" s="121" t="inlineStr">
        <is>
          <t>C — Other agent card</t>
        </is>
      </c>
      <c r="D13" s="121" t="inlineStr">
        <is>
          <t>25</t>
        </is>
      </c>
      <c r="E13" s="121" t="inlineStr">
        <is>
          <t>ServisFirst Bank (agent program)</t>
        </is>
      </c>
      <c r="F13" s="121" t="inlineStr">
        <is>
          <t>N/M (ServisFirst; no published limit / forum DP)</t>
        </is>
      </c>
      <c r="G13" s="121" t="inlineStr">
        <is>
          <t>Online</t>
        </is>
      </c>
      <c r="H13" s="121" t="inlineStr">
        <is>
          <t>N/M</t>
        </is>
      </c>
      <c r="I13" s="121" t="inlineStr">
        <is>
          <t>SoCal / Orange County</t>
        </is>
      </c>
      <c r="J13" s="121" t="inlineStr">
        <is>
          <t>Santa Ana/OC — ServisFirst agent (NON-Elan, was mis-tagged Elan then corrected), ONLINE. Good OC slot.</t>
        </is>
      </c>
      <c r="K13" s="121" t="inlineStr">
        <is>
          <t>infinity.bank/.../business-credit-cards; app.ccdepartment.com (ServisFirst disclosure); cms...Servis-First-Business-Credit-CRD-Application-Disclosures.pdf; aba.com (ServisFirst Agent Bank program); FDIC cert 59098</t>
        </is>
      </c>
    </row>
    <row r="14">
      <c r="A14" s="121" t="inlineStr">
        <is>
          <t>City National Bank (LA)</t>
        </is>
      </c>
      <c r="B14" s="121" t="inlineStr">
        <is>
          <t>EX (personal Crystal DP; biz N/M)</t>
        </is>
      </c>
      <c r="C14" s="121" t="inlineStr">
        <is>
          <t>Commercial-only</t>
        </is>
      </c>
      <c r="D14" s="121" t="n"/>
      <c r="E14" s="121" t="inlineStr">
        <is>
          <t>Self</t>
        </is>
      </c>
      <c r="F14" s="121" t="inlineStr">
        <is>
          <t>—</t>
        </is>
      </c>
      <c r="G14" s="121" t="inlineStr">
        <is>
          <t>In-person</t>
        </is>
      </c>
      <c r="H14" s="121" t="inlineStr">
        <is>
          <t>Relationship expected; commercial-only card via RM</t>
        </is>
      </c>
      <c r="I14" s="121" t="inlineStr">
        <is>
          <t>SoCal / LA</t>
        </is>
      </c>
      <c r="J14" s="121" t="inlineStr">
        <is>
          <t>SoCal flagship private bank; commercial card via RM. STRONGEST documented no-Chex/EWS footprint (own agreements name no CRA). Relationship play.</t>
        </is>
      </c>
      <c r="K14" s="121" t="inlineStr">
        <is>
          <t>cnb.com commercial + crystal pages; Commercial-Credit-Card Agreement PDF</t>
        </is>
      </c>
    </row>
    <row r="15">
      <c r="A15" s="121" t="inlineStr">
        <is>
          <t>Community West Bank</t>
        </is>
      </c>
      <c r="B15" s="121" t="inlineStr">
        <is>
          <t>EX (TIB)</t>
        </is>
      </c>
      <c r="C15" s="121" t="inlineStr">
        <is>
          <t>C — Other agent card</t>
        </is>
      </c>
      <c r="D15" s="121" t="inlineStr">
        <is>
          <t>38</t>
        </is>
      </c>
      <c r="E15" s="121" t="inlineStr">
        <is>
          <t>TIB</t>
        </is>
      </c>
      <c r="F15" s="121" t="inlineStr">
        <is>
          <t>TIB: $10K+ needs financials (flat-priced, not FICO-risk)  [myFICO #5028638]</t>
        </is>
      </c>
      <c r="G15" s="121" t="inlineStr">
        <is>
          <t>Online</t>
        </is>
      </c>
      <c r="H15" s="121" t="inlineStr">
        <is>
          <t>N/M</t>
        </is>
      </c>
      <c r="I15" s="121" t="inlineStr">
        <is>
          <t>Central Valley / Central Coast</t>
        </is>
      </c>
      <c r="J15" s="121" t="inlineStr">
        <is>
          <t>Goleta/Santa Barbara TIB card, ONLINE. $10K+ needs financials (TIB pattern).</t>
        </is>
      </c>
      <c r="K15" s="121" t="inlineStr">
        <is>
          <t>communitywestbank.com/business-credit-cards; cardaccount.net/application/f87a3255c0; myfico.com #5028638</t>
        </is>
      </c>
    </row>
    <row r="16">
      <c r="A16" s="121" t="inlineStr">
        <is>
          <t>Montecito Bank &amp; Trust</t>
        </is>
      </c>
      <c r="B16" s="121" t="inlineStr">
        <is>
          <t>N/M (guarantor pull)</t>
        </is>
      </c>
      <c r="C16" s="121" t="inlineStr">
        <is>
          <t>B — Self-UW (in branch)</t>
        </is>
      </c>
      <c r="D16" s="121" t="inlineStr">
        <is>
          <t>44</t>
        </is>
      </c>
      <c r="E16" s="121" t="inlineStr">
        <is>
          <t>Self (Montecito B&amp;T is creditor)</t>
        </is>
      </c>
      <c r="F16" s="121" t="inlineStr">
        <is>
          <t>Visa Business Rewards up to $100K (advertised)</t>
        </is>
      </c>
      <c r="G16" s="121" t="inlineStr">
        <is>
          <t>Assisted</t>
        </is>
      </c>
      <c r="H16" s="121" t="inlineStr">
        <is>
          <t>YES — deposit customers only (rare hard requirement)</t>
        </is>
      </c>
      <c r="I16" s="121" t="inlineStr">
        <is>
          <t>Central Coast</t>
        </is>
      </c>
      <c r="J16" s="121" t="inlineStr">
        <is>
          <t>Santa Barbara self-issued, up to $100K advertised — but DEPOSIT CUSTOMERS ONLY (hard gate).</t>
        </is>
      </c>
      <c r="K16" s="121" t="inlineStr">
        <is>
          <t>montecito.bank/business/credit-card + business-credit-card-contract PDF + /business/lending/.../bizmax</t>
        </is>
      </c>
    </row>
    <row r="17">
      <c r="A17" s="121" t="inlineStr">
        <is>
          <t>CalPrivate Bank</t>
        </is>
      </c>
      <c r="B17" s="121" t="inlineStr">
        <is>
          <t>EX (TIB; 'variable' conflict)</t>
        </is>
      </c>
      <c r="C17" s="121" t="inlineStr">
        <is>
          <t>C — Other agent card</t>
        </is>
      </c>
      <c r="D17" s="121" t="inlineStr">
        <is>
          <t>49</t>
        </is>
      </c>
      <c r="E17" s="121" t="inlineStr">
        <is>
          <t>TIB</t>
        </is>
      </c>
      <c r="F17" s="121" t="inlineStr">
        <is>
          <t>N/M (TIB; financials typically required $10K+)</t>
        </is>
      </c>
      <c r="G17" s="121" t="inlineStr">
        <is>
          <t>In-person</t>
        </is>
      </c>
      <c r="H17" s="121" t="inlineStr">
        <is>
          <t>N/M (relationship likely)</t>
        </is>
      </c>
      <c r="I17" s="121" t="inlineStr">
        <is>
          <t>SoCal / San Diego</t>
        </is>
      </c>
      <c r="J17" s="121" t="inlineStr">
        <is>
          <t>True SoCal private bank (La Jolla + Beverly Hills/Newport offices); TIB card; contact-banker.</t>
        </is>
      </c>
      <c r="K17" s="121" t="inlineStr">
        <is>
          <t>calprivate.bank/business-banking/business-credit-cards; cardaccount.net; mypreferredpoints.com</t>
        </is>
      </c>
    </row>
    <row r="18">
      <c r="A18" s="121" t="inlineStr">
        <is>
          <t>Altura Credit Union</t>
        </is>
      </c>
      <c r="B18" s="121" t="inlineStr">
        <is>
          <t>N/M</t>
        </is>
      </c>
      <c r="C18" s="121" t="inlineStr">
        <is>
          <t>C — Other agent card</t>
        </is>
      </c>
      <c r="D18" s="121" t="inlineStr">
        <is>
          <t>59</t>
        </is>
      </c>
      <c r="E18" s="121" t="inlineStr">
        <is>
          <t>Self (likely; CU; Velera processor possible — not confirmed)</t>
        </is>
      </c>
      <c r="F18" s="121" t="inlineStr">
        <is>
          <t>Up to $25,000 (advertised)</t>
        </is>
      </c>
      <c r="G18" s="121" t="inlineStr">
        <is>
          <t>In-person</t>
        </is>
      </c>
      <c r="H18" s="121" t="inlineStr">
        <is>
          <t>Membership required (Riverside County: live/work/worship/school + businesses in county + family; NO nationwide association path found)</t>
        </is>
      </c>
      <c r="I18" s="121" t="inlineStr">
        <is>
          <t>SoCal / Inland Empire</t>
        </is>
      </c>
      <c r="J18" s="121" t="inlineStr">
        <is>
          <t>Riverside self-issued, up to $25K, open Riverside-County membership. In-person card app. Chex: Reliance second-chance path (bank-disclosed).</t>
        </is>
      </c>
      <c r="K18" s="121" t="inlineStr">
        <is>
          <t>alturacu.com/business-credit-card + /faq/do-i-need-an-llc...; /benefits-of-membership/become-a-member</t>
        </is>
      </c>
    </row>
    <row r="19">
      <c r="A19" s="121" t="inlineStr">
        <is>
          <t>Rize CU (ex-SCE FCU)</t>
        </is>
      </c>
      <c r="B19" s="121" t="inlineStr">
        <is>
          <t>TU (mentor's earlier claim; UNVERIFIED)</t>
        </is>
      </c>
      <c r="C19" s="121" t="inlineStr">
        <is>
          <t>CU self (unconfirmed)</t>
        </is>
      </c>
      <c r="D19" s="121" t="inlineStr">
        <is>
          <t>Sprint T1</t>
        </is>
      </c>
      <c r="E19" s="121" t="inlineStr">
        <is>
          <t>UNCONFIRMED (self vs Elan)</t>
        </is>
      </c>
      <c r="F19" s="121" t="inlineStr">
        <is>
          <t>$5,000–$50,000 advertised, $0 AF</t>
        </is>
      </c>
      <c r="G19" s="121" t="inlineStr">
        <is>
          <t>Membership online; card RM-mediated</t>
        </is>
      </c>
      <c r="H19" s="121" t="inlineStr">
        <is>
          <t>OPEN membership via ACC/QSC $5. Chex-SENSITIVE online (DoC-flagged); BankOn workaround product</t>
        </is>
      </c>
      <c r="I19" s="121" t="inlineStr">
        <is>
          <t>SoCal / Irwindale-SGV</t>
        </is>
      </c>
      <c r="J19" s="121" t="inlineStr">
        <is>
          <t>High-value if mentor's no-doc/TU claims hold — still needs the verify call.</t>
        </is>
      </c>
      <c r="K19" s="121" t="inlineStr">
        <is>
          <t>rizecu.com/business-visa</t>
        </is>
      </c>
    </row>
    <row r="20">
      <c r="A20" s="121" t="inlineStr">
        <is>
          <t>Sun Community FCU</t>
        </is>
      </c>
      <c r="B20" s="121" t="inlineStr">
        <is>
          <t>N/M</t>
        </is>
      </c>
      <c r="C20" s="121" t="inlineStr">
        <is>
          <t>CU self</t>
        </is>
      </c>
      <c r="D20" s="121" t="inlineStr">
        <is>
          <t>Sprint T1</t>
        </is>
      </c>
      <c r="E20" s="121" t="inlineStr">
        <is>
          <t>Self</t>
        </is>
      </c>
      <c r="F20" s="121" t="inlineStr">
        <is>
          <t>N/M</t>
        </is>
      </c>
      <c r="G20" s="121" t="inlineStr">
        <is>
          <t>In person (Coachella/Indio/Palm Springs)</t>
        </is>
      </c>
      <c r="H20" s="121" t="inlineStr">
        <is>
          <t>Membership: Imperial County FOM</t>
        </is>
      </c>
      <c r="I20" s="121" t="inlineStr">
        <is>
          <t>Coachella Valley / Imperial</t>
        </is>
      </c>
      <c r="J20" s="121" t="inlineStr">
        <is>
          <t>The Coachella Valley slot (alongside CB&amp;T's acquired FirstBank branches).</t>
        </is>
      </c>
      <c r="K20" s="121" t="inlineStr">
        <is>
          <t>suncommunity.com</t>
        </is>
      </c>
    </row>
    <row r="21">
      <c r="A21" s="121" t="inlineStr">
        <is>
          <t>First Foundation Bank (Card Assets)</t>
        </is>
      </c>
      <c r="B21" s="121" t="inlineStr">
        <is>
          <t>EQ (forum DP — fits his EQUIFAX bucket)</t>
        </is>
      </c>
      <c r="C21" s="121" t="inlineStr">
        <is>
          <t>C — Other agent (Card Assets)</t>
        </is>
      </c>
      <c r="D21" s="121" t="inlineStr">
        <is>
          <t>Sprint T2</t>
        </is>
      </c>
      <c r="E21" s="121" t="inlineStr">
        <is>
          <t>Card Assets (First Arkansas B&amp;T) — clean, NOT Elan/TCM</t>
        </is>
      </c>
      <c r="F21" s="121" t="inlineStr">
        <is>
          <t>N/M (Mastercard; portal 24-7cardaccess.com)</t>
        </is>
      </c>
      <c r="G21" s="121" t="inlineStr">
        <is>
          <t>Branch/contact</t>
        </is>
      </c>
      <c r="H21" s="121" t="inlineStr">
        <is>
          <t>⚠ Now Sunflower Bank N.A. (merger 4/1/26) — re-verify program; Sunflower pulls Chex (DoC)</t>
        </is>
      </c>
      <c r="I21" s="121" t="inlineStr">
        <is>
          <t>SoCal / Irvine (~18 CA branches)</t>
        </is>
      </c>
      <c r="J21" s="121" t="inlineStr">
        <is>
          <t>An EQUIFAX-bucket add for his framework — clean agent issuer.</t>
        </is>
      </c>
      <c r="K21" s="121" t="inlineStr">
        <is>
          <t>firstfoundationinc.com</t>
        </is>
      </c>
    </row>
    <row r="22">
      <c r="A22" s="121" t="inlineStr">
        <is>
          <t>First Bank (first.bank, MO)</t>
        </is>
      </c>
      <c r="B22" s="121" t="inlineStr">
        <is>
          <t>UNVERIFIED (FNBO-era EX is stale)</t>
        </is>
      </c>
      <c r="C22" s="121" t="inlineStr">
        <is>
          <t>A — CorServ self-issue</t>
        </is>
      </c>
      <c r="D22" s="121" t="inlineStr">
        <is>
          <t>Sprint T3</t>
        </is>
      </c>
      <c r="E22" s="121" t="inlineStr">
        <is>
          <t>Self via CorServ/Apex (Pinnacle TN sponsor) — NOT FNBO anymore</t>
        </is>
      </c>
      <c r="F22" s="121" t="inlineStr">
        <is>
          <t>N/M (Business Platinum/Rewards/Low Rate/World Elite MC)</t>
        </is>
      </c>
      <c r="G22" s="121" t="inlineStr">
        <is>
          <t>ONLINE (firstbank.myapexcard.com)</t>
        </is>
      </c>
      <c r="H22" s="121" t="inlineStr">
        <is>
          <t>None stated; CA branches</t>
        </is>
      </c>
      <c r="I22" s="121" t="inlineStr">
        <is>
          <t>CA footprint (MO HQ)</t>
        </is>
      </c>
      <c r="J22" s="121" t="inlineStr">
        <is>
          <t>Mentor's 'FNBO/call bank' intel is stale — now CorServ self-issue with an online app.</t>
        </is>
      </c>
      <c r="K22" s="121" t="inlineStr">
        <is>
          <t>first.bank</t>
        </is>
      </c>
    </row>
  </sheetData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  <col width="60" customWidth="1" min="4" max="4"/>
    <col width="26" customWidth="1" min="5" max="5"/>
  </cols>
  <sheetData>
    <row r="1">
      <c r="A1" s="113" t="inlineStr">
        <is>
          <t>WHAT HIS LIST GIVES US — new institutions + bureau data points</t>
        </is>
      </c>
    </row>
    <row r="3">
      <c r="A3" s="115" t="inlineStr">
        <is>
          <t>Institution / enrichment</t>
        </is>
      </c>
      <c r="B3" s="115" t="inlineStr">
        <is>
          <t>Verdict</t>
        </is>
      </c>
      <c r="C3" s="115" t="inlineStr">
        <is>
          <t>Data</t>
        </is>
      </c>
      <c r="D3" s="115" t="inlineStr">
        <is>
          <t>Caveats</t>
        </is>
      </c>
      <c r="E3" s="115" t="inlineStr">
        <is>
          <t>Source</t>
        </is>
      </c>
    </row>
    <row r="4">
      <c r="A4" s="121" t="inlineStr">
        <is>
          <t>WaFd Bank</t>
        </is>
      </c>
      <c r="B4" s="131" t="inlineStr">
        <is>
          <t>ADD — gold-grade (self-issued, lenient personal-credit UW, SoCal ex-Luther Burbank branches)</t>
        </is>
      </c>
      <c r="C4" s="121" t="inlineStr">
        <is>
          <t>$15K SL @13.99% DP; fair credit ~580-660 qualifies; $0 AF. Branches: El Segundo, Long Beach, Encino, Toluca Lake</t>
        </is>
      </c>
      <c r="D4" s="121" t="inlineStr">
        <is>
          <t>Apps PAUSED until 6/30/2026 (provider change). Re-verify new issuer ≠ Elan + bureau on relaunch. Chex=YES (Fresh Start page). Mentor TU uncorroborated.</t>
        </is>
      </c>
      <c r="E4" s="121" t="inlineStr">
        <is>
          <t>wafdbank.com; myFICO #6674742</t>
        </is>
      </c>
    </row>
    <row r="5">
      <c r="A5" s="121" t="inlineStr">
        <is>
          <t>Los Angeles Federal CU (LAFCU)</t>
        </is>
      </c>
      <c r="B5" s="131" t="inlineStr">
        <is>
          <t>ADD with eyes open — $50K headline, online card app, easy 10-county FOM</t>
        </is>
      </c>
      <c r="C5" s="121" t="inlineStr">
        <is>
          <t>Business Rewards Platinum Visa ≤$50K, $0 AF, 2x cats; LoansPQ online; membership $8 LACA + $10</t>
        </is>
      </c>
      <c r="D5" s="121" t="inlineStr">
        <is>
          <t>2-FULL-YEARS in business stated on biz-lending page (verify if card-applicable); business membership in-branch; Chex + HARD pull at account opening; conservative human UW (denied 4/24); TU=membership pull, card DP=EX.</t>
        </is>
      </c>
      <c r="E5" s="121" t="inlineStr">
        <is>
          <t>lafcu.org; myFICO #6596415</t>
        </is>
      </c>
    </row>
    <row r="6">
      <c r="A6" s="121" t="inlineStr">
        <is>
          <t>First Western Trust Bank</t>
        </is>
      </c>
      <c r="B6" s="127" t="inlineStr">
        <is>
          <t>DO NOT ADD as target — Elan storefront (loc 17029). Record as NO-GO by extension</t>
        </is>
      </c>
      <c r="C6" s="121" t="inlineStr">
        <is>
          <t>Private trust bank; card via private bankers; Century City office = wealth mgmt only</t>
        </is>
      </c>
      <c r="D6" s="121" t="inlineStr">
        <is>
          <t>Mentor's EQ uncorroborated; Elan program rules apply. Raise the Elan tension with mentor.</t>
        </is>
      </c>
      <c r="E6" s="121" t="inlineStr">
        <is>
          <t>myfw.com/login; MYFW 10-K</t>
        </is>
      </c>
    </row>
    <row r="7">
      <c r="A7" s="121" t="inlineStr">
        <is>
          <t>California Credit Union — bureau enrichment</t>
        </is>
      </c>
      <c r="B7" s="129" t="inlineStr">
        <is>
          <t>DATA ADD — set HP Bureau = Equifax (mentor DP, uncorroborated)</t>
        </is>
      </c>
      <c r="C7" s="121" t="inlineStr">
        <is>
          <t>CW v4 Rec #6 row stands (self-issued, LA, in-person)</t>
        </is>
      </c>
      <c r="D7" s="121" t="inlineStr">
        <is>
          <t>Chex-sensitive (denial DP in your docs).</t>
        </is>
      </c>
      <c r="E7" s="121" t="inlineStr">
        <is>
          <t>mentor list 2026-06</t>
        </is>
      </c>
    </row>
    <row r="8">
      <c r="A8" s="121" t="inlineStr">
        <is>
          <t>Banner Bank — bureau enrichment</t>
        </is>
      </c>
      <c r="B8" s="129" t="inlineStr">
        <is>
          <t>DATA ADD — set HP Bureau = TransUnion (mentor DP, uncorroborated; no public DP exists)</t>
        </is>
      </c>
      <c r="C8" s="121" t="inlineStr">
        <is>
          <t>v3 pick #24 row stands</t>
        </is>
      </c>
      <c r="D8" s="121" t="inlineStr">
        <is>
          <t>Only myFICO thread on it is unanswered (2019).</t>
        </is>
      </c>
      <c r="E8" s="121" t="inlineStr">
        <is>
          <t>mentor list 2026-06</t>
        </is>
      </c>
    </row>
    <row r="9">
      <c r="A9" s="121" t="inlineStr">
        <is>
          <t>Western Alliance — bureau enrichment</t>
        </is>
      </c>
      <c r="B9" s="129" t="inlineStr">
        <is>
          <t>DATA ADD — set HP Bureau = TransUnion (mentor DP, uncorroborated)</t>
        </is>
      </c>
      <c r="C9" s="121" t="inlineStr">
        <is>
          <t>v3 pick #14 row stands (Torrey Pines SD)</t>
        </is>
      </c>
      <c r="D9" s="121" t="inlineStr">
        <is>
          <t>RM-mediated; zero public DPs.</t>
        </is>
      </c>
      <c r="E9" s="121" t="inlineStr">
        <is>
          <t>mentor list 2026-06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34" customWidth="1" min="5" max="5"/>
    <col width="36" customWidth="1" min="6" max="6"/>
    <col width="22" customWidth="1" min="7" max="7"/>
    <col width="24" customWidth="1" min="8" max="8"/>
    <col width="38" customWidth="1" min="9" max="9"/>
    <col width="38" customWidth="1" min="10" max="10"/>
    <col width="18" customWidth="1" min="11" max="11"/>
    <col width="32" customWidth="1" min="12" max="12"/>
  </cols>
  <sheetData>
    <row r="1">
      <c r="A1" s="113" t="inlineStr">
        <is>
          <t>FRESH SoCal NO-DOC HUNT — institutions on NOBODY'S list yet (LA / OC / IE / Coachella / SD) — 2026-06-09</t>
        </is>
      </c>
    </row>
    <row r="2">
      <c r="A2" s="114" t="inlineStr">
        <is>
          <t>Ranked best-first. Issuers decoded via portal tells. Elan/TCM hits reported but flagged NO-GO.</t>
        </is>
      </c>
    </row>
    <row r="4">
      <c r="A4" s="115" t="inlineStr">
        <is>
          <t>#</t>
        </is>
      </c>
      <c r="B4" s="115" t="inlineStr">
        <is>
          <t>Institution</t>
        </is>
      </c>
      <c r="C4" s="115" t="inlineStr">
        <is>
          <t>Type</t>
        </is>
      </c>
      <c r="D4" s="115" t="inlineStr">
        <is>
          <t>SoCal footprint</t>
        </is>
      </c>
      <c r="E4" s="115" t="inlineStr">
        <is>
          <t>Card / product</t>
        </is>
      </c>
      <c r="F4" s="115" t="inlineStr">
        <is>
          <t>Issuer (decoded)</t>
        </is>
      </c>
      <c r="G4" s="115" t="inlineStr">
        <is>
          <t>HP bureau</t>
        </is>
      </c>
      <c r="H4" s="115" t="inlineStr">
        <is>
          <t>Apply</t>
        </is>
      </c>
      <c r="I4" s="115" t="inlineStr">
        <is>
          <t>Membership / gates</t>
        </is>
      </c>
      <c r="J4" s="115" t="inlineStr">
        <is>
          <t>No-doc reality</t>
        </is>
      </c>
      <c r="K4" s="115" t="inlineStr">
        <is>
          <t>Confidence</t>
        </is>
      </c>
      <c r="L4" s="115" t="inlineStr">
        <is>
          <t>Sources</t>
        </is>
      </c>
    </row>
    <row r="5">
      <c r="A5" s="121" t="n">
        <v>1</v>
      </c>
      <c r="B5" s="129" t="inlineStr">
        <is>
          <t>Los Angeles Federal Credit Union (LAFCU)</t>
        </is>
      </c>
      <c r="C5" s="121" t="inlineStr">
        <is>
          <t>SoCal CU</t>
        </is>
      </c>
      <c r="D5" s="121" t="inlineStr">
        <is>
          <t>Glendale HQ; 7 LA County branches</t>
        </is>
      </c>
      <c r="E5" s="121" t="inlineStr">
        <is>
          <t>Business Rewards Platinum Visa — up to $50,000 published, $0 AF, 2x cats</t>
        </is>
      </c>
      <c r="F5" s="121" t="inlineStr">
        <is>
          <t>Self-issued (strong inference: own agreement on lafcu.org, no agent portal)</t>
        </is>
      </c>
      <c r="G5" s="121" t="inlineStr">
        <is>
          <t>N/M (mentor says TU)</t>
        </is>
      </c>
      <c r="H5" s="121" t="inlineStr">
        <is>
          <t>ONLINE (or 877-695-2328 x6495)</t>
        </is>
      </c>
      <c r="I5" s="121" t="inlineStr">
        <is>
          <t>EASY: $8 LA Charitable Assoc donation + $10 deposit; live/work in LA/OC/Riverside/SB/SD/Ventura/Kern/Imperial/SLO/Santa Barbara counties</t>
        </is>
      </c>
      <c r="J5" s="121" t="inlineStr">
        <is>
          <t>PG/personal-credit based. ⚠ CAVEAT: biz-lending page says business must be 2+ full years operating (may apply to card — verify). ⚠ Agent A: ChexSystems + HARD credit pull at deposit-account opening</t>
        </is>
      </c>
      <c r="K5" s="121" t="inlineStr">
        <is>
          <t>HIGH card/limit; MED issuer</t>
        </is>
      </c>
      <c r="L5" s="121" t="inlineStr">
        <is>
          <t>lafcu.org/loans-credit/business-loans; lafcu.org/accounts/credit-union-membership</t>
        </is>
      </c>
    </row>
    <row r="6">
      <c r="A6" s="121" t="n">
        <v>2</v>
      </c>
      <c r="B6" s="129" t="inlineStr">
        <is>
          <t>Enterprise Bank &amp; Trust</t>
        </is>
      </c>
      <c r="C6" s="121" t="inlineStr">
        <is>
          <t>Out-of-state bank (Clayton MO, ~$16B)</t>
        </is>
      </c>
      <c r="D6" s="121" t="inlineStr">
        <is>
          <t>7 SoCal branches: Cerritos, Anaheim, Newport Beach, Glendale, Pasadena, Chula Vista, Encinitas</t>
        </is>
      </c>
      <c r="E6" s="121" t="inlineStr">
        <is>
          <t>Business Rewards / Business Preferred Rewards / Commercial Card Solution (Visa)</t>
        </is>
      </c>
      <c r="F6" s="131" t="inlineStr">
        <is>
          <t>Self-issued on FIS rails (ezcardinfo+ezbusinesscardmanagement+scorecardrewards portals; no Elan/TCM/TIB tells)</t>
        </is>
      </c>
      <c r="G6" s="121" t="inlineStr">
        <is>
          <t>N/M</t>
        </is>
      </c>
      <c r="H6" s="121" t="inlineStr">
        <is>
          <t>Contact-form / RM-mediated (no instant online)</t>
        </is>
      </c>
      <c r="I6" s="121" t="inlineStr">
        <is>
          <t>n/a; deposit not stated as required</t>
        </is>
      </c>
      <c r="J6" s="121" t="inlineStr">
        <is>
          <t>N/M (small-biz tier likely PG-based)</t>
        </is>
      </c>
      <c r="K6" s="121" t="inlineStr">
        <is>
          <t>HIGH branches/products; MED issuer</t>
        </is>
      </c>
      <c r="L6" s="121" t="inlineStr">
        <is>
          <t>enterprisebank.com/business/credit-cards</t>
        </is>
      </c>
    </row>
    <row r="7">
      <c r="A7" s="121" t="n">
        <v>3</v>
      </c>
      <c r="B7" s="129" t="inlineStr">
        <is>
          <t>WaFd Bank</t>
        </is>
      </c>
      <c r="C7" s="121" t="inlineStr">
        <is>
          <t>Out-of-state bank (Seattle; ex-Luther Burbank)</t>
        </is>
      </c>
      <c r="D7" s="121" t="inlineStr">
        <is>
          <t>SoCal: Beverly Hills, Burbank/Toluca Lake, Pasadena (~10 CA branches)</t>
        </is>
      </c>
      <c r="E7" s="121" t="inlineStr">
        <is>
          <t>Small Business Cash Back Visa/Signature ($0 AF) + Commercial Preferred</t>
        </is>
      </c>
      <c r="F7" s="121" t="inlineStr">
        <is>
          <t>SELF-ISSUED (FACT — own cardholder agreement: 'issued by WaFd Bank')</t>
        </is>
      </c>
      <c r="G7" s="121" t="inlineStr">
        <is>
          <t>N/M (mentor says TU). UW verbatim: 'Underwriting is based on your personal credit'; fair credit ~580-660 can qualify (lenient)</t>
        </is>
      </c>
      <c r="H7" s="121" t="inlineStr">
        <is>
          <t>⚠ PAUSED — 'upgrading credit card providers, accepting applications June 30' (2026). RE-VERIFY new provider ≠ Elan when reopened</t>
        </is>
      </c>
      <c r="I7" s="121" t="inlineStr">
        <is>
          <t>n/a</t>
        </is>
      </c>
      <c r="J7" s="121" t="inlineStr">
        <is>
          <t>PG-based personal-credit UW; no tax returns indicated</t>
        </is>
      </c>
      <c r="K7" s="121" t="inlineStr">
        <is>
          <t>HIGH</t>
        </is>
      </c>
      <c r="L7" s="121" t="inlineStr">
        <is>
          <t>wafdbank.com/business-banking/business-credit-cards/small-business-credit-card; myFICO #6674742</t>
        </is>
      </c>
    </row>
    <row r="8">
      <c r="A8" s="121" t="n">
        <v>4</v>
      </c>
      <c r="B8" s="129" t="inlineStr">
        <is>
          <t>America's Christian Credit Union (ACCU)</t>
        </is>
      </c>
      <c r="C8" s="121" t="inlineStr">
        <is>
          <t>SoCal CU</t>
        </is>
      </c>
      <c r="D8" s="121" t="inlineStr">
        <is>
          <t>Glendora (LA County); serves nationally</t>
        </is>
      </c>
      <c r="E8" s="121" t="inlineStr">
        <is>
          <t>Ministry/Business Visa Rewards — $0 AF, 1.5x-5x pts, up to 32,500-pt bonus</t>
        </is>
      </c>
      <c r="F8" s="131" t="inlineStr">
        <is>
          <t>Self-issued, PSCU-serviced (FACT — dxonline.pscu.com portal; no Elan/TCM)</t>
        </is>
      </c>
      <c r="G8" s="121" t="inlineStr">
        <is>
          <t>N/M</t>
        </is>
      </c>
      <c r="H8" s="121" t="inlineStr">
        <is>
          <t>RM consultation (HubSpot link), not instant online</t>
        </is>
      </c>
      <c r="I8" s="121" t="inlineStr">
        <is>
          <t>Faith-based FOM: Christian churches/ministries/individuals; sole props need personal membership</t>
        </is>
      </c>
      <c r="J8" s="121" t="inlineStr">
        <is>
          <t>N/M (RM-mediated)</t>
        </is>
      </c>
      <c r="K8" s="121" t="inlineStr">
        <is>
          <t>HIGH issuer/card</t>
        </is>
      </c>
      <c r="L8" s="121" t="inlineStr">
        <is>
          <t>americaschristiancu.com/organization/visa-business-rewards-credit-card/</t>
        </is>
      </c>
    </row>
    <row r="9">
      <c r="A9" s="121" t="n">
        <v>5</v>
      </c>
      <c r="B9" s="121" t="inlineStr">
        <is>
          <t>Flagstar Bank (FNBO agent)</t>
        </is>
      </c>
      <c r="C9" s="121" t="inlineStr">
        <is>
          <t>Out-of-state bank (NY)</t>
        </is>
      </c>
      <c r="D9" s="121" t="inlineStr">
        <is>
          <t>Inland Empire: Victorville x3, Apple Valley, Hesperia (ex-Desert Community Bank)</t>
        </is>
      </c>
      <c r="E9" s="121" t="inlineStr">
        <is>
          <t>Business Visa suite incl. Business Edition Secured ($2K-$10K self-set)</t>
        </is>
      </c>
      <c r="F9" s="131" t="inlineStr">
        <is>
          <t>FNBO (FACT) — non-Elan/non-TCM agent tier</t>
        </is>
      </c>
      <c r="G9" s="121" t="inlineStr">
        <is>
          <t>Experian (FNBO typical; inference)</t>
        </is>
      </c>
      <c r="H9" s="121" t="inlineStr">
        <is>
          <t>ONLINE — card.fnbo.com/mpp/fi/flagstar/business/web-visa</t>
        </is>
      </c>
      <c r="I9" s="121" t="inlineStr">
        <is>
          <t>No deposit acct required for card</t>
        </is>
      </c>
      <c r="J9" s="121" t="inlineStr">
        <is>
          <t>FNBO agent = PG/personal-credit, no tax returns (platform norm)</t>
        </is>
      </c>
      <c r="K9" s="121" t="inlineStr">
        <is>
          <t>HIGH issuer/branches</t>
        </is>
      </c>
      <c r="L9" s="121" t="inlineStr">
        <is>
          <t>flagstar.com/small-business/bank/credit-cards.html</t>
        </is>
      </c>
    </row>
    <row r="10">
      <c r="A10" s="121" t="n">
        <v>6</v>
      </c>
      <c r="B10" s="121" t="inlineStr">
        <is>
          <t>Woori America Bank</t>
        </is>
      </c>
      <c r="C10" s="121" t="inlineStr">
        <is>
          <t>Out-of-state bank (NY; Woori Korea)</t>
        </is>
      </c>
      <c r="D10" s="121" t="inlineStr">
        <is>
          <t>6 SoCal branches: LA Koreatown x2, Buena Park x2, Irvine, Torrance</t>
        </is>
      </c>
      <c r="E10" s="121" t="inlineStr">
        <is>
          <t>Business Rewards Visa + Business SECURED Rewards (new-entity fallback), 1pt/$1</t>
        </is>
      </c>
      <c r="F10" s="121" t="inlineStr">
        <is>
          <t>Self-issue (inference: CFPB TCCP lists under own name)</t>
        </is>
      </c>
      <c r="G10" s="121" t="inlineStr">
        <is>
          <t>N/M</t>
        </is>
      </c>
      <c r="H10" s="121" t="inlineStr">
        <is>
          <t>Branch only</t>
        </is>
      </c>
      <c r="I10" s="121" t="inlineStr">
        <is>
          <t>Deposit relationship not stated but Korean-community banks typically expect one (inference)</t>
        </is>
      </c>
      <c r="J10" s="121" t="inlineStr">
        <is>
          <t>N/M</t>
        </is>
      </c>
      <c r="K10" s="121" t="inlineStr">
        <is>
          <t>MED</t>
        </is>
      </c>
      <c r="L10" s="121" t="inlineStr">
        <is>
          <t>wooriamericabank.com/Business-Credit-Cards</t>
        </is>
      </c>
    </row>
    <row r="11">
      <c r="A11" s="121" t="n">
        <v>7</v>
      </c>
      <c r="B11" s="121" t="inlineStr">
        <is>
          <t>Navy Federal Credit Union</t>
        </is>
      </c>
      <c r="C11" s="121" t="inlineStr">
        <is>
          <t>National CU (Vienna VA)</t>
        </is>
      </c>
      <c r="D11" s="121" t="inlineStr">
        <is>
          <t>Massive SoCal footprint (SD/Oceanside, LA/OC/IE)</t>
        </is>
      </c>
      <c r="E11" s="121" t="inlineStr">
        <is>
          <t>GO BIZ Rewards Mastercard ($0 AF)</t>
        </is>
      </c>
      <c r="F11" s="121" t="inlineStr">
        <is>
          <t>Self</t>
        </is>
      </c>
      <c r="G11" s="121" t="inlineStr">
        <is>
          <t>TransUnion typical (inference)</t>
        </is>
      </c>
      <c r="H11" s="121" t="inlineStr">
        <is>
          <t>Online after business membership</t>
        </is>
      </c>
      <c r="I11" s="121" t="inlineStr">
        <is>
          <t>GATE: military/veteran/DoD/family only; then 1yr member tenure OR 24mo in business</t>
        </is>
      </c>
      <c r="J11" s="121" t="inlineStr">
        <is>
          <t>Income/credit reviewed; typically no tax returns (MED)</t>
        </is>
      </c>
      <c r="K11" s="121" t="inlineStr">
        <is>
          <t>MED-HIGH</t>
        </is>
      </c>
      <c r="L11" s="121" t="inlineStr">
        <is>
          <t>navyfederal.org/services/business/credit-cards.html</t>
        </is>
      </c>
    </row>
    <row r="12">
      <c r="A12" s="121" t="n">
        <v>8</v>
      </c>
      <c r="B12" s="121" t="inlineStr">
        <is>
          <t>Eagle Community Credit Union</t>
        </is>
      </c>
      <c r="C12" s="121" t="inlineStr">
        <is>
          <t>SoCal CU</t>
        </is>
      </c>
      <c r="D12" s="121" t="inlineStr">
        <is>
          <t>Lake Forest (OC); FOM = live/work Orange OR Riverside County</t>
        </is>
      </c>
      <c r="E12" s="121" t="inlineStr">
        <is>
          <t>Business Rewards Mastercard — FIXED 12.99% APR, $0 AF</t>
        </is>
      </c>
      <c r="F12" s="121" t="inlineStr">
        <is>
          <t>N/M (likely self/CUSO; no agent portal found)</t>
        </is>
      </c>
      <c r="G12" s="121" t="inlineStr">
        <is>
          <t>N/M</t>
        </is>
      </c>
      <c r="H12" s="121" t="inlineStr">
        <is>
          <t>Email BusinessAccounts@EagleCU.org / branch</t>
        </is>
      </c>
      <c r="I12" s="121" t="inlineStr">
        <is>
          <t>Premier Business Checking $100 min</t>
        </is>
      </c>
      <c r="J12" s="121" t="inlineStr">
        <is>
          <t>N/M</t>
        </is>
      </c>
      <c r="K12" s="121" t="inlineStr">
        <is>
          <t>MED</t>
        </is>
      </c>
      <c r="L12" s="121" t="inlineStr">
        <is>
          <t>eaglecu.org/business</t>
        </is>
      </c>
    </row>
    <row r="13">
      <c r="A13" s="121" t="n">
        <v>9</v>
      </c>
      <c r="B13" s="121" t="inlineStr">
        <is>
          <t>Shinhan Bank America</t>
        </is>
      </c>
      <c r="C13" s="121" t="inlineStr">
        <is>
          <t>Out-of-state bank (NY)</t>
        </is>
      </c>
      <c r="D13" s="121" t="inlineStr">
        <is>
          <t>5 CA branches: LA Koreatown, Buena Park, Irvine, San Diego</t>
        </is>
      </c>
      <c r="E13" s="121" t="inlineStr">
        <is>
          <t>Business credit card exists</t>
        </is>
      </c>
      <c r="F13" s="121" t="inlineStr">
        <is>
          <t>N/M (site blocks fetch)</t>
        </is>
      </c>
      <c r="G13" s="121" t="inlineStr">
        <is>
          <t>N/M</t>
        </is>
      </c>
      <c r="H13" s="121" t="inlineStr">
        <is>
          <t>Branch</t>
        </is>
      </c>
      <c r="I13" s="121" t="inlineStr">
        <is>
          <t>GATE: primary banking relationship (deposit or loan) required first</t>
        </is>
      </c>
      <c r="J13" s="121" t="inlineStr">
        <is>
          <t>N/M</t>
        </is>
      </c>
      <c r="K13" s="121" t="inlineStr">
        <is>
          <t>MED card-exists</t>
        </is>
      </c>
      <c r="L13" s="121" t="inlineStr">
        <is>
          <t>shbamerica.com/business-credit-card/</t>
        </is>
      </c>
    </row>
    <row r="14">
      <c r="A14" s="121" t="n">
        <v>10</v>
      </c>
      <c r="B14" s="121" t="inlineStr">
        <is>
          <t>Wallis Bank</t>
        </is>
      </c>
      <c r="C14" s="121" t="inlineStr">
        <is>
          <t>Out-of-state bank (Houston TX)</t>
        </is>
      </c>
      <c r="D14" s="121" t="inlineStr">
        <is>
          <t>LA branch: 855 Wall St, downtown LA</t>
        </is>
      </c>
      <c r="E14" s="121" t="inlineStr">
        <is>
          <t>Visa Business Credit Card, $0 AF</t>
        </is>
      </c>
      <c r="F14" s="131" t="inlineStr">
        <is>
          <t>UNRESOLVED — both ezcardinfo (FIS/self) and mycardstatement (TCM tell) surfaced; ONE PHONE CALL settles it; if TCM → NO-GO</t>
        </is>
      </c>
      <c r="G14" s="121" t="inlineStr">
        <is>
          <t>N/M</t>
        </is>
      </c>
      <c r="H14" s="121" t="inlineStr">
        <is>
          <t>Branch/contact</t>
        </is>
      </c>
      <c r="I14" s="121" t="inlineStr">
        <is>
          <t>n/a</t>
        </is>
      </c>
      <c r="J14" s="121" t="inlineStr">
        <is>
          <t>N/M</t>
        </is>
      </c>
      <c r="K14" s="121" t="inlineStr">
        <is>
          <t>LOW-MED</t>
        </is>
      </c>
      <c r="L14" s="121" t="inlineStr">
        <is>
          <t>wallisbank.com/visa-business-credit-cards/</t>
        </is>
      </c>
    </row>
    <row r="15">
      <c r="A15" s="135" t="inlineStr">
        <is>
          <t>FINTECH NO-PG LANE (no personal pull; cash-flow underwritten) — June 2026 reality</t>
        </is>
      </c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  <c r="L15" s="118" t="n"/>
    </row>
    <row r="16">
      <c r="A16" s="121" t="inlineStr">
        <is>
          <t>—</t>
        </is>
      </c>
      <c r="B16" s="121" t="inlineStr">
        <is>
          <t>Mercury IO</t>
        </is>
      </c>
      <c r="C16" s="121" t="inlineStr">
        <is>
          <t>Fintech corporate card</t>
        </is>
      </c>
      <c r="D16" s="121" t="inlineStr">
        <is>
          <t>Nationwide (CA LLCs ok)</t>
        </is>
      </c>
      <c r="E16" s="121" t="inlineStr">
        <is>
          <t>Charge/corporate card</t>
        </is>
      </c>
      <c r="F16" s="121" t="inlineStr">
        <is>
          <t>Patriot Bank N.A. (MC)</t>
        </is>
      </c>
      <c r="G16" s="121" t="inlineStr">
        <is>
          <t>None (no personal pull)</t>
        </is>
      </c>
      <c r="H16" s="121" t="inlineStr">
        <is>
          <t>Online</t>
        </is>
      </c>
      <c r="I16" s="121" t="inlineStr">
        <is>
          <t>EASIEST entry: no minimum to apply; intro ~$5K cash-underwritten w/ DAILY autopay; $15K+ Mercury balance unlocks real limits</t>
        </is>
      </c>
      <c r="J16" s="121" t="inlineStr">
        <is>
          <t>None / no personal pull</t>
        </is>
      </c>
      <c r="K16" s="121" t="inlineStr">
        <is>
          <t>—</t>
        </is>
      </c>
      <c r="L16" s="121" t="inlineStr">
        <is>
          <t>see agent research</t>
        </is>
      </c>
    </row>
    <row r="17">
      <c r="A17" s="121" t="inlineStr">
        <is>
          <t>—</t>
        </is>
      </c>
      <c r="B17" s="121" t="inlineStr">
        <is>
          <t>Ramp</t>
        </is>
      </c>
      <c r="C17" s="121" t="inlineStr">
        <is>
          <t>Fintech corporate card</t>
        </is>
      </c>
      <c r="D17" s="121" t="inlineStr">
        <is>
          <t>Nationwide (CA LLCs ok)</t>
        </is>
      </c>
      <c r="E17" s="121" t="inlineStr">
        <is>
          <t>Charge/corporate card</t>
        </is>
      </c>
      <c r="F17" s="121" t="inlineStr">
        <is>
          <t>Celtic Bank (Visa)</t>
        </is>
      </c>
      <c r="G17" s="121" t="inlineStr">
        <is>
          <t>None (no personal pull)</t>
        </is>
      </c>
      <c r="H17" s="121" t="inlineStr">
        <is>
          <t>Online</t>
        </is>
      </c>
      <c r="I17" s="121" t="inlineStr">
        <is>
          <t>$25K min in any US business bank account (was $75K); LLC OK; no time-in-business/revenue minimum</t>
        </is>
      </c>
      <c r="J17" s="121" t="inlineStr">
        <is>
          <t>None / none</t>
        </is>
      </c>
      <c r="K17" s="121" t="inlineStr">
        <is>
          <t>—</t>
        </is>
      </c>
      <c r="L17" s="121" t="inlineStr">
        <is>
          <t>see agent research</t>
        </is>
      </c>
    </row>
    <row r="18">
      <c r="A18" s="121" t="inlineStr">
        <is>
          <t>—</t>
        </is>
      </c>
      <c r="B18" s="121" t="inlineStr">
        <is>
          <t>Rho</t>
        </is>
      </c>
      <c r="C18" s="121" t="inlineStr">
        <is>
          <t>Fintech corporate card</t>
        </is>
      </c>
      <c r="D18" s="121" t="inlineStr">
        <is>
          <t>Nationwide (CA LLCs ok)</t>
        </is>
      </c>
      <c r="E18" s="121" t="inlineStr">
        <is>
          <t>Charge/corporate card</t>
        </is>
      </c>
      <c r="F18" s="121" t="inlineStr">
        <is>
          <t>Webster Bank N.A. (MC)</t>
        </is>
      </c>
      <c r="G18" s="121" t="inlineStr">
        <is>
          <t>None (no personal pull)</t>
        </is>
      </c>
      <c r="H18" s="121" t="inlineStr">
        <is>
          <t>Online</t>
        </is>
      </c>
      <c r="I18" s="121" t="inlineStr">
        <is>
          <t>Corp/LLC/LP only (no sole props); underwrites on raised capital + cash — unfunded LLC gets little</t>
        </is>
      </c>
      <c r="J18" s="121" t="inlineStr">
        <is>
          <t>None / none</t>
        </is>
      </c>
      <c r="K18" s="121" t="inlineStr">
        <is>
          <t>—</t>
        </is>
      </c>
      <c r="L18" s="121" t="inlineStr">
        <is>
          <t>see agent research</t>
        </is>
      </c>
    </row>
    <row r="19">
      <c r="A19" s="121" t="inlineStr">
        <is>
          <t>—</t>
        </is>
      </c>
      <c r="B19" s="121" t="inlineStr">
        <is>
          <t>BILL Divvy</t>
        </is>
      </c>
      <c r="C19" s="121" t="inlineStr">
        <is>
          <t>Fintech corporate card</t>
        </is>
      </c>
      <c r="D19" s="121" t="inlineStr">
        <is>
          <t>Nationwide (CA LLCs ok)</t>
        </is>
      </c>
      <c r="E19" s="121" t="inlineStr">
        <is>
          <t>Charge/corporate card</t>
        </is>
      </c>
      <c r="F19" s="121" t="inlineStr">
        <is>
          <t>Cross River/WEX (Visa)</t>
        </is>
      </c>
      <c r="G19" s="121" t="inlineStr">
        <is>
          <t>⚠ PG AMBIGUITY — recent reports: signer liable + personal score asked</t>
        </is>
      </c>
      <c r="H19" s="121" t="inlineStr">
        <is>
          <t>Online</t>
        </is>
      </c>
      <c r="I19" s="121" t="inlineStr">
        <is>
          <t>~$20K biz checking typical, 3+ months operating; weakest no-PG claim</t>
        </is>
      </c>
      <c r="J19" s="121" t="inlineStr">
        <is>
          <t>⚠ PG AMBIGUITY — recent reports: signer liable + personal score asked</t>
        </is>
      </c>
      <c r="K19" s="121" t="inlineStr">
        <is>
          <t>—</t>
        </is>
      </c>
      <c r="L19" s="121" t="inlineStr">
        <is>
          <t>see agent research</t>
        </is>
      </c>
    </row>
    <row r="20">
      <c r="A20" s="121" t="inlineStr">
        <is>
          <t>—</t>
        </is>
      </c>
      <c r="B20" s="127" t="inlineStr">
        <is>
          <t>Brex</t>
        </is>
      </c>
      <c r="C20" s="121" t="inlineStr">
        <is>
          <t>Fintech corporate card</t>
        </is>
      </c>
      <c r="D20" s="121" t="inlineStr">
        <is>
          <t>Nationwide (CA LLCs ok)</t>
        </is>
      </c>
      <c r="E20" s="121" t="inlineStr">
        <is>
          <t>Charge/corporate card</t>
        </is>
      </c>
      <c r="F20" s="121" t="inlineStr">
        <is>
          <t>Emigrant Bank (MC) — NOW CAPITAL ONE-OWNED (closed 2026-04-07)</t>
        </is>
      </c>
      <c r="G20" s="121" t="inlineStr">
        <is>
          <t>None (no personal pull)</t>
        </is>
      </c>
      <c r="H20" s="121" t="inlineStr">
        <is>
          <t>Online</t>
        </is>
      </c>
      <c r="I20" s="121" t="inlineStr">
        <is>
          <t>❌ effectively OUT: $50K cash floor min; parent now a NO-GO (Capital One)</t>
        </is>
      </c>
      <c r="J20" s="121" t="inlineStr">
        <is>
          <t>None / none</t>
        </is>
      </c>
      <c r="K20" s="121" t="inlineStr">
        <is>
          <t>—</t>
        </is>
      </c>
      <c r="L20" s="121" t="inlineStr">
        <is>
          <t>see agent research</t>
        </is>
      </c>
    </row>
    <row r="21">
      <c r="A21" s="121" t="inlineStr">
        <is>
          <t>—</t>
        </is>
      </c>
      <c r="B21" s="127" t="inlineStr">
        <is>
          <t>Torpago direct</t>
        </is>
      </c>
      <c r="C21" s="121" t="inlineStr">
        <is>
          <t>Fintech corporate card</t>
        </is>
      </c>
      <c r="D21" s="121" t="inlineStr">
        <is>
          <t>Nationwide (CA LLCs ok)</t>
        </is>
      </c>
      <c r="E21" s="121" t="inlineStr">
        <is>
          <t>Charge/corporate card</t>
        </is>
      </c>
      <c r="F21" s="121" t="inlineStr">
        <is>
          <t>(Sunwest rails)</t>
        </is>
      </c>
      <c r="G21" s="121" t="inlineStr">
        <is>
          <t>—</t>
        </is>
      </c>
      <c r="H21" s="121" t="inlineStr">
        <is>
          <t>Online</t>
        </is>
      </c>
      <c r="I21" s="121" t="inlineStr">
        <is>
          <t>CLOSED to new direct apps — route is Sunwest Visionary (already on list)</t>
        </is>
      </c>
      <c r="J21" s="121" t="inlineStr">
        <is>
          <t>—</t>
        </is>
      </c>
      <c r="K21" s="121" t="inlineStr">
        <is>
          <t>—</t>
        </is>
      </c>
      <c r="L21" s="121" t="inlineStr">
        <is>
          <t>see agent research</t>
        </is>
      </c>
    </row>
    <row r="22">
      <c r="A22" s="136" t="inlineStr">
        <is>
          <t>FLAGS: Water &amp; Power Community CU = ELAN (verbatim disclosure + myaccountaccess) → NO-GO by extension  •  Brex = Capital One-owned since 2026-04-07 → NO-GO by extension  •  FirstBank (CO) Coachella Valley branches + card accounts SOLD to California Bank &amp; Trust (Mar 2025) → CB&amp;T covers Coachella now  •  Sunflower/First Foundation: card program confirmed live post-merger; pre-merger Card Assets program — pages 403'd; one phone call to re-verify  •  First Western Trust (Denver): single Century City WEALTH office; NO retail biz card found (don't confuse w/ First Western Bank &amp; Trust, Minot ND) — pending Agent B final verdict</t>
        </is>
      </c>
    </row>
    <row r="23">
      <c r="A23" s="137" t="inlineStr">
        <is>
          <t>VERIFIED DEAD-ENDS (don't re-hunt): Orange County's CU (biz banking yes, card NO) · USC CU · UNIFY (merged into CommunityAmerica 11/2025) · F&amp;A FCU · Foothill CU · MyPoint CU · Southland CU · Visterra (acquired by Altura) · San Diego Metropolitan CU (defunct) · VCCU · CBC FCU · Camino FCU · First Interstate/Simmons/Cadence/Washington Trust (no CA branches)</t>
        </is>
      </c>
    </row>
  </sheetData>
  <mergeCells count="5">
    <mergeCell ref="A2:L2"/>
    <mergeCell ref="A15:L15"/>
    <mergeCell ref="A1:L1"/>
    <mergeCell ref="A23:L23"/>
    <mergeCell ref="A22:L22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6" customWidth="1" min="2" max="2"/>
    <col width="40" customWidth="1" min="3" max="3"/>
    <col width="52" customWidth="1" min="4" max="4"/>
    <col width="34" customWidth="1" min="5" max="5"/>
  </cols>
  <sheetData>
    <row r="1">
      <c r="A1" s="113" t="inlineStr">
        <is>
          <t>EWS / CHEXSYSTEMS REFERENCE — 27 institutions; doc-sourced vs web-sourced kept separate</t>
        </is>
      </c>
    </row>
    <row r="2">
      <c r="A2" s="114" t="inlineStr">
        <is>
          <t>Your docs: 'EWS doctor of credit.txt' + 2 chex files (DoC page last updated 2025-08-07; EWS list is 2016-vintage + DPs). Web: independent research 2026-06-09. N/M = not found — treat EWS N/M as 'probably reports to, may not screen with'.</t>
        </is>
      </c>
    </row>
    <row r="4">
      <c r="A4" s="115" t="inlineStr">
        <is>
          <t>Institution</t>
        </is>
      </c>
      <c r="B4" s="115" t="inlineStr">
        <is>
          <t>ChexSystems — your DoC docs</t>
        </is>
      </c>
      <c r="C4" s="115" t="inlineStr">
        <is>
          <t>EWS — your DoC docs</t>
        </is>
      </c>
      <c r="D4" s="115" t="inlineStr">
        <is>
          <t>ChexSystems — web (independent)</t>
        </is>
      </c>
      <c r="E4" s="115" t="inlineStr">
        <is>
          <t>EWS — web (independent)</t>
        </is>
      </c>
    </row>
    <row r="5">
      <c r="A5" s="131" t="inlineStr">
        <is>
          <t>PNC Bank</t>
        </is>
      </c>
      <c r="B5" s="121" t="inlineStr">
        <is>
          <t>MIXED (DoC sec 3.14 'Mixed Data Points'; old fatwallet pull DPs + 2024-25 'did NOT pull' DP)</t>
        </is>
      </c>
      <c r="C5" s="121" t="inlineStr">
        <is>
          <t>YES — heavy (DoC: 'Does pull: 1,2,3,4,5'; reports incl. balance info; 'PNC, BofA, KeyBank are EWS sensitive')</t>
        </is>
      </c>
      <c r="D5" s="121" t="inlineStr">
        <is>
          <t>MIXED [agg] (DoC 'Mixed DPs'; crediful: standard accts Chex-screened). Bank On products (Foundation Checking) = no Chex review</t>
        </is>
      </c>
      <c r="E5" s="121" t="inlineStr">
        <is>
          <t>YES [agg+DP] — EWS-primary (PNC co-owns EWS); myFICO denial DP</t>
        </is>
      </c>
    </row>
    <row r="6">
      <c r="A6" s="138" t="inlineStr">
        <is>
          <t>KeyBank</t>
        </is>
      </c>
      <c r="B6" s="121" t="inlineStr">
        <is>
          <t>YES pulls (DoC sec 1.184 + 2026 DP)</t>
        </is>
      </c>
      <c r="C6" s="121" t="inlineStr">
        <is>
          <t>MIXED ('Doesn't pull:1 / Does pull:1,2'; 'EWS sensitive' comment Jun 2025)</t>
        </is>
      </c>
      <c r="D6" s="121" t="inlineStr">
        <is>
          <t>YES [agg] (DoC does-pull, 10 DPs; recent ones pull)</t>
        </is>
      </c>
      <c r="E6" s="121" t="inlineStr">
        <is>
          <t>MIXED [agg] (old DoC DPs 1-no/2-yes; 'EWS sensitive')</t>
        </is>
      </c>
    </row>
    <row r="7">
      <c r="A7" s="138" t="inlineStr">
        <is>
          <t>BMO Bank</t>
        </is>
      </c>
      <c r="B7" s="121" t="inlineStr">
        <is>
          <t>YES pulls (DoC 'BMO Harris' sec 1.38; Oct2025-Mar2026 DP 'BMO BANK N.A. (online)')</t>
        </is>
      </c>
      <c r="C7" s="121" t="inlineStr">
        <is>
          <t>YES — reports to EWS (Dec 2025 DPs: open date+status, no balances; in EWS bank list)</t>
        </is>
      </c>
      <c r="D7" s="121" t="inlineStr">
        <is>
          <t>YES [agg] (DoC does-pull, 18 DPs — heaviest confirmed)</t>
        </is>
      </c>
      <c r="E7" s="121" t="inlineStr">
        <is>
          <t>N/M (web) — but provided docs show it reports to EWS</t>
        </is>
      </c>
    </row>
    <row r="8">
      <c r="A8" s="138" t="inlineStr">
        <is>
          <t>First Citizens Bank</t>
        </is>
      </c>
      <c r="B8" s="121" t="inlineStr">
        <is>
          <t>YES pulls (DoC sec 1.126 + all-caps pull list)</t>
        </is>
      </c>
      <c r="C8" s="121" t="inlineStr">
        <is>
          <t>LISTED in EWS bank list (appears in EWS reports)</t>
        </is>
      </c>
      <c r="D8" s="121" t="inlineStr">
        <is>
          <t>YES [agg] (DoC does-pull, 1 DP — thin but unrefuted)</t>
        </is>
      </c>
      <c r="E8" s="121" t="inlineStr">
        <is>
          <t>N/M</t>
        </is>
      </c>
    </row>
    <row r="9">
      <c r="A9" s="129" t="inlineStr">
        <is>
          <t>Western Alliance Bank</t>
        </is>
      </c>
      <c r="B9" s="121" t="inlineStr">
        <is>
          <t>Not mentioned in provided docs</t>
        </is>
      </c>
      <c r="C9" s="121" t="inlineStr">
        <is>
          <t>Not mentioned</t>
        </is>
      </c>
      <c r="D9" s="121" t="inlineStr">
        <is>
          <t>N/M — no published evidence; manual-KYC onboarding [inf]</t>
        </is>
      </c>
      <c r="E9" s="121" t="inlineStr">
        <is>
          <t>N/M</t>
        </is>
      </c>
    </row>
    <row r="10">
      <c r="A10" s="138" t="inlineStr">
        <is>
          <t>WaFd Bank</t>
        </is>
      </c>
      <c r="B10" s="121" t="inlineStr">
        <is>
          <t>YES pulls — DP Aug 2021 'Did pull chex: ... Washington Federal'</t>
        </is>
      </c>
      <c r="C10" s="121" t="inlineStr">
        <is>
          <t>Not mentioned</t>
        </is>
      </c>
      <c r="D10" s="121" t="inlineStr">
        <is>
          <t>YES [bank] — Fresh Start page exists for Chex-burned applicants (Bank On certified; 12mo → full products)</t>
        </is>
      </c>
      <c r="E10" s="121" t="inlineStr">
        <is>
          <t>N/M</t>
        </is>
      </c>
    </row>
    <row r="11">
      <c r="A11" s="138" t="inlineStr">
        <is>
          <t>Banner Bank</t>
        </is>
      </c>
      <c r="B11" s="121" t="inlineStr">
        <is>
          <t>YES pulls — DP Nov 2022 'Did Pull: Banner Bank'</t>
        </is>
      </c>
      <c r="C11" s="121" t="inlineStr">
        <is>
          <t>Not mentioned</t>
        </is>
      </c>
      <c r="D11" s="121" t="inlineStr">
        <is>
          <t>YES [agg] (unchex: uses Chex, inquiry-sensitive; OK if you owe bank nothing)</t>
        </is>
      </c>
      <c r="E11" s="121" t="inlineStr">
        <is>
          <t>N/M</t>
        </is>
      </c>
    </row>
    <row r="12">
      <c r="A12" s="138" t="inlineStr">
        <is>
          <t>Valley National Bank</t>
        </is>
      </c>
      <c r="B12" s="121" t="inlineStr">
        <is>
          <t>YES pulls — multiple comment DPs (2025-2026, checking; existing customer too)</t>
        </is>
      </c>
      <c r="C12" s="121" t="inlineStr">
        <is>
          <t>Not mentioned</t>
        </is>
      </c>
      <c r="D12" s="121" t="inlineStr">
        <is>
          <t>YES [agg+DP] — online apps Chex-SENSITIVE; in-branch more lenient</t>
        </is>
      </c>
      <c r="E12" s="121" t="inlineStr">
        <is>
          <t>N/M</t>
        </is>
      </c>
    </row>
    <row r="13">
      <c r="A13" s="129" t="inlineStr">
        <is>
          <t>First Western Trust</t>
        </is>
      </c>
      <c r="B13" s="121" t="inlineStr">
        <is>
          <t>Not mentioned in provided docs</t>
        </is>
      </c>
      <c r="C13" s="121" t="inlineStr">
        <is>
          <t>Not mentioned</t>
        </is>
      </c>
      <c r="D13" s="121" t="inlineStr">
        <is>
          <t>N/M — private/trust bank, nothing published</t>
        </is>
      </c>
      <c r="E13" s="121" t="inlineStr">
        <is>
          <t>N/M</t>
        </is>
      </c>
    </row>
    <row r="14">
      <c r="A14" s="138" t="inlineStr">
        <is>
          <t>California Bank &amp; Trust</t>
        </is>
      </c>
      <c r="B14" s="121" t="inlineStr">
        <is>
          <t>Not mentioned (no CB&amp;T/Zions entry)</t>
        </is>
      </c>
      <c r="C14" s="121" t="inlineStr">
        <is>
          <t>Not mentioned</t>
        </is>
      </c>
      <c r="D14" s="121" t="inlineStr">
        <is>
          <t>LIKELY YES [inf from Zions disclosure PDF: 'unsatisfactory ChexSystems record' → Fresh Start product 12mo]; CB&amp;T site silent</t>
        </is>
      </c>
      <c r="E14" s="121" t="inlineStr">
        <is>
          <t>N/M</t>
        </is>
      </c>
    </row>
    <row r="15">
      <c r="A15" s="129" t="inlineStr">
        <is>
          <t>Sunwest Bank</t>
        </is>
      </c>
      <c r="B15" s="121" t="inlineStr">
        <is>
          <t>Not mentioned</t>
        </is>
      </c>
      <c r="C15" s="121" t="inlineStr">
        <is>
          <t>Not mentioned</t>
        </is>
      </c>
      <c r="D15" s="121" t="inlineStr">
        <is>
          <t>N/M — business-focused, nothing published</t>
        </is>
      </c>
      <c r="E15" s="121" t="inlineStr">
        <is>
          <t>N/M</t>
        </is>
      </c>
    </row>
    <row r="16">
      <c r="A16" s="129" t="inlineStr">
        <is>
          <t>Tustin Community Bank</t>
        </is>
      </c>
      <c r="B16" s="121" t="inlineStr">
        <is>
          <t>Not mentioned</t>
        </is>
      </c>
      <c r="C16" s="121" t="inlineStr">
        <is>
          <t>Not mentioned</t>
        </is>
      </c>
      <c r="D16" s="121" t="inlineStr">
        <is>
          <t>N/M — tiny single-branch biz bank, nothing published</t>
        </is>
      </c>
      <c r="E16" s="121" t="inlineStr">
        <is>
          <t>N/M</t>
        </is>
      </c>
    </row>
    <row r="17">
      <c r="A17" s="138" t="inlineStr">
        <is>
          <t>City National Bank (LA)</t>
        </is>
      </c>
      <c r="B17" s="121" t="inlineStr">
        <is>
          <t>⚠ DoC 'City National Bank' entry = the WEST VIRGINIA bank (pulls Chex, no EWS) — NOT LA's City National. LA entity: not listed</t>
        </is>
      </c>
      <c r="C17" s="121" t="inlineStr">
        <is>
          <t>⚠ same entity mismatch — 'City National Bank WV doesn't pull EWS' is the WV bank</t>
        </is>
      </c>
      <c r="D17" s="121" t="inlineStr">
        <is>
          <t>N/M — STRONGEST documented no-footprint: own personal+business deposit agreements name ZERO Chex/EWS (pdftotext-verified 2026-06-09). Aggregator 'yes' rows = City National WV (different bank)</t>
        </is>
      </c>
      <c r="E17" s="121" t="inlineStr">
        <is>
          <t>N/M (DoC 'doesn't pull EWS' row = WV bank)</t>
        </is>
      </c>
    </row>
    <row r="18">
      <c r="A18" s="129" t="inlineStr">
        <is>
          <t>CalPrivate Bank</t>
        </is>
      </c>
      <c r="B18" s="121" t="inlineStr">
        <is>
          <t>Not mentioned</t>
        </is>
      </c>
      <c r="C18" s="121" t="inlineStr">
        <is>
          <t>Not mentioned</t>
        </is>
      </c>
      <c r="D18" s="121" t="inlineStr">
        <is>
          <t>N/M — private bank, nothing published</t>
        </is>
      </c>
      <c r="E18" s="121" t="inlineStr">
        <is>
          <t>N/M</t>
        </is>
      </c>
    </row>
    <row r="19">
      <c r="A19" s="138" t="inlineStr">
        <is>
          <t>First Foundation Bank (Sunflower)</t>
        </is>
      </c>
      <c r="B19" s="121" t="inlineStr">
        <is>
          <t>Pre-merger DP Mar 2025: 'First Foundation Bank does NOT pull Chex for savings or checking'. BUT new charter 'Sunflower Bank' IS in DoC do-pull section — post-merger behavior may change</t>
        </is>
      </c>
      <c r="C19" s="121" t="inlineStr">
        <is>
          <t>DP Apr 2021: First Foundation appeared in EWS Inquiries list (did EWS inquiry)</t>
        </is>
      </c>
      <c r="D19" s="121" t="inlineStr">
        <is>
          <t>LIKELY YES [agg+inf] — Sunflower Bank on DoC does-pull; FF deposits now Sunflower N.A.</t>
        </is>
      </c>
      <c r="E19" s="121" t="inlineStr">
        <is>
          <t>N/M (pre-merger 2021 DP: FF did EWS inquiry)</t>
        </is>
      </c>
    </row>
    <row r="20">
      <c r="A20" s="138" t="inlineStr">
        <is>
          <t>Fremont Bank</t>
        </is>
      </c>
      <c r="B20" s="121" t="inlineStr">
        <is>
          <t>YES pulls — comment DPs (Chex report hits incl. Fremont Bank x2)</t>
        </is>
      </c>
      <c r="C20" s="121" t="inlineStr">
        <is>
          <t>Not mentioned</t>
        </is>
      </c>
      <c r="D20" s="121" t="inlineStr">
        <is>
          <t>N/M (web) — but provided docs have did-pull DPs</t>
        </is>
      </c>
      <c r="E20" s="121" t="inlineStr">
        <is>
          <t>N/M</t>
        </is>
      </c>
    </row>
    <row r="21">
      <c r="A21" s="129" t="inlineStr">
        <is>
          <t>First Bank (MO, first.bank)</t>
        </is>
      </c>
      <c r="B21" s="121" t="inlineStr">
        <is>
          <t>⚠ DoC has multiple same-name entries ('FirstBank', 'First Bank (Myfirstbank)'=CO, 'First Bank &amp; Trust', 'First Bank Financial Center') — none clearly the Missouri first.bank → treat as Not listed</t>
        </is>
      </c>
      <c r="C21" s="121" t="inlineStr">
        <is>
          <t>Not mentioned</t>
        </is>
      </c>
      <c r="D21" s="121" t="inlineStr">
        <is>
          <t>N/M — unchex 'First Bank' = Mississippi bank; no clean DP for first.bank MO</t>
        </is>
      </c>
      <c r="E21" s="121" t="inlineStr">
        <is>
          <t>N/M</t>
        </is>
      </c>
    </row>
    <row r="22">
      <c r="A22" s="138" t="inlineStr">
        <is>
          <t>SDCCU</t>
        </is>
      </c>
      <c r="B22" s="121" t="inlineStr">
        <is>
          <t>Not mentioned</t>
        </is>
      </c>
      <c r="C22" s="121" t="inlineStr">
        <is>
          <t>Not mentioned</t>
        </is>
      </c>
      <c r="D22" s="121" t="inlineStr">
        <is>
          <t>LIKELY YES [bank, indirect] — hosts Chex dispute form + reports to Chex; FAQ says bad history 'does not necessarily exclude you… visit a branch'</t>
        </is>
      </c>
      <c r="E22" s="121" t="inlineStr">
        <is>
          <t>N/M</t>
        </is>
      </c>
    </row>
    <row r="23">
      <c r="A23" s="138" t="inlineStr">
        <is>
          <t>Nuvision Credit Union</t>
        </is>
      </c>
      <c r="B23" s="121" t="inlineStr">
        <is>
          <t>YES pulls (DoC sec 1.224; 2012 depositaccounts DP, SoCal membership savings)</t>
        </is>
      </c>
      <c r="C23" s="121" t="inlineStr">
        <is>
          <t>Not mentioned</t>
        </is>
      </c>
      <c r="D23" s="121" t="inlineStr">
        <is>
          <t>YES [agg — STALE] (single 2012 DP)</t>
        </is>
      </c>
      <c r="E23" s="121" t="inlineStr">
        <is>
          <t>N/M</t>
        </is>
      </c>
    </row>
    <row r="24">
      <c r="A24" s="138" t="inlineStr">
        <is>
          <t>Premier America CU</t>
        </is>
      </c>
      <c r="B24" s="121" t="inlineStr">
        <is>
          <t>Not mentioned</t>
        </is>
      </c>
      <c r="C24" s="121" t="inlineStr">
        <is>
          <t>Not mentioned</t>
        </is>
      </c>
      <c r="D24" s="121" t="inlineStr">
        <is>
          <t>YES [agg, phone-verified by bankbonus — debunks stale 'no-Chex' rows]. Fresh Start Checking $13/mo = second-chance path</t>
        </is>
      </c>
      <c r="E24" s="121" t="inlineStr">
        <is>
          <t>N/M</t>
        </is>
      </c>
    </row>
    <row r="25">
      <c r="A25" s="138" t="inlineStr">
        <is>
          <t>Altura Credit Union</t>
        </is>
      </c>
      <c r="B25" s="121" t="inlineStr">
        <is>
          <t>Not mentioned</t>
        </is>
      </c>
      <c r="C25" s="121" t="inlineStr">
        <is>
          <t>Not mentioned</t>
        </is>
      </c>
      <c r="D25" s="121" t="inlineStr">
        <is>
          <t>YES [bank] — Reliance second-chance checking; Ascend upgrade only after Chex monies paid + 6mo positive</t>
        </is>
      </c>
      <c r="E25" s="121" t="inlineStr">
        <is>
          <t>N/M</t>
        </is>
      </c>
    </row>
    <row r="26">
      <c r="A26" s="138" t="inlineStr">
        <is>
          <t>California Credit Union</t>
        </is>
      </c>
      <c r="B26" s="121" t="inlineStr">
        <is>
          <t>YES pulls + DENIES — DP: 'California Credit Union (DENIED)' among Chex inquiries (inquiry-sensitive)</t>
        </is>
      </c>
      <c r="C26" s="121" t="inlineStr">
        <is>
          <t>Not mentioned</t>
        </is>
      </c>
      <c r="D26" s="121" t="inlineStr">
        <is>
          <t>N/M — full account agreement names no Chex/EWS; generic credit-report auth at membership (CRA unnamed)</t>
        </is>
      </c>
      <c r="E26" s="121" t="inlineStr">
        <is>
          <t>N/M</t>
        </is>
      </c>
    </row>
    <row r="27">
      <c r="A27" s="138" t="inlineStr">
        <is>
          <t>Rize CU (ex-SCE FCU)</t>
        </is>
      </c>
      <c r="B27" s="121" t="inlineStr">
        <is>
          <t>Not mentioned (neither Rize nor SCE FCU)</t>
        </is>
      </c>
      <c r="C27" s="121" t="inlineStr">
        <is>
          <t>Not mentioned</t>
        </is>
      </c>
      <c r="D27" s="121" t="inlineStr">
        <is>
          <t>YES [agg+bank-adjacent] — DoC flagged '(Chex Sensitive)' online apps; own Chex education portal; BankOn Checking = workaround product</t>
        </is>
      </c>
      <c r="E27" s="121" t="inlineStr">
        <is>
          <t>N/M</t>
        </is>
      </c>
    </row>
    <row r="28">
      <c r="A28" s="129" t="inlineStr">
        <is>
          <t>Sun Community FCU</t>
        </is>
      </c>
      <c r="B28" s="121" t="inlineStr">
        <is>
          <t>Not mentioned</t>
        </is>
      </c>
      <c r="C28" s="121" t="inlineStr">
        <is>
          <t>Not mentioned</t>
        </is>
      </c>
      <c r="D28" s="121" t="inlineStr">
        <is>
          <t>N/M — beware unchex 'Sun Federal CU' = OHIO CU, not this one</t>
        </is>
      </c>
      <c r="E28" s="121" t="inlineStr">
        <is>
          <t>N/M</t>
        </is>
      </c>
    </row>
    <row r="29">
      <c r="A29" s="138" t="inlineStr">
        <is>
          <t>Kinecta FCU</t>
        </is>
      </c>
      <c r="B29" s="121" t="inlineStr">
        <is>
          <t>YES pulls — 2021 DP: 'KINECTA FCU – membership savings only' on Chex report</t>
        </is>
      </c>
      <c r="C29" s="121" t="inlineStr">
        <is>
          <t>Not mentioned</t>
        </is>
      </c>
      <c r="D29" s="121" t="inlineStr">
        <is>
          <t>YES [bank] — own disclosure verbatim: 'All new account applicants are verified through ChexSystems' (pdftotext-verified)</t>
        </is>
      </c>
      <c r="E29" s="121" t="inlineStr">
        <is>
          <t>N/M</t>
        </is>
      </c>
    </row>
    <row r="30">
      <c r="A30" s="129" t="inlineStr">
        <is>
          <t>Logix FCU</t>
        </is>
      </c>
      <c r="B30" s="121" t="inlineStr">
        <is>
          <t>Not mentioned</t>
        </is>
      </c>
      <c r="C30" s="121" t="inlineStr">
        <is>
          <t>Not mentioned</t>
        </is>
      </c>
      <c r="D30" s="121" t="inlineStr">
        <is>
          <t>N/M — privacy notice generic 'consumer reporting agencies' only; no DPs</t>
        </is>
      </c>
      <c r="E30" s="121" t="inlineStr">
        <is>
          <t>N/M</t>
        </is>
      </c>
    </row>
    <row r="31">
      <c r="A31" s="138" t="inlineStr">
        <is>
          <t>LAFCU</t>
        </is>
      </c>
      <c r="B31" s="121" t="inlineStr">
        <is>
          <t>Not mentioned</t>
        </is>
      </c>
      <c r="C31" s="121" t="inlineStr">
        <is>
          <t>Not mentioned</t>
        </is>
      </c>
      <c r="D31" s="121" t="inlineStr">
        <is>
          <t>YES [bank] — checking+savings pages: 'a ChexSystems check AND A HARD-HIT ON YOUR CREDIT will be run' ⚠️ hard inquiry just to open deposit acct</t>
        </is>
      </c>
      <c r="E31" s="121" t="inlineStr">
        <is>
          <t>N/M</t>
        </is>
      </c>
    </row>
    <row r="32">
      <c r="A32" s="139" t="inlineStr">
        <is>
          <t>BONUS — other SoCal institutions confirmed Chex-pullers in your docs: Orange County's CU (NOTE: has NO biz card) · LBS Financial (Long Beach) · Southland CU · SkyOne (Hawthorne) · Farmers Insurance FCU (LA) · Police CU of California · Mission Fed (SD) · Wescom · BluPeak · Travis CU · USE CU (double-hit DP) · Bank of Hope · UMB · FNBO. Color key: green name = no Chex footprint found (best for avoiding screening); yellow = mixed/likely; orange = confirmed user.</t>
        </is>
      </c>
    </row>
    <row r="34">
      <c r="A34" s="134" t="inlineStr">
        <is>
          <t>⚠ SUPERSEDED by Tab 0 (tiers) + Tab 6 (dated DP log). Kept for the doc-vs-web column split.</t>
        </is>
      </c>
    </row>
  </sheetData>
  <mergeCells count="4">
    <mergeCell ref="A2:E2"/>
    <mergeCell ref="A34:E34"/>
    <mergeCell ref="A1:E1"/>
    <mergeCell ref="A32:E32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72" customWidth="1" min="4" max="4"/>
    <col width="26" customWidth="1" min="5" max="5"/>
    <col width="52" customWidth="1" min="6" max="6"/>
  </cols>
  <sheetData>
    <row r="1">
      <c r="A1" s="113" t="inlineStr">
        <is>
          <t>DATA-POINT LOG — every claim with DATE + SOURCE + LINK (things change; check dates before acting)</t>
        </is>
      </c>
    </row>
    <row r="2">
      <c r="A2" s="114" t="inlineStr">
        <is>
          <t>Chex/EWS screening DPs + business-card bureau/limit DPs + program changes. Harvested 2026-06-09 from DoC comment archive (dates via WP API), myFICO, depositaccounts, bank disclosures, press.</t>
        </is>
      </c>
    </row>
    <row r="4">
      <c r="A4" s="115" t="inlineStr">
        <is>
          <t>Date</t>
        </is>
      </c>
      <c r="B4" s="115" t="inlineStr">
        <is>
          <t>Institution</t>
        </is>
      </c>
      <c r="C4" s="115" t="inlineStr">
        <is>
          <t>Type</t>
        </is>
      </c>
      <c r="D4" s="115" t="inlineStr">
        <is>
          <t>What it says</t>
        </is>
      </c>
      <c r="E4" s="115" t="inlineStr">
        <is>
          <t>Source</t>
        </is>
      </c>
      <c r="F4" s="115" t="inlineStr">
        <is>
          <t>URL</t>
        </is>
      </c>
    </row>
    <row r="5">
      <c r="A5" s="121" t="inlineStr">
        <is>
          <t>2026-05-13</t>
        </is>
      </c>
      <c r="B5" s="121" t="inlineStr">
        <is>
          <t>California Credit Union</t>
        </is>
      </c>
      <c r="C5" s="121" t="inlineStr">
        <is>
          <t>Chex</t>
        </is>
      </c>
      <c r="D5" s="121" t="inlineStr">
        <is>
          <t>Applied online early 2025 → INSTANT DENIAL for Chex inquiries; same-day branch visit opened it (no hard pull, but they ran Chex)</t>
        </is>
      </c>
      <c r="E5" s="121" t="inlineStr">
        <is>
          <t>DoC comment (BankBonusChaser)</t>
        </is>
      </c>
      <c r="F5" s="121" t="inlineStr">
        <is>
          <t>https://www.doctorofcredit.com/ca-only-california-credit-union-100-checking-bonus/#comment-2321668</t>
        </is>
      </c>
    </row>
    <row r="6">
      <c r="A6" s="121" t="inlineStr">
        <is>
          <t>2026-05-04</t>
        </is>
      </c>
      <c r="B6" s="121" t="inlineStr">
        <is>
          <t>California Credit Union</t>
        </is>
      </c>
      <c r="C6" s="121" t="inlineStr">
        <is>
          <t>Chex</t>
        </is>
      </c>
      <c r="D6" s="121" t="inlineStr">
        <is>
          <t>'Just as Chex sensitive in branch as online' — dinged for Chex Jan 2026</t>
        </is>
      </c>
      <c r="E6" s="121" t="inlineStr">
        <is>
          <t>DoC comment (Cat Daddy 69)</t>
        </is>
      </c>
      <c r="F6" s="121" t="inlineStr">
        <is>
          <t>https://www.doctorofcredit.com/ca-only-california-credit-union-100-checking-bonus/#comment-2314629</t>
        </is>
      </c>
    </row>
    <row r="7">
      <c r="A7" s="121" t="inlineStr">
        <is>
          <t>2026-06-05</t>
        </is>
      </c>
      <c r="B7" s="121" t="inlineStr">
        <is>
          <t>California Credit Union</t>
        </is>
      </c>
      <c r="C7" s="121" t="inlineStr">
        <is>
          <t>Chex-freeze</t>
        </is>
      </c>
      <c r="D7" s="121" t="inlineStr">
        <is>
          <t>12/2025 app: 'Had to unfreeze Chex again. Approved' — will NOT proceed frozen</t>
        </is>
      </c>
      <c r="E7" s="121" t="inlineStr">
        <is>
          <t>DoC comment (Yeezie)</t>
        </is>
      </c>
      <c r="F7" s="121" t="inlineStr">
        <is>
          <t>https://www.doctorofcredit.com/ca-only-california-credit-union-100-checking-bonus/#comment-2336355</t>
        </is>
      </c>
    </row>
    <row r="8">
      <c r="A8" s="121" t="inlineStr">
        <is>
          <t>2026-06-02</t>
        </is>
      </c>
      <c r="B8" s="121" t="inlineStr">
        <is>
          <t>California Credit Union</t>
        </is>
      </c>
      <c r="C8" s="121" t="inlineStr">
        <is>
          <t>Chex</t>
        </is>
      </c>
      <c r="D8" s="121" t="inlineStr">
        <is>
          <t>Suspects Chex pulled TWICE across re-submitted apps</t>
        </is>
      </c>
      <c r="E8" s="121" t="inlineStr">
        <is>
          <t>DoC comment (An)</t>
        </is>
      </c>
      <c r="F8" s="121" t="inlineStr">
        <is>
          <t>https://www.doctorofcredit.com/ca-only-california-credit-union-100-checking-bonus/#comment-2333810</t>
        </is>
      </c>
    </row>
    <row r="9">
      <c r="A9" s="121" t="inlineStr">
        <is>
          <t>2025-12-30</t>
        </is>
      </c>
      <c r="B9" s="121" t="inlineStr">
        <is>
          <t>Premier America CU</t>
        </is>
      </c>
      <c r="C9" s="121" t="inlineStr">
        <is>
          <t>Chex</t>
        </is>
      </c>
      <c r="D9" s="121" t="inlineStr">
        <is>
          <t>Denied Sept — 'policy of denying anyone with 3 Chex inquiries within 90 days'</t>
        </is>
      </c>
      <c r="E9" s="121" t="inlineStr">
        <is>
          <t>DoC comment (Yeezie)</t>
        </is>
      </c>
      <c r="F9" s="121" t="inlineStr">
        <is>
          <t>https://www.doctorofcredit.com/ca-tx-only-premier-america-credit-union-100-checking-bonus-for-both-parties/#comment-2218498</t>
        </is>
      </c>
    </row>
    <row r="10">
      <c r="A10" s="121" t="inlineStr">
        <is>
          <t>2024-10-05</t>
        </is>
      </c>
      <c r="B10" s="121" t="inlineStr">
        <is>
          <t>Premier America CU</t>
        </is>
      </c>
      <c r="C10" s="121" t="inlineStr">
        <is>
          <t>Chex</t>
        </is>
      </c>
      <c r="D10" s="121" t="inlineStr">
        <is>
          <t>'Denied for Chex after uploading all the docs… since when is Premier America chex sensitive?'</t>
        </is>
      </c>
      <c r="E10" s="121" t="inlineStr">
        <is>
          <t>DoC comment (zeer0)</t>
        </is>
      </c>
      <c r="F10" s="121" t="inlineStr">
        <is>
          <t>https://www.doctorofcredit.com/ca-tx-only-premier-america-credit-union-100-checking-bonus-for-both-parties/#comment-1926357</t>
        </is>
      </c>
    </row>
    <row r="11">
      <c r="A11" s="121" t="inlineStr">
        <is>
          <t>2026-03-19</t>
        </is>
      </c>
      <c r="B11" s="121" t="inlineStr">
        <is>
          <t>Banner Bank</t>
        </is>
      </c>
      <c r="C11" s="121" t="inlineStr">
        <is>
          <t>Chex</t>
        </is>
      </c>
      <c r="D11" s="121" t="inlineStr">
        <is>
          <t>P2 approved 10/24 Chex; P1 DECLINED 18/24 — 'branch manager stated no override possible for any reason'</t>
        </is>
      </c>
      <c r="E11" s="121" t="inlineStr">
        <is>
          <t>DoC comment (RM)</t>
        </is>
      </c>
      <c r="F11" s="121" t="inlineStr">
        <is>
          <t>https://www.doctorofcredit.com/or-wa-ca-id-banner-bank-200-checking-bonus/#comment-2280518</t>
        </is>
      </c>
    </row>
    <row r="12">
      <c r="A12" s="121" t="inlineStr">
        <is>
          <t>2026-03-21</t>
        </is>
      </c>
      <c r="B12" s="121" t="inlineStr">
        <is>
          <t>Banner Bank</t>
        </is>
      </c>
      <c r="C12" s="121" t="inlineStr">
        <is>
          <t>Chex</t>
        </is>
      </c>
      <c r="D12" s="121" t="inlineStr">
        <is>
          <t>'One of the rare FIs that give NO discretion to anyone at the branch to override a deny QualiFile recommendation'</t>
        </is>
      </c>
      <c r="E12" s="121" t="inlineStr">
        <is>
          <t>DoC comment (RM)</t>
        </is>
      </c>
      <c r="F12" s="121" t="inlineStr">
        <is>
          <t>https://www.doctorofcredit.com/az-ca-fl-in-mi-nj-ny-oh-wi-flagstar-bank-250-350-checking-bonus/#comment-2281770</t>
        </is>
      </c>
    </row>
    <row r="13">
      <c r="A13" s="121" t="inlineStr">
        <is>
          <t>2026-01-28</t>
        </is>
      </c>
      <c r="B13" s="121" t="inlineStr">
        <is>
          <t>Banner Bank</t>
        </is>
      </c>
      <c r="C13" s="121" t="inlineStr">
        <is>
          <t>Chex</t>
        </is>
      </c>
      <c r="D13" s="121" t="inlineStr">
        <is>
          <t>In-branch app with high Chex → rejected; declined to override</t>
        </is>
      </c>
      <c r="E13" s="121" t="inlineStr">
        <is>
          <t>DoC comment (Anthony Paganini)</t>
        </is>
      </c>
      <c r="F13" s="121" t="inlineStr">
        <is>
          <t>https://www.doctorofcredit.com/or-wa-ca-id-banner-bank-200-checking-bonus/#comment-2241340</t>
        </is>
      </c>
    </row>
    <row r="14">
      <c r="A14" s="121" t="inlineStr">
        <is>
          <t>2023-05-17</t>
        </is>
      </c>
      <c r="B14" s="121" t="inlineStr">
        <is>
          <t>Banner Bank</t>
        </is>
      </c>
      <c r="C14" s="121" t="inlineStr">
        <is>
          <t>Chex-BUSINESS</t>
        </is>
      </c>
      <c r="D14" s="121" t="inlineStr">
        <is>
          <t>BUSINESS checking declined in branch 'due to Chex and they could not do anything about it'</t>
        </is>
      </c>
      <c r="E14" s="121" t="inlineStr">
        <is>
          <t>DoC comment (Steven)</t>
        </is>
      </c>
      <c r="F14" s="121" t="inlineStr">
        <is>
          <t>https://www.doctorofcredit.com/or-wa-ca-id-banner-bank-300-business-checking-100-savings-bonus/#comment-1619724</t>
        </is>
      </c>
    </row>
    <row r="15">
      <c r="A15" s="121" t="inlineStr">
        <is>
          <t>2026-01-27</t>
        </is>
      </c>
      <c r="B15" s="121" t="inlineStr">
        <is>
          <t>Rize CU (ex-SCE)</t>
        </is>
      </c>
      <c r="C15" s="121" t="inlineStr">
        <is>
          <t>Chex</t>
        </is>
      </c>
      <c r="D15" s="121" t="inlineStr">
        <is>
          <t>DoC post title itself: '[NV] Rize Credit Union $400 Checking Bonus (Chex Sensitive)'</t>
        </is>
      </c>
      <c r="E15" s="121" t="inlineStr">
        <is>
          <t>DoC post</t>
        </is>
      </c>
      <c r="F15" s="121" t="inlineStr">
        <is>
          <t>https://www.doctorofcredit.com/rize-credit-union-400-checking-bonus/</t>
        </is>
      </c>
    </row>
    <row r="16">
      <c r="A16" s="121" t="inlineStr">
        <is>
          <t>2026-02-06</t>
        </is>
      </c>
      <c r="B16" s="121" t="inlineStr">
        <is>
          <t>Rize CU (ex-SCE)</t>
        </is>
      </c>
      <c r="C16" s="121" t="inlineStr">
        <is>
          <t>Chex</t>
        </is>
      </c>
      <c r="D16" s="121" t="inlineStr">
        <is>
          <t>'Even going to branch doesn't get you out of Chex issues… me/P2/P3 rejected in branch'</t>
        </is>
      </c>
      <c r="E16" s="121" t="inlineStr">
        <is>
          <t>DoC comment (Jason_08)</t>
        </is>
      </c>
      <c r="F16" s="121" t="inlineStr">
        <is>
          <t>https://www.doctorofcredit.com/rize-credit-union-400-checking-bonus/#comment-2249487</t>
        </is>
      </c>
    </row>
    <row r="17">
      <c r="A17" s="121" t="inlineStr">
        <is>
          <t>2026-01-28</t>
        </is>
      </c>
      <c r="B17" s="121" t="inlineStr">
        <is>
          <t>Rize CU (ex-SCE)</t>
        </is>
      </c>
      <c r="C17" s="121" t="inlineStr">
        <is>
          <t>Chex-freeze</t>
        </is>
      </c>
      <c r="D17" s="121" t="inlineStr">
        <is>
          <t>OOS + UNFROZEN Chex 1/27 → applied, instantly approved (unfroze first)</t>
        </is>
      </c>
      <c r="E17" s="121" t="inlineStr">
        <is>
          <t>DoC comment (H)</t>
        </is>
      </c>
      <c r="F17" s="121" t="inlineStr">
        <is>
          <t>https://www.doctorofcredit.com/rize-credit-union-400-checking-bonus/#comment-2241526</t>
        </is>
      </c>
    </row>
    <row r="18">
      <c r="A18" s="121" t="inlineStr">
        <is>
          <t>2021-12-06</t>
        </is>
      </c>
      <c r="B18" s="121" t="inlineStr">
        <is>
          <t>Rize CU (as SCE FCU)</t>
        </is>
      </c>
      <c r="C18" s="121" t="inlineStr">
        <is>
          <t>Chex</t>
        </is>
      </c>
      <c r="D18" s="121" t="inlineStr">
        <is>
          <t>Approved $25K personal loan; DECLINED savings acct because of inquiries</t>
        </is>
      </c>
      <c r="E18" s="121" t="inlineStr">
        <is>
          <t>myFICO</t>
        </is>
      </c>
      <c r="F18" s="121" t="inlineStr">
        <is>
          <t>https://ficoforums.myfico.com/t5/Personal-Finance/CHEXSYSTEMS-AND-BUREAU-LENIENT-CALIFORNIA-BANKS-OR-CREDIT-UNIONS/m-p/6454654</t>
        </is>
      </c>
    </row>
    <row r="19">
      <c r="A19" s="121" t="inlineStr">
        <is>
          <t>2026-03-27</t>
        </is>
      </c>
      <c r="B19" s="121" t="inlineStr">
        <is>
          <t>BMO</t>
        </is>
      </c>
      <c r="C19" s="121" t="inlineStr">
        <is>
          <t>Chex</t>
        </is>
      </c>
      <c r="D19" s="121" t="inlineStr">
        <is>
          <t>Gadget pulled-Chex list: 'BMO BANK N.A. (online)' AND 'COST CTR 0890 (via phone)'</t>
        </is>
      </c>
      <c r="E19" s="121" t="inlineStr">
        <is>
          <t>DoC comment (Gadget)</t>
        </is>
      </c>
      <c r="F19" s="121" t="inlineStr">
        <is>
          <t>https://www.doctorofcredit.com/banks-credit-unions-dodont-pull-chexsystems/#comment-2286329</t>
        </is>
      </c>
    </row>
    <row r="20">
      <c r="A20" s="121" t="inlineStr">
        <is>
          <t>2026-04-14</t>
        </is>
      </c>
      <c r="B20" s="121" t="inlineStr">
        <is>
          <t>BMO</t>
        </is>
      </c>
      <c r="C20" s="121" t="inlineStr">
        <is>
          <t>Chex</t>
        </is>
      </c>
      <c r="D20" s="121" t="inlineStr">
        <is>
          <t>JM8523 Oct2025–Mar2026 report: BMO in 'PULLED MY CHEX REPORT'</t>
        </is>
      </c>
      <c r="E20" s="121" t="inlineStr">
        <is>
          <t>DoC comment (JM8523)</t>
        </is>
      </c>
      <c r="F20" s="121" t="inlineStr">
        <is>
          <t>https://www.doctorofcredit.com/banks-credit-unions-dodont-pull-chexsystems/#comment-2299861</t>
        </is>
      </c>
    </row>
    <row r="21">
      <c r="A21" s="121" t="inlineStr">
        <is>
          <t>2026-02-01</t>
        </is>
      </c>
      <c r="B21" s="121" t="inlineStr">
        <is>
          <t>KeyBank</t>
        </is>
      </c>
      <c r="C21" s="121" t="inlineStr">
        <is>
          <t>Chex</t>
        </is>
      </c>
      <c r="D21" s="121" t="inlineStr">
        <is>
          <t>'Did KeyBank a day apart… DENIED KeyBank for Chex'</t>
        </is>
      </c>
      <c r="E21" s="121" t="inlineStr">
        <is>
          <t>DoC comment (Jim OoOo)</t>
        </is>
      </c>
      <c r="F21" s="121" t="inlineStr">
        <is>
          <t>https://www.doctorofcredit.com/rize-credit-union-400-checking-bonus/#comment-2244817</t>
        </is>
      </c>
    </row>
    <row r="22">
      <c r="A22" s="121" t="inlineStr">
        <is>
          <t>2026-03-10</t>
        </is>
      </c>
      <c r="B22" s="121" t="inlineStr">
        <is>
          <t>KeyBank</t>
        </is>
      </c>
      <c r="C22" s="121" t="inlineStr">
        <is>
          <t>Chex</t>
        </is>
      </c>
      <c r="D22" s="121" t="inlineStr">
        <is>
          <t>Branch visits 'occasionally successful… KeyBank and Banner… probably 50-50 odds'</t>
        </is>
      </c>
      <c r="E22" s="121" t="inlineStr">
        <is>
          <t>DoC comment (Alex)</t>
        </is>
      </c>
      <c r="F22" s="121" t="inlineStr">
        <is>
          <t>https://www.doctorofcredit.com/wa-seattle-credit-union-150-checking-bonus-direct-deposit-not-required/#comment-2273312</t>
        </is>
      </c>
    </row>
    <row r="23">
      <c r="A23" s="121" t="inlineStr">
        <is>
          <t>2018-11-20</t>
        </is>
      </c>
      <c r="B23" s="121" t="inlineStr">
        <is>
          <t>KeyBank</t>
        </is>
      </c>
      <c r="C23" s="121" t="inlineStr">
        <is>
          <t>EWS</t>
        </is>
      </c>
      <c r="D23" s="121" t="inlineStr">
        <is>
          <t>'Makes EXTENSIVE use of EWS… listed almost every ACH… 20 pages'</t>
        </is>
      </c>
      <c r="E23" s="121" t="inlineStr">
        <is>
          <t>DoC comment (mjonis)</t>
        </is>
      </c>
      <c r="F23" s="121" t="inlineStr">
        <is>
          <t>https://www.doctorofcredit.com/banks-credit-unions-dodont-pull-early-warning-services/#comment-675890</t>
        </is>
      </c>
    </row>
    <row r="24">
      <c r="A24" s="121" t="inlineStr">
        <is>
          <t>2026-04-14</t>
        </is>
      </c>
      <c r="B24" s="121" t="inlineStr">
        <is>
          <t>PNC</t>
        </is>
      </c>
      <c r="C24" s="129" t="inlineStr">
        <is>
          <t>Chex-NO</t>
        </is>
      </c>
      <c r="D24" s="121" t="inlineStr">
        <is>
          <t>PNC in 'Did NOT pull my Chex' (Oct2025–Mar2026 report)</t>
        </is>
      </c>
      <c r="E24" s="121" t="inlineStr">
        <is>
          <t>DoC comment (JM8523)</t>
        </is>
      </c>
      <c r="F24" s="121" t="inlineStr">
        <is>
          <t>https://www.doctorofcredit.com/banks-credit-unions-dodont-pull-chexsystems/#comment-2299861</t>
        </is>
      </c>
    </row>
    <row r="25">
      <c r="A25" s="121" t="inlineStr">
        <is>
          <t>2026-03-27</t>
        </is>
      </c>
      <c r="B25" s="121" t="inlineStr">
        <is>
          <t>PNC</t>
        </is>
      </c>
      <c r="C25" s="129" t="inlineStr">
        <is>
          <t>Chex-NO</t>
        </is>
      </c>
      <c r="D25" s="121" t="inlineStr">
        <is>
          <t>PNC in 'Didn't pull Chex OR successfully blocked by freezing Chex'</t>
        </is>
      </c>
      <c r="E25" s="121" t="inlineStr">
        <is>
          <t>DoC comment (Gadget)</t>
        </is>
      </c>
      <c r="F25" s="121" t="inlineStr">
        <is>
          <t>https://www.doctorofcredit.com/banks-credit-unions-dodont-pull-chexsystems/#comment-2286329</t>
        </is>
      </c>
    </row>
    <row r="26">
      <c r="A26" s="121" t="inlineStr">
        <is>
          <t>2022-08-04</t>
        </is>
      </c>
      <c r="B26" s="121" t="inlineStr">
        <is>
          <t>PNC</t>
        </is>
      </c>
      <c r="C26" s="121" t="inlineStr">
        <is>
          <t>EWS</t>
        </is>
      </c>
      <c r="D26" s="121" t="inlineStr">
        <is>
          <t>EWS rep's list of banks using EWS New Account Opening Score: 'PNC, Regions, BofA, AZ Federal, Capital One, Broadway, TCF… all major banks pull EWS'</t>
        </is>
      </c>
      <c r="E26" s="121" t="inlineStr">
        <is>
          <t>DoC comment (mathishard821)</t>
        </is>
      </c>
      <c r="F26" s="121" t="inlineStr">
        <is>
          <t>https://www.doctorofcredit.com/banks-credit-unions-dodont-pull-early-warning-services/#comment-1420080</t>
        </is>
      </c>
    </row>
    <row r="27">
      <c r="A27" s="121" t="inlineStr">
        <is>
          <t>2022-09-05</t>
        </is>
      </c>
      <c r="B27" s="121" t="inlineStr">
        <is>
          <t>Kinecta FCU</t>
        </is>
      </c>
      <c r="C27" s="121" t="inlineStr">
        <is>
          <t>Chex</t>
        </is>
      </c>
      <c r="D27" s="121" t="inlineStr">
        <is>
          <t>Chex report inquirer list: 'KINECTA FEDERAL CREDIT UNION, 1440 Rosecrans Ave, Manhattan Beach CA'</t>
        </is>
      </c>
      <c r="E27" s="121" t="inlineStr">
        <is>
          <t>myFICO (M_Smart007)</t>
        </is>
      </c>
      <c r="F27" s="121" t="inlineStr">
        <is>
          <t>https://ficoforums.myfico.com/t5/Personal-Finance/CU-s-that-pull-ChexSystems-for-membership-IME/td-p/6588582</t>
        </is>
      </c>
    </row>
    <row r="28">
      <c r="A28" s="121" t="inlineStr">
        <is>
          <t>2025-10-16</t>
        </is>
      </c>
      <c r="B28" s="121" t="inlineStr">
        <is>
          <t>Nuvision CU</t>
        </is>
      </c>
      <c r="C28" s="121" t="inlineStr">
        <is>
          <t>Chex-freeze</t>
        </is>
      </c>
      <c r="D28" s="121" t="inlineStr">
        <is>
          <t>'I unfroze Chexsystems as I needed…' opening NuVision savings+CD (freeze-lift for application)</t>
        </is>
      </c>
      <c r="E28" s="121" t="inlineStr">
        <is>
          <t>DoC comment (Daniel)</t>
        </is>
      </c>
      <c r="F28" s="121" t="inlineStr">
        <is>
          <t>https://www.doctorofcredit.com/nuvision-federal-cu/#comment-2166921</t>
        </is>
      </c>
    </row>
    <row r="29">
      <c r="A29" s="121" t="inlineStr">
        <is>
          <t>2012-05</t>
        </is>
      </c>
      <c r="B29" s="121" t="inlineStr">
        <is>
          <t>Nuvision CU</t>
        </is>
      </c>
      <c r="C29" s="121" t="inlineStr">
        <is>
          <t>Chex</t>
        </is>
      </c>
      <c r="D29" s="121" t="inlineStr">
        <is>
          <t>Only direct pull DP (OLD): listed as Chex puller</t>
        </is>
      </c>
      <c r="E29" s="121" t="inlineStr">
        <is>
          <t>depositaccounts comment</t>
        </is>
      </c>
      <c r="F29" s="121" t="inlineStr">
        <is>
          <t>https://www.depositaccounts.com/blog/2012/05/150-checking-account-promotion-at-nuvision-federal-in-socal-local-only.html#53851</t>
        </is>
      </c>
    </row>
    <row r="30">
      <c r="A30" s="121" t="inlineStr">
        <is>
          <t>2016-06-20</t>
        </is>
      </c>
      <c r="B30" s="121" t="inlineStr">
        <is>
          <t>First Citizens</t>
        </is>
      </c>
      <c r="C30" s="121" t="inlineStr">
        <is>
          <t>Chex</t>
        </is>
      </c>
      <c r="D30" s="121" t="inlineStr">
        <is>
          <t>'Pulled: First Citizens…' (only forum DP; old)</t>
        </is>
      </c>
      <c r="E30" s="121" t="inlineStr">
        <is>
          <t>DoC comment (genh)</t>
        </is>
      </c>
      <c r="F30" s="121" t="inlineStr">
        <is>
          <t>https://www.doctorofcredit.com/an-introduction-to-chexsystems-inc/#comment-269233</t>
        </is>
      </c>
    </row>
    <row r="31">
      <c r="A31" s="121" t="inlineStr">
        <is>
          <t>2025-10-07</t>
        </is>
      </c>
      <c r="B31" s="121" t="inlineStr">
        <is>
          <t>Valley National</t>
        </is>
      </c>
      <c r="C31" s="121" t="inlineStr">
        <is>
          <t>Chex</t>
        </is>
      </c>
      <c r="D31" s="121" t="inlineStr">
        <is>
          <t>Crediful directory (updated 2025-10): uses ChexSystems for new checking (no underlying DP cited)</t>
        </is>
      </c>
      <c r="E31" s="121" t="inlineStr">
        <is>
          <t>crediful</t>
        </is>
      </c>
      <c r="F31" s="121" t="inlineStr">
        <is>
          <t>https://www.crediful.com/chexsystems/valley-national-bank/</t>
        </is>
      </c>
    </row>
    <row r="32">
      <c r="A32" s="121" t="inlineStr">
        <is>
          <t>2018-03-26</t>
        </is>
      </c>
      <c r="B32" s="121" t="inlineStr">
        <is>
          <t>City National WV (NOT LA)</t>
        </is>
      </c>
      <c r="C32" s="121" t="inlineStr">
        <is>
          <t>Chex</t>
        </is>
      </c>
      <c r="D32" s="121" t="inlineStr">
        <is>
          <t>ENTITY PROOF: DoC 'does pull' = City National WV</t>
        </is>
      </c>
      <c r="E32" s="121" t="inlineStr">
        <is>
          <t>DoC comment (Gadget)</t>
        </is>
      </c>
      <c r="F32" s="121" t="inlineStr">
        <is>
          <t>https://www.doctorofcredit.com/banks-credit-unions-dodont-pull-chexsystems/#comment-574218</t>
        </is>
      </c>
    </row>
    <row r="33">
      <c r="A33" s="121" t="inlineStr">
        <is>
          <t>2017-12-29</t>
        </is>
      </c>
      <c r="B33" s="121" t="inlineStr">
        <is>
          <t>City National VA/WV (NOT LA)</t>
        </is>
      </c>
      <c r="C33" s="121" t="inlineStr">
        <is>
          <t>Chex</t>
        </is>
      </c>
      <c r="D33" s="121" t="inlineStr">
        <is>
          <t>'Per banker, and sign on her desk, they pull Chex' — the VA bonus post bank</t>
        </is>
      </c>
      <c r="E33" s="121" t="inlineStr">
        <is>
          <t>DoC comment (Gadget)</t>
        </is>
      </c>
      <c r="F33" s="121" t="inlineStr">
        <is>
          <t>https://www.doctorofcredit.com/va-city-national-bank-100-checking-bonus/#comment-543314</t>
        </is>
      </c>
    </row>
    <row r="34">
      <c r="A34" s="121" t="inlineStr">
        <is>
          <t>2025-03-19</t>
        </is>
      </c>
      <c r="B34" s="121" t="inlineStr">
        <is>
          <t>First Foundation Bank</t>
        </is>
      </c>
      <c r="C34" s="129" t="inlineStr">
        <is>
          <t>Chex-NO</t>
        </is>
      </c>
      <c r="D34" s="121" t="inlineStr">
        <is>
          <t>'First Foundation Bank does not pull Chex for savings or checking' (PRE-merger)</t>
        </is>
      </c>
      <c r="E34" s="121" t="inlineStr">
        <is>
          <t>DoC comment (Matt J)</t>
        </is>
      </c>
      <c r="F34" s="121" t="inlineStr">
        <is>
          <t>https://www.doctorofcredit.com/banks-credit-unions-dodont-pull-chexsystems/ (comment 2025-03-19)</t>
        </is>
      </c>
    </row>
    <row r="35">
      <c r="A35" s="121" t="inlineStr">
        <is>
          <t>2016-07-08</t>
        </is>
      </c>
      <c r="B35" s="121" t="inlineStr">
        <is>
          <t>Sunflower Bank</t>
        </is>
      </c>
      <c r="C35" s="121" t="inlineStr">
        <is>
          <t>Chex</t>
        </is>
      </c>
      <c r="D35" s="121" t="inlineStr">
        <is>
          <t>'Sunflower bank is a chexsystems inquiry' (+2018 DPs) — the charter FF now lives under</t>
        </is>
      </c>
      <c r="E35" s="121" t="inlineStr">
        <is>
          <t>DoC comments</t>
        </is>
      </c>
      <c r="F35" s="121" t="inlineStr">
        <is>
          <t>https://www.doctorofcredit.com/banks-credit-unions-dodont-pull-chexsystems/#comment-274161</t>
        </is>
      </c>
    </row>
    <row r="36">
      <c r="A36" s="121" t="inlineStr">
        <is>
          <t>2024-07-22</t>
        </is>
      </c>
      <c r="B36" s="121" t="inlineStr">
        <is>
          <t>BlueVine</t>
        </is>
      </c>
      <c r="C36" s="129" t="inlineStr">
        <is>
          <t>Chex-NO</t>
        </is>
      </c>
      <c r="D36" s="121" t="inlineStr">
        <is>
          <t>'No Chex pull' (biz checking $300 bonus)</t>
        </is>
      </c>
      <c r="E36" s="121" t="inlineStr">
        <is>
          <t>DoC comment (Dillo)</t>
        </is>
      </c>
      <c r="F36" s="121" t="inlineStr">
        <is>
          <t>https://www.doctorofcredit.com/bluevine-business-checking-300-bonus/#comment-1879825</t>
        </is>
      </c>
    </row>
    <row r="37">
      <c r="A37" s="121" t="inlineStr">
        <is>
          <t>2026-04-16</t>
        </is>
      </c>
      <c r="B37" s="121" t="inlineStr">
        <is>
          <t>Grasshopper Bank</t>
        </is>
      </c>
      <c r="C37" s="127" t="inlineStr">
        <is>
          <t>Chex-FLIP</t>
        </is>
      </c>
      <c r="D37" s="121" t="inlineStr">
        <is>
          <t>App HALTED: 'security freeze on your ChexSystems report… temporarily lift… resubmit' — STARTED PULLING 2026</t>
        </is>
      </c>
      <c r="E37" s="121" t="inlineStr">
        <is>
          <t>DoC comment (Ian)</t>
        </is>
      </c>
      <c r="F37" s="121" t="inlineStr">
        <is>
          <t>https://www.doctorofcredit.com/grasshopper-200-business-checking-referral-bonus/#comment-2301949</t>
        </is>
      </c>
    </row>
    <row r="38">
      <c r="A38" s="121" t="inlineStr">
        <is>
          <t>2025-01-19</t>
        </is>
      </c>
      <c r="B38" s="121" t="inlineStr">
        <is>
          <t>Grasshopper Bank</t>
        </is>
      </c>
      <c r="C38" s="129" t="inlineStr">
        <is>
          <t>Chex-NO (pre-flip)</t>
        </is>
      </c>
      <c r="D38" s="121" t="inlineStr">
        <is>
          <t>'No Chex pull. Equifax SOFT pull' (sole prop SSN)</t>
        </is>
      </c>
      <c r="E38" s="121" t="inlineStr">
        <is>
          <t>DoC comment</t>
        </is>
      </c>
      <c r="F38" s="121" t="inlineStr">
        <is>
          <t>https://www.doctorofcredit.com/contact-us/#comment-1988521</t>
        </is>
      </c>
    </row>
    <row r="39">
      <c r="A39" s="121" t="inlineStr">
        <is>
          <t>2026-06-04</t>
        </is>
      </c>
      <c r="B39" s="121" t="inlineStr">
        <is>
          <t>Grasshopper Bank</t>
        </is>
      </c>
      <c r="C39" s="127" t="inlineStr">
        <is>
          <t>Chex-FLIP</t>
        </is>
      </c>
      <c r="D39" s="121" t="inlineStr">
        <is>
          <t>'Counter DP from this year that they've started pulling'</t>
        </is>
      </c>
      <c r="E39" s="121" t="inlineStr">
        <is>
          <t>DoC comment (snailrock)</t>
        </is>
      </c>
      <c r="F39" s="121" t="inlineStr">
        <is>
          <t>https://www.doctorofcredit.com/banks-credit-unions-dodont-pull-chexsystems/#comment-2335773</t>
        </is>
      </c>
    </row>
    <row r="40">
      <c r="A40" s="121" t="inlineStr">
        <is>
          <t>2022-10-11</t>
        </is>
      </c>
      <c r="B40" s="121" t="inlineStr">
        <is>
          <t>Live Oak Bank</t>
        </is>
      </c>
      <c r="C40" s="129" t="inlineStr">
        <is>
          <t>Chex-NO</t>
        </is>
      </c>
      <c r="D40" s="121" t="inlineStr">
        <is>
          <t>'1. Chex – No. 2. No hard pull…' (sole prop SSN+EIN biz savings)</t>
        </is>
      </c>
      <c r="E40" s="121" t="inlineStr">
        <is>
          <t>DoC comment</t>
        </is>
      </c>
      <c r="F40" s="121" t="inlineStr">
        <is>
          <t>https://www.doctorofcredit.com/live-oak-bank-300-business-checking-bonus/#comment-1462969</t>
        </is>
      </c>
    </row>
    <row r="41">
      <c r="A41" s="121" t="inlineStr">
        <is>
          <t>2026-03-27</t>
        </is>
      </c>
      <c r="B41" s="121" t="inlineStr">
        <is>
          <t>Live Oak Bank</t>
        </is>
      </c>
      <c r="C41" s="129" t="inlineStr">
        <is>
          <t>Chex-NO</t>
        </is>
      </c>
      <c r="D41" s="121" t="inlineStr">
        <is>
          <t>Reconfirmed in Gadget's didn't-pull list</t>
        </is>
      </c>
      <c r="E41" s="121" t="inlineStr">
        <is>
          <t>DoC comment (Gadget)</t>
        </is>
      </c>
      <c r="F41" s="121" t="inlineStr">
        <is>
          <t>https://www.doctorofcredit.com/banks-credit-unions-dodont-pull-chexsystems/#comment-2286329</t>
        </is>
      </c>
    </row>
    <row r="42">
      <c r="A42" s="121" t="inlineStr">
        <is>
          <t>2024-10-07</t>
        </is>
      </c>
      <c r="B42" s="121" t="inlineStr">
        <is>
          <t>Found</t>
        </is>
      </c>
      <c r="C42" s="129" t="inlineStr">
        <is>
          <t>Chex-NO</t>
        </is>
      </c>
      <c r="D42" s="121" t="inlineStr">
        <is>
          <t>'No Chex, No hard pull. No selfie. No ID upload. Instant approval'</t>
        </is>
      </c>
      <c r="E42" s="121" t="inlineStr">
        <is>
          <t>DoC comment</t>
        </is>
      </c>
      <c r="F42" s="121" t="inlineStr">
        <is>
          <t>https://www.doctorofcredit.com/found-125-business-checking-bonus/#comment-1927305</t>
        </is>
      </c>
    </row>
    <row r="43">
      <c r="A43" s="121" t="inlineStr">
        <is>
          <t>2021-06-01</t>
        </is>
      </c>
      <c r="B43" s="121" t="inlineStr">
        <is>
          <t>Lili</t>
        </is>
      </c>
      <c r="C43" s="129" t="inlineStr">
        <is>
          <t>Chex-NO</t>
        </is>
      </c>
      <c r="D43" s="121" t="inlineStr">
        <is>
          <t>'No pull' (aging DP)</t>
        </is>
      </c>
      <c r="E43" s="121" t="inlineStr">
        <is>
          <t>DoC comment</t>
        </is>
      </c>
      <c r="F43" s="121" t="inlineStr">
        <is>
          <t>https://www.doctorofcredit.com/lili-bank-50-swagbucks-50-referral-offer-direct-deposit-not-required/#comment-1198992</t>
        </is>
      </c>
    </row>
    <row r="44">
      <c r="A44" s="121" t="inlineStr">
        <is>
          <t>2025-03-21</t>
        </is>
      </c>
      <c r="B44" s="121" t="inlineStr">
        <is>
          <t>Mercury</t>
        </is>
      </c>
      <c r="C44" s="129" t="inlineStr">
        <is>
          <t>Chex-NO</t>
        </is>
      </c>
      <c r="D44" s="121" t="inlineStr">
        <is>
          <t>'Definitely did not pull Chex… never seen Mercury listed [on EWS reports]'</t>
        </is>
      </c>
      <c r="E44" s="121" t="inlineStr">
        <is>
          <t>DoC comment (Rose)</t>
        </is>
      </c>
      <c r="F44" s="121" t="inlineStr">
        <is>
          <t>https://www.doctorofcredit.com/mercury-fintech-500-business-checking-bonus/#comment-2028499</t>
        </is>
      </c>
    </row>
    <row r="45">
      <c r="A45" s="121" t="inlineStr">
        <is>
          <t>2025-03-21</t>
        </is>
      </c>
      <c r="B45" s="121" t="inlineStr">
        <is>
          <t>Mercury</t>
        </is>
      </c>
      <c r="C45" s="119" t="inlineStr">
        <is>
          <t>Chex-frozen-OK</t>
        </is>
      </c>
      <c r="D45" s="121" t="inlineStr">
        <is>
          <t>Applied with 'chex was frozen' — fine</t>
        </is>
      </c>
      <c r="E45" s="121" t="inlineStr">
        <is>
          <t>DoC comment (favo)</t>
        </is>
      </c>
      <c r="F45" s="121" t="inlineStr">
        <is>
          <t>https://www.doctorofcredit.com/mercury-fintech-500-business-checking-bonus/#comment-2028535</t>
        </is>
      </c>
    </row>
    <row r="46">
      <c r="A46" s="121" t="inlineStr">
        <is>
          <t>2025-01-13</t>
        </is>
      </c>
      <c r="B46" s="121" t="inlineStr">
        <is>
          <t>Novo</t>
        </is>
      </c>
      <c r="C46" s="119" t="inlineStr">
        <is>
          <t>Chex-frozen-OK</t>
        </is>
      </c>
      <c r="D46" s="121" t="inlineStr">
        <is>
          <t>'Approved with Chex frozen' (biz checking)</t>
        </is>
      </c>
      <c r="E46" s="121" t="inlineStr">
        <is>
          <t>DoC comment</t>
        </is>
      </c>
      <c r="F46" s="121" t="inlineStr">
        <is>
          <t>https://www.doctorofcredit.com/bank-novo-business-checking-300-checking-bonus/#comment-1984692</t>
        </is>
      </c>
    </row>
    <row r="47">
      <c r="A47" s="121" t="inlineStr">
        <is>
          <t>2026-04-14</t>
        </is>
      </c>
      <c r="B47" s="121" t="inlineStr">
        <is>
          <t>Climate First Bank</t>
        </is>
      </c>
      <c r="C47" s="119" t="inlineStr">
        <is>
          <t>Chex-frozen-OK</t>
        </is>
      </c>
      <c r="D47" s="121" t="inlineStr">
        <is>
          <t>'Pulls Chex… works w/ Chex frozen (new + existing member)'; E*Trade + 316 Financial also approved frozen</t>
        </is>
      </c>
      <c r="E47" s="121" t="inlineStr">
        <is>
          <t>DoC comment (JM8523)</t>
        </is>
      </c>
      <c r="F47" s="121" t="inlineStr">
        <is>
          <t>https://www.doctorofcredit.com/banks-credit-unions-dodont-pull-chexsystems/#comment-2299861</t>
        </is>
      </c>
    </row>
    <row r="48">
      <c r="A48" s="121" t="inlineStr">
        <is>
          <t>2026-06-04</t>
        </is>
      </c>
      <c r="B48" s="121" t="inlineStr">
        <is>
          <t>Andrews FCU / Citi</t>
        </is>
      </c>
      <c r="C48" s="119" t="inlineStr">
        <is>
          <t>Chex-frozen-OK</t>
        </is>
      </c>
      <c r="D48" s="121" t="inlineStr">
        <is>
          <t>Andrews 'approves Chex frozen'; Citi 'may not pull checking/approve frozen'</t>
        </is>
      </c>
      <c r="E48" s="121" t="inlineStr">
        <is>
          <t>DoC comment (snailrock)</t>
        </is>
      </c>
      <c r="F48" s="121" t="inlineStr">
        <is>
          <t>https://www.doctorofcredit.com/banks-credit-unions-dodont-pull-chexsystems/#comment-2335773</t>
        </is>
      </c>
    </row>
    <row r="49">
      <c r="A49" s="121" t="inlineStr">
        <is>
          <t>2026-04-14</t>
        </is>
      </c>
      <c r="B49" s="121" t="inlineStr">
        <is>
          <t>OnPath FCU</t>
        </is>
      </c>
      <c r="C49" s="121" t="inlineStr">
        <is>
          <t>Chex-frozen-BLOCK</t>
        </is>
      </c>
      <c r="D49" s="121" t="inlineStr">
        <is>
          <t>'Does not work w/ Chex frozen, but not inquiry sensitive'</t>
        </is>
      </c>
      <c r="E49" s="121" t="inlineStr">
        <is>
          <t>DoC comment (JM8523)</t>
        </is>
      </c>
      <c r="F49" s="121" t="inlineStr">
        <is>
          <t>https://www.doctorofcredit.com/banks-credit-unions-dodont-pull-chexsystems/#comment-2299861</t>
        </is>
      </c>
    </row>
    <row r="50">
      <c r="A50" s="121" t="inlineStr">
        <is>
          <t>2022-06-25</t>
        </is>
      </c>
      <c r="B50" s="121" t="inlineStr">
        <is>
          <t>Axos Bank</t>
        </is>
      </c>
      <c r="C50" s="121" t="inlineStr">
        <is>
          <t>Biz-vs-consumer</t>
        </is>
      </c>
      <c r="D50" s="121" t="inlineStr">
        <is>
          <t>Pulled Chex for PERSONAL and AGAIN days later for BUSINESS (sole prop EIN) — 2 pulls; not Chex-sensitive</t>
        </is>
      </c>
      <c r="E50" s="121" t="inlineStr">
        <is>
          <t>DoC comment (Sophia)</t>
        </is>
      </c>
      <c r="F50" s="121" t="inlineStr">
        <is>
          <t>https://www.doctorofcredit.com/axos-bank-100-business-checking-bonus-business-must-be-incorporated-after-6-1-20/#comment-1400247</t>
        </is>
      </c>
    </row>
    <row r="51">
      <c r="A51" s="121" t="inlineStr">
        <is>
          <t>2019-01-12</t>
        </is>
      </c>
      <c r="B51" s="121" t="inlineStr">
        <is>
          <t>Wells/Santander/SunTrust BUSINESS</t>
        </is>
      </c>
      <c r="C51" s="121" t="inlineStr">
        <is>
          <t>EWS-business</t>
        </is>
      </c>
      <c r="D51" s="121" t="inlineStr">
        <is>
          <t>Hard EWS pulls included 'Wells Fargo Business / Santander Business / SunTrust Business' — biz openings hit owner's consumer EWS at majors</t>
        </is>
      </c>
      <c r="E51" s="121" t="inlineStr">
        <is>
          <t>DoC comment (IS250)</t>
        </is>
      </c>
      <c r="F51" s="121" t="inlineStr">
        <is>
          <t>https://www.doctorofcredit.com/banks-credit-unions-dodont-pull-early-warning-services/#comment-704860</t>
        </is>
      </c>
    </row>
    <row r="52">
      <c r="A52" s="121" t="inlineStr">
        <is>
          <t>2017-03-05</t>
        </is>
      </c>
      <c r="B52" s="121" t="inlineStr">
        <is>
          <t>SDCCU</t>
        </is>
      </c>
      <c r="C52" s="121" t="inlineStr">
        <is>
          <t>Chex</t>
        </is>
      </c>
      <c r="D52" s="121" t="inlineStr">
        <is>
          <t>Even DoC owner couldn't source a DP: 'Any idea if TFCU/SDCCU are soft/hard pulls?' — unanswered</t>
        </is>
      </c>
      <c r="E52" s="121" t="inlineStr">
        <is>
          <t>DoC comment (William Charles)</t>
        </is>
      </c>
      <c r="F52" s="121" t="inlineStr">
        <is>
          <t>https://www.doctorofcredit.com/?p=2586#comment-365027</t>
        </is>
      </c>
    </row>
    <row r="53">
      <c r="A53" s="121" t="inlineStr">
        <is>
          <t>2026-04-30</t>
        </is>
      </c>
      <c r="B53" s="121" t="inlineStr">
        <is>
          <t>SDCCU</t>
        </is>
      </c>
      <c r="C53" s="121" t="inlineStr">
        <is>
          <t>Context</t>
        </is>
      </c>
      <c r="D53" s="121" t="inlineStr">
        <is>
          <t>Cal Coast merger terminated by SDCCU 11/2025; court denied Cal Coast injunction 4/30/2026</t>
        </is>
      </c>
      <c r="E53" s="121" t="inlineStr">
        <is>
          <t>sdccu.com news</t>
        </is>
      </c>
      <c r="F53" s="121" t="inlineStr">
        <is>
          <t>https://www.sdccu.com/news/2026-aa4e44cdef5316948276d9c49f0d1a50/san-diego-county-credit-union-announces-san-diego-superior-court-has-denied-california-coast-credit/</t>
        </is>
      </c>
    </row>
    <row r="54">
      <c r="A54" s="121" t="inlineStr">
        <is>
          <t>(official)</t>
        </is>
      </c>
      <c r="B54" s="121" t="inlineStr">
        <is>
          <t>ChexSystems</t>
        </is>
      </c>
      <c r="C54" s="121" t="inlineStr">
        <is>
          <t>Freeze</t>
        </is>
      </c>
      <c r="D54" s="121" t="inlineStr">
        <is>
          <t>FREE security freeze: place / info / lookup pages (PIN issued)</t>
        </is>
      </c>
      <c r="E54" s="121" t="inlineStr">
        <is>
          <t>chexsystems.com</t>
        </is>
      </c>
      <c r="F54" s="121" t="inlineStr">
        <is>
          <t>https://www.chexsystems.com/security-freeze/place-freeze</t>
        </is>
      </c>
    </row>
    <row r="55">
      <c r="A55" s="121" t="inlineStr">
        <is>
          <t>2022-07</t>
        </is>
      </c>
      <c r="B55" s="121" t="inlineStr">
        <is>
          <t>EWS</t>
        </is>
      </c>
      <c r="C55" s="121" t="inlineStr">
        <is>
          <t>Freeze</t>
        </is>
      </c>
      <c r="D55" s="121" t="inlineStr">
        <is>
          <t>NO self-service freeze page; freeze rights documented in EWS sample file disclosure PDF; consumer hub + 800-745-1560</t>
        </is>
      </c>
      <c r="E55" s="121" t="inlineStr">
        <is>
          <t>earlywarning.com</t>
        </is>
      </c>
      <c r="F55" s="121" t="inlineStr">
        <is>
          <t>https://www.earlywarning.com/sites/default/files/2022-07/Early-Warning_Sample-File-Disclosure.pdf</t>
        </is>
      </c>
    </row>
    <row r="56">
      <c r="A56" s="135" t="inlineStr">
        <is>
          <t>BUSINESS-CARD APPROVAL / BUREAU / LIMIT DPs</t>
        </is>
      </c>
      <c r="B56" s="117" t="n"/>
      <c r="C56" s="117" t="n"/>
      <c r="D56" s="117" t="n"/>
      <c r="E56" s="117" t="n"/>
      <c r="F56" s="118" t="n"/>
    </row>
    <row r="57">
      <c r="A57" s="123" t="inlineStr">
        <is>
          <t>none</t>
        </is>
      </c>
      <c r="B57" s="121" t="inlineStr">
        <is>
          <t>CB&amp;T</t>
        </is>
      </c>
      <c r="C57" s="121" t="inlineStr">
        <is>
          <t>Card/Bureau DP</t>
        </is>
      </c>
      <c r="D57" s="121" t="inlineStr">
        <is>
          <t>ZERO applicant DPs ever — 2020 thread had 0 applicants; 2023-05 Zions biz thread 0 replies. 'EX most-cited' = UNEVIDENCED publicly</t>
        </is>
      </c>
      <c r="E57" s="121" t="inlineStr">
        <is>
          <t>myFICO</t>
        </is>
      </c>
      <c r="F57" s="121" t="inlineStr">
        <is>
          <t>https://ficoforums.myfico.com/t5/Credit-Cards/California-Bank-and-Trust-Visa-Reserve-Card/td-p/5959678</t>
        </is>
      </c>
    </row>
    <row r="58">
      <c r="A58" s="121" t="inlineStr">
        <is>
          <t>2024-05</t>
        </is>
      </c>
      <c r="B58" s="121" t="inlineStr">
        <is>
          <t>SDCCU</t>
        </is>
      </c>
      <c r="C58" s="121" t="inlineStr">
        <is>
          <t>Card/Bureau DP</t>
        </is>
      </c>
      <c r="D58" s="121" t="inlineStr">
        <is>
          <t>Membership HP believed EX, HP RE-USED for card apps; conservative; min-income denials; new corp refused for being new</t>
        </is>
      </c>
      <c r="E58" s="121" t="inlineStr">
        <is>
          <t>myFICO</t>
        </is>
      </c>
      <c r="F58" s="121" t="inlineStr">
        <is>
          <t>https://ficoforums.myfico.com/t5/Credit-Cards/San-DIego-County-Credit-Union-SDCCU-Does-anyone-have-any-DP-s-or/td-p/6761567</t>
        </is>
      </c>
    </row>
    <row r="59">
      <c r="A59" s="121" t="inlineStr">
        <is>
          <t>2015-02</t>
        </is>
      </c>
      <c r="B59" s="121" t="inlineStr">
        <is>
          <t>Nuvision</t>
        </is>
      </c>
      <c r="C59" s="121" t="inlineStr">
        <is>
          <t>Card/Bureau DP</t>
        </is>
      </c>
      <c r="D59" s="121" t="inlineStr">
        <is>
          <t>OLD personal DP: pulled Equifax (auto-loan holder, $1K CL)</t>
        </is>
      </c>
      <c r="E59" s="121" t="inlineStr">
        <is>
          <t>myFICO</t>
        </is>
      </c>
      <c r="F59" s="121" t="inlineStr">
        <is>
          <t>https://ficoforums.myfico.com/t5/Credit-Card-Approvals/Two-approvals-and-a-question/td-p/3817912</t>
        </is>
      </c>
    </row>
    <row r="60">
      <c r="A60" s="121" t="inlineStr">
        <is>
          <t>2022-05</t>
        </is>
      </c>
      <c r="B60" s="121" t="inlineStr">
        <is>
          <t>Premier America</t>
        </is>
      </c>
      <c r="C60" s="121" t="inlineStr">
        <is>
          <t>Card/Bureau DP</t>
        </is>
      </c>
      <c r="D60" s="121" t="inlineStr">
        <is>
          <t>Personal MC: EX pulled TWICE, approved $3,000 vs $20K requested (EX 703, $53K inc, 8/24) — conservative</t>
        </is>
      </c>
      <c r="E60" s="121" t="inlineStr">
        <is>
          <t>myFICO</t>
        </is>
      </c>
      <c r="F60" s="121" t="inlineStr">
        <is>
          <t>https://ficoforums.myfico.com/t5/Credit-Card-Applications/Premier-America-quot-Premiere-Privileges-quot-MC-3-000-Approval/td-p/6536138</t>
        </is>
      </c>
    </row>
    <row r="61">
      <c r="A61" s="121" t="inlineStr">
        <is>
          <t>2022-09 to 2023-02</t>
        </is>
      </c>
      <c r="B61" s="121" t="inlineStr">
        <is>
          <t>LAFCU</t>
        </is>
      </c>
      <c r="C61" s="121" t="inlineStr">
        <is>
          <t>Card/Bureau DP</t>
        </is>
      </c>
      <c r="D61" s="121" t="inlineStr">
        <is>
          <t>Membership Jun2021=TU hard; personal Visa May2022=EX hard DENIED at 4/24 (EX839!); 1991-member holds $3.5K CL since 1998 — very conservative. NOTHING newer; 2-yr-rule enforcement unknown</t>
        </is>
      </c>
      <c r="E61" s="121" t="inlineStr">
        <is>
          <t>myFICO</t>
        </is>
      </c>
      <c r="F61" s="121" t="inlineStr">
        <is>
          <t>https://ficoforums.myfico.com/t5/Credit-Cards/LAFCU-DP-and-Info/td-p/6596415</t>
        </is>
      </c>
    </row>
    <row r="62">
      <c r="A62" s="121" t="inlineStr">
        <is>
          <t>2023-05</t>
        </is>
      </c>
      <c r="B62" s="121" t="inlineStr">
        <is>
          <t>WaFd</t>
        </is>
      </c>
      <c r="C62" s="121" t="inlineStr">
        <is>
          <t>Card/Bureau DP</t>
        </is>
      </c>
      <c r="D62" s="121" t="inlineStr">
        <is>
          <t>$15K @13.99% biz Visa, in-house after dumping Elan (Elan had jacked legacy to 29.99%); bureau unstated; poster also stacked NFIB/FNBO + BofA = $32.9K total</t>
        </is>
      </c>
      <c r="E62" s="121" t="inlineStr">
        <is>
          <t>myFICO</t>
        </is>
      </c>
      <c r="F62" s="121" t="inlineStr">
        <is>
          <t>https://ficoforums.myfico.com/t5/Business-Credit/WaFd-Bank-Business-Visa-Approval/td-p/6674742</t>
        </is>
      </c>
    </row>
    <row r="63">
      <c r="A63" s="121" t="inlineStr">
        <is>
          <t>2026-06</t>
        </is>
      </c>
      <c r="B63" s="121" t="inlineStr">
        <is>
          <t>WaFd</t>
        </is>
      </c>
      <c r="C63" s="121" t="inlineStr">
        <is>
          <t>Card/Bureau DP</t>
        </is>
      </c>
      <c r="D63" s="121" t="inlineStr">
        <is>
          <t>LIVE banner: 'upgrading credit card providers… accepting applications June 30' — new provider NOT NAMED anywhere</t>
        </is>
      </c>
      <c r="E63" s="121" t="inlineStr">
        <is>
          <t>wafdbank.com</t>
        </is>
      </c>
      <c r="F63" s="121" t="inlineStr">
        <is>
          <t>https://www.wafdbank.com/business-banking/business-credit-cards</t>
        </is>
      </c>
    </row>
    <row r="64">
      <c r="A64" s="121" t="inlineStr">
        <is>
          <t>2019-07</t>
        </is>
      </c>
      <c r="B64" s="121" t="inlineStr">
        <is>
          <t>Banner</t>
        </is>
      </c>
      <c r="C64" s="121" t="inlineStr">
        <is>
          <t>Card/Bureau DP</t>
        </is>
      </c>
      <c r="D64" s="121" t="inlineStr">
        <is>
          <t>Bureau question NEVER answered; online apps restricted to WA/OR/ID/CA; TruRewards Elite pitched '$15K min line'. ZERO bureau DPs ever</t>
        </is>
      </c>
      <c r="E64" s="121" t="inlineStr">
        <is>
          <t>myFICO</t>
        </is>
      </c>
      <c r="F64" s="121" t="inlineStr">
        <is>
          <t>https://ficoforums.myfico.com/t5/Business-Credit/Banner-Bank-Business-Credit-Card/td-p/5679382</t>
        </is>
      </c>
    </row>
    <row r="65">
      <c r="A65" s="123" t="inlineStr">
        <is>
          <t>none</t>
        </is>
      </c>
      <c r="B65" s="121" t="inlineStr">
        <is>
          <t>Western Alliance</t>
        </is>
      </c>
      <c r="C65" s="121" t="inlineStr">
        <is>
          <t>Card/Bureau DP</t>
        </is>
      </c>
      <c r="D65" s="121" t="inlineStr">
        <is>
          <t>No DPs anywhere (myFICO/Reddit/CreditBoards)</t>
        </is>
      </c>
      <c r="E65" s="121" t="inlineStr">
        <is>
          <t>—</t>
        </is>
      </c>
      <c r="F65" s="121" t="inlineStr">
        <is>
          <t>https://www.westernalliancebancorporation.com/torrey-pines-bank/small-business/business-credit-cards</t>
        </is>
      </c>
    </row>
    <row r="66">
      <c r="A66" s="123" t="inlineStr">
        <is>
          <t>none-fresh</t>
        </is>
      </c>
      <c r="B66" s="121" t="inlineStr">
        <is>
          <t>KeyBank</t>
        </is>
      </c>
      <c r="C66" s="121" t="inlineStr">
        <is>
          <t>Card/Bureau DP</t>
        </is>
      </c>
      <c r="D66" s="121" t="inlineStr">
        <is>
          <t>No 2023-2026 biz-card DPs; soft-pull-EQ claim has NO dated public confirmation</t>
        </is>
      </c>
      <c r="E66" s="121" t="inlineStr">
        <is>
          <t>myFICO</t>
        </is>
      </c>
      <c r="F66" s="121" t="n"/>
    </row>
    <row r="67">
      <c r="A67" s="121" t="inlineStr">
        <is>
          <t>2022-09</t>
        </is>
      </c>
      <c r="B67" s="121" t="inlineStr">
        <is>
          <t>PNC</t>
        </is>
      </c>
      <c r="C67" s="121" t="inlineStr">
        <is>
          <t>Card/Bureau DP</t>
        </is>
      </c>
      <c r="D67" s="121" t="inlineStr">
        <is>
          <t>BusinessOptions Visa Sig $25K + BLOC $20K: TWO SOFT pulls, EQUIFAX ONLY (EQ815, D&amp;B 2005, no PNC relationship). Banker criteria: 750+, &lt;15% util, 2+ YRS IN BUSINESS</t>
        </is>
      </c>
      <c r="E67" s="121" t="inlineStr">
        <is>
          <t>myFICO</t>
        </is>
      </c>
      <c r="F67" s="121" t="inlineStr">
        <is>
          <t>https://ficoforums.myfico.com/t5/Business-Credit/PNC-BizOptions-Visa-Signature-and-a-LOC-Approved/td-p/6589727</t>
        </is>
      </c>
    </row>
    <row r="68">
      <c r="A68" s="121" t="inlineStr">
        <is>
          <t>2022-03</t>
        </is>
      </c>
      <c r="B68" s="121" t="inlineStr">
        <is>
          <t>PNC</t>
        </is>
      </c>
      <c r="C68" s="121" t="inlineStr">
        <is>
          <t>Card/Bureau DP</t>
        </is>
      </c>
      <c r="D68" s="121" t="inlineStr">
        <is>
          <t>$100K BLOC + $19K biz Visa soft-pull (opened PNC biz checking); reply DP: $50K on SOFT EQ only — told to unfreeze EQ specifically; approved w/ 2012 Ch7</t>
        </is>
      </c>
      <c r="E68" s="121" t="inlineStr">
        <is>
          <t>myFICO</t>
        </is>
      </c>
      <c r="F68" s="121" t="inlineStr">
        <is>
          <t>https://ficoforums.myfico.com/t5/Business-Credit/PNC-119K-in-Approvals/td-p/6509179</t>
        </is>
      </c>
    </row>
    <row r="69">
      <c r="A69" s="121" t="inlineStr">
        <is>
          <t>2023-10</t>
        </is>
      </c>
      <c r="B69" s="121" t="inlineStr">
        <is>
          <t>PNC</t>
        </is>
      </c>
      <c r="C69" s="121" t="inlineStr">
        <is>
          <t>Card/Bureau DP</t>
        </is>
      </c>
      <c r="D69" s="121" t="inlineStr">
        <is>
          <t>CONFLICT DP: 'PNC Business Visa: EX 820 HP, 11-22' — at least one PNC biz product hard-pulled EXPERIAN Nov 2022</t>
        </is>
      </c>
      <c r="E69" s="121" t="inlineStr">
        <is>
          <t>myFICO</t>
        </is>
      </c>
      <c r="F69" s="121" t="inlineStr">
        <is>
          <t>https://ficoforums.myfico.com/t5/Business-Credit/What-Credit-Bureaus-are-pulled-for-Business-Credit/td-p/6715854</t>
        </is>
      </c>
    </row>
    <row r="70">
      <c r="A70" s="121" t="inlineStr">
        <is>
          <t>2023-08</t>
        </is>
      </c>
      <c r="B70" s="121" t="inlineStr">
        <is>
          <t>First Citizens</t>
        </is>
      </c>
      <c r="C70" s="121" t="inlineStr">
        <is>
          <t>Card/Bureau DP</t>
        </is>
      </c>
      <c r="D70" s="121" t="inlineStr">
        <is>
          <t>$20K Low Interest biz CC in ~30min at branch; banker: 'pulls all three + mix with business'; only EX visible on Nav; same-day biz checking $100 required</t>
        </is>
      </c>
      <c r="E70" s="121" t="inlineStr">
        <is>
          <t>myFICO</t>
        </is>
      </c>
      <c r="F70" s="121" t="inlineStr">
        <is>
          <t>https://ficoforums.myfico.com/t5/Business-Credit/20k-First-Citizens-Low-Interest-Business-CC-approval/td-p/6704468</t>
        </is>
      </c>
    </row>
    <row r="71">
      <c r="A71" s="121" t="inlineStr">
        <is>
          <t>2026-03</t>
        </is>
      </c>
      <c r="B71" s="121" t="inlineStr">
        <is>
          <t>First Citizens</t>
        </is>
      </c>
      <c r="C71" s="121" t="inlineStr">
        <is>
          <t>Card/Bureau DP</t>
        </is>
      </c>
      <c r="D71" s="121" t="inlineStr">
        <is>
          <t>Same poster still holds the $20K FC card — program alive</t>
        </is>
      </c>
      <c r="E71" s="121" t="inlineStr">
        <is>
          <t>myFICO</t>
        </is>
      </c>
      <c r="F71" s="121" t="inlineStr">
        <is>
          <t>https://ficoforums.myfico.com/t5/Business-Credit/looking-for-business-credit-card-suggestions-for-high-starting/td-p/6860230</t>
        </is>
      </c>
    </row>
    <row r="72">
      <c r="A72" s="121" t="inlineStr">
        <is>
          <t>2024-07</t>
        </is>
      </c>
      <c r="B72" s="121" t="inlineStr">
        <is>
          <t>BMO</t>
        </is>
      </c>
      <c r="C72" s="121" t="inlineStr">
        <is>
          <t>Card/Bureau DP</t>
        </is>
      </c>
      <c r="D72" s="121" t="inlineStr">
        <is>
          <t>Biz Platinum $7,500, pulled TRANSUNION (TU~770), TX sole prop, NO prior relationship</t>
        </is>
      </c>
      <c r="E72" s="121" t="inlineStr">
        <is>
          <t>myFICO</t>
        </is>
      </c>
      <c r="F72" s="121" t="inlineStr">
        <is>
          <t>https://ficoforums.myfico.com/t5/Business-Credit/BMO-Business-Card-Approval/td-p/6773916</t>
        </is>
      </c>
    </row>
    <row r="73">
      <c r="A73" s="121" t="inlineStr">
        <is>
          <t>2023-12</t>
        </is>
      </c>
      <c r="B73" s="121" t="inlineStr">
        <is>
          <t>BMO</t>
        </is>
      </c>
      <c r="C73" s="121" t="inlineStr">
        <is>
          <t>Card/Bureau DP</t>
        </is>
      </c>
      <c r="D73" s="121" t="inlineStr">
        <is>
          <t>$46K biz LOC, pulled TRANSUNION; banker: floor lowered to FICO 660 (TU8 804, 2yr biz, $480K rev)</t>
        </is>
      </c>
      <c r="E73" s="121" t="inlineStr">
        <is>
          <t>myFICO</t>
        </is>
      </c>
      <c r="F73" s="121" t="inlineStr">
        <is>
          <t>https://ficoforums.myfico.com/t5/Business-Credit/BMO-Business-Line-of-Credit-Approval/td-p/6728350</t>
        </is>
      </c>
    </row>
    <row r="74">
      <c r="A74" s="121" t="inlineStr">
        <is>
          <t>2022-08</t>
        </is>
      </c>
      <c r="B74" s="121" t="inlineStr">
        <is>
          <t>BMO</t>
        </is>
      </c>
      <c r="C74" s="121" t="inlineStr">
        <is>
          <t>Card/Bureau DP</t>
        </is>
      </c>
      <c r="D74" s="121" t="inlineStr">
        <is>
          <t>Biz Rewards $7.5K + personal $12K @ TU760 with 28 INQUIRIES/10 new accts — 'not inquiry sensitive'</t>
        </is>
      </c>
      <c r="E74" s="121" t="inlineStr">
        <is>
          <t>myFICO</t>
        </is>
      </c>
      <c r="F74" s="121" t="inlineStr">
        <is>
          <t>https://ficoforums.myfico.com/t5/Credit-Card-Approvals/BMO-personal-and-Business/td-p/6573452</t>
        </is>
      </c>
    </row>
    <row r="75">
      <c r="A75" s="123" t="inlineStr">
        <is>
          <t>none</t>
        </is>
      </c>
      <c r="B75" s="121" t="inlineStr">
        <is>
          <t>Fremont</t>
        </is>
      </c>
      <c r="C75" s="121" t="inlineStr">
        <is>
          <t>Card/Bureau DP</t>
        </is>
      </c>
      <c r="D75" s="121" t="inlineStr">
        <is>
          <t>ZERO DPs (no approvals, no bureau, no double-dip evidence) — myFICO/Reddit/CreditBoards/DoC all empty</t>
        </is>
      </c>
      <c r="E75" s="121" t="inlineStr">
        <is>
          <t>—</t>
        </is>
      </c>
      <c r="F75" s="121" t="inlineStr">
        <is>
          <t>https://www.fremontbank.com/business/credit</t>
        </is>
      </c>
    </row>
    <row r="76">
      <c r="A76" s="121" t="inlineStr">
        <is>
          <t>2024-02</t>
        </is>
      </c>
      <c r="B76" s="121" t="inlineStr">
        <is>
          <t>First Bank MO</t>
        </is>
      </c>
      <c r="C76" s="121" t="inlineStr">
        <is>
          <t>Card/Bureau DP</t>
        </is>
      </c>
      <c r="D76" s="121" t="inlineStr">
        <is>
          <t>Replaced Agent Bank program w/ CorServ Account Issuer (consumer+business+commercial); portal firstbank.myapexcard.com live; no user DPs</t>
        </is>
      </c>
      <c r="E76" s="121" t="inlineStr">
        <is>
          <t>CorServ press</t>
        </is>
      </c>
      <c r="F76" s="121" t="inlineStr">
        <is>
          <t>https://www.corservsolutions.com/first-bank-selects-corservs-comprehensive-credit-card-program-to-serve-business-and-commercial-customers-2/</t>
        </is>
      </c>
    </row>
    <row r="77">
      <c r="A77" s="123" t="inlineStr">
        <is>
          <t>none</t>
        </is>
      </c>
      <c r="B77" s="121" t="inlineStr">
        <is>
          <t>Infinity/ServisFirst</t>
        </is>
      </c>
      <c r="C77" s="121" t="inlineStr">
        <is>
          <t>Card/Bureau DP</t>
        </is>
      </c>
      <c r="D77" s="121" t="inlineStr">
        <is>
          <t>No user DPs; ServisFirst agent pages confirm white-label (20% net-profit share); no program-wide bureau DPs</t>
        </is>
      </c>
      <c r="E77" s="121" t="inlineStr">
        <is>
          <t>—</t>
        </is>
      </c>
      <c r="F77" s="121" t="inlineStr">
        <is>
          <t>https://servisfirstbank.com/agent-bank-credit-card-program</t>
        </is>
      </c>
    </row>
    <row r="78">
      <c r="A78" s="121" t="inlineStr">
        <is>
          <t>2026-04</t>
        </is>
      </c>
      <c r="B78" s="121" t="inlineStr">
        <is>
          <t>First Foundation</t>
        </is>
      </c>
      <c r="C78" s="121" t="inlineStr">
        <is>
          <t>Card/Bureau DP</t>
        </is>
      </c>
      <c r="D78" s="121" t="inlineStr">
        <is>
          <t>Merger completed 4/1/2026; 'cards continue working as today'; system conversion by END Q3 2026; no pull DPs for Card Assets era</t>
        </is>
      </c>
      <c r="E78" s="121" t="inlineStr">
        <is>
          <t>Sunflower FAQ + BusinessWire</t>
        </is>
      </c>
      <c r="F78" s="121" t="inlineStr">
        <is>
          <t>https://www.sunflowerbank.com/about-us/sunflower-bank-first-foundation-customer-faq</t>
        </is>
      </c>
    </row>
    <row r="79">
      <c r="A79" s="121" t="inlineStr">
        <is>
          <t>2024-01</t>
        </is>
      </c>
      <c r="B79" s="121" t="inlineStr">
        <is>
          <t>Sunwest Visionary</t>
        </is>
      </c>
      <c r="C79" s="121" t="inlineStr">
        <is>
          <t>Card/Bureau DP</t>
        </is>
      </c>
      <c r="D79" s="121" t="inlineStr">
        <is>
          <t>Launch: Torpago+Marqeta, Visa, 1% CB, no fees. ZERO user reports anywhere since</t>
        </is>
      </c>
      <c r="E79" s="121" t="inlineStr">
        <is>
          <t>Torpago/PYMNTS press</t>
        </is>
      </c>
      <c r="F79" s="121" t="inlineStr">
        <is>
          <t>https://www.torpago.com/press/sunwest-bank-unveils-its-visionary-card-program-in-dynamic-collaboration-with-torpago-and-marqeta/</t>
        </is>
      </c>
    </row>
    <row r="80">
      <c r="A80" s="123" t="inlineStr">
        <is>
          <t>none</t>
        </is>
      </c>
      <c r="B80" s="121" t="inlineStr">
        <is>
          <t>Enterprise B&amp;T</t>
        </is>
      </c>
      <c r="C80" s="121" t="inlineStr">
        <is>
          <t>Card/Bureau DP</t>
        </is>
      </c>
      <c r="D80" s="121" t="inlineStr">
        <is>
          <t>No DPs (myFICO/Reddit/CreditBoards)</t>
        </is>
      </c>
      <c r="E80" s="121" t="inlineStr">
        <is>
          <t>—</t>
        </is>
      </c>
      <c r="F80" s="121" t="inlineStr">
        <is>
          <t>https://www.enterprisebank.com/business/credit-cards</t>
        </is>
      </c>
    </row>
    <row r="81">
      <c r="A81" s="123" t="inlineStr">
        <is>
          <t>none</t>
        </is>
      </c>
      <c r="B81" s="121" t="inlineStr">
        <is>
          <t>Rize</t>
        </is>
      </c>
      <c r="C81" s="121" t="inlineStr">
        <is>
          <t>Card/Bureau DP</t>
        </is>
      </c>
      <c r="D81" s="121" t="inlineStr">
        <is>
          <t>No DPs under SCE FCU / SCE Federal / Rize — mentor's TU unverifiable publicly</t>
        </is>
      </c>
      <c r="E81" s="121" t="inlineStr">
        <is>
          <t>—</t>
        </is>
      </c>
      <c r="F81" s="121" t="inlineStr">
        <is>
          <t>https://rizecu.com/business-visa/</t>
        </is>
      </c>
    </row>
    <row r="82">
      <c r="A82" s="121" t="inlineStr">
        <is>
          <t>2022-04</t>
        </is>
      </c>
      <c r="B82" s="121" t="inlineStr">
        <is>
          <t>Kinecta</t>
        </is>
      </c>
      <c r="C82" s="121" t="inlineStr">
        <is>
          <t>Card/Bureau DP</t>
        </is>
      </c>
      <c r="D82" s="121" t="inlineStr">
        <is>
          <t>MyPower MC $35K personal, hard pull EXPERIAN; 2ND CARD ISSUED ON SAME HP ~1 week later (HP-reuse documented); CA resident, post-BK7, EX742</t>
        </is>
      </c>
      <c r="E82" s="121" t="inlineStr">
        <is>
          <t>myFICO</t>
        </is>
      </c>
      <c r="F82" s="121" t="inlineStr">
        <is>
          <t>https://ficoforums.myfico.com/t5/Credit-Card-Approvals/I-m-Embarra-ed-2nd-Personal-Kinecta-FCU-CC-Same-HP/td-p/6520919</t>
        </is>
      </c>
    </row>
    <row r="83">
      <c r="A83" s="123" t="inlineStr">
        <is>
          <t>none</t>
        </is>
      </c>
      <c r="B83" s="121" t="inlineStr">
        <is>
          <t>Logix/Altura/CCU</t>
        </is>
      </c>
      <c r="C83" s="121" t="inlineStr">
        <is>
          <t>Card/Bureau DP</t>
        </is>
      </c>
      <c r="D83" s="121" t="inlineStr">
        <is>
          <t>No bureau/limit DPs for any of the three</t>
        </is>
      </c>
      <c r="E83" s="121" t="inlineStr">
        <is>
          <t>—</t>
        </is>
      </c>
      <c r="F83" s="121" t="n"/>
    </row>
    <row r="84">
      <c r="A84" s="135" t="inlineStr">
        <is>
          <t>ISSUING-PLATFORM PULL PATTERNS (predict storefront behavior)</t>
        </is>
      </c>
      <c r="B84" s="117" t="n"/>
      <c r="C84" s="117" t="n"/>
      <c r="D84" s="117" t="n"/>
      <c r="E84" s="117" t="n"/>
      <c r="F84" s="118" t="n"/>
    </row>
    <row r="85">
      <c r="A85" s="121" t="inlineStr">
        <is>
          <t>(pattern)</t>
        </is>
      </c>
      <c r="B85" s="121" t="inlineStr">
        <is>
          <t>Elan</t>
        </is>
      </c>
      <c r="C85" s="121" t="inlineStr">
        <is>
          <t>Platform</t>
        </is>
      </c>
      <c r="D85" s="121" t="inlineStr">
        <is>
          <t>TU — 2023-10 crowdsource DP + 2026-02 live agent approvals (Fulton $3K; Ameris $8K/NBKC $8K one profile) — td-p/6715854, td-p/6860230</t>
        </is>
      </c>
      <c r="E85" s="121" t="inlineStr">
        <is>
          <t>forum crowdsource + guides</t>
        </is>
      </c>
      <c r="F85" s="121" t="inlineStr">
        <is>
          <t>see refs in pattern text</t>
        </is>
      </c>
    </row>
    <row r="86">
      <c r="A86" s="121" t="inlineStr">
        <is>
          <t>(pattern)</t>
        </is>
      </c>
      <c r="B86" s="121" t="inlineStr">
        <is>
          <t>FNBO</t>
        </is>
      </c>
      <c r="C86" s="121" t="inlineStr">
        <is>
          <t>Platform</t>
        </is>
      </c>
      <c r="D86" s="121" t="inlineStr">
        <is>
          <t>EX — 2023-10 'Evergreen Business MC instant EX HP at 805' + 2026-04 Evergreen Biz Visa $20K — td-p/6715854, td-p/6860230</t>
        </is>
      </c>
      <c r="E86" s="121" t="inlineStr">
        <is>
          <t>forum crowdsource + guides</t>
        </is>
      </c>
      <c r="F86" s="121" t="inlineStr">
        <is>
          <t>see refs in pattern text</t>
        </is>
      </c>
    </row>
    <row r="87">
      <c r="A87" s="121" t="inlineStr">
        <is>
          <t>(pattern)</t>
        </is>
      </c>
      <c r="B87" s="121" t="inlineStr">
        <is>
          <t>CorServ/Apex</t>
        </is>
      </c>
      <c r="C87" s="121" t="inlineStr">
        <is>
          <t>Platform</t>
        </is>
      </c>
      <c r="D87" s="121" t="inlineStr">
        <is>
          <t>Bureau UNKNOWN — zero public DPs (EX stays inference)</t>
        </is>
      </c>
      <c r="E87" s="121" t="inlineStr">
        <is>
          <t>forum crowdsource + guides</t>
        </is>
      </c>
      <c r="F87" s="121" t="inlineStr">
        <is>
          <t>see refs in pattern text</t>
        </is>
      </c>
    </row>
    <row r="88">
      <c r="A88" s="121" t="inlineStr">
        <is>
          <t>(pattern)</t>
        </is>
      </c>
      <c r="B88" s="121" t="inlineStr">
        <is>
          <t>TIB N.A.</t>
        </is>
      </c>
      <c r="C88" s="121" t="inlineStr">
        <is>
          <t>Platform</t>
        </is>
      </c>
      <c r="D88" s="121" t="inlineStr">
        <is>
          <t>Bureau NOT DOCUMENTED publicly (Mar 2026 guide leaves unspecified)</t>
        </is>
      </c>
      <c r="E88" s="121" t="inlineStr">
        <is>
          <t>forum crowdsource + guides</t>
        </is>
      </c>
      <c r="F88" s="121" t="inlineStr">
        <is>
          <t>see refs in pattern text</t>
        </is>
      </c>
    </row>
    <row r="89">
      <c r="A89" s="121" t="inlineStr">
        <is>
          <t>(pattern)</t>
        </is>
      </c>
      <c r="B89" s="121" t="inlineStr">
        <is>
          <t>Card Assets/First Arkansas</t>
        </is>
      </c>
      <c r="C89" s="121" t="inlineStr">
        <is>
          <t>Platform</t>
        </is>
      </c>
      <c r="D89" s="121" t="inlineStr">
        <is>
          <t>No pull DPs; continuity governed by Sunflower conversion (Q3 2026)</t>
        </is>
      </c>
      <c r="E89" s="121" t="inlineStr">
        <is>
          <t>forum crowdsource + guides</t>
        </is>
      </c>
      <c r="F89" s="121" t="inlineStr">
        <is>
          <t>see refs in pattern text</t>
        </is>
      </c>
    </row>
    <row r="90">
      <c r="A90" s="121" t="inlineStr">
        <is>
          <t>(pattern)</t>
        </is>
      </c>
      <c r="B90" s="121" t="inlineStr">
        <is>
          <t>ServisFirst</t>
        </is>
      </c>
      <c r="C90" s="121" t="inlineStr">
        <is>
          <t>Platform</t>
        </is>
      </c>
      <c r="D90" s="121" t="inlineStr">
        <is>
          <t>'Variable by institution' per Mar 2026 guide; no forum DPs</t>
        </is>
      </c>
      <c r="E90" s="121" t="inlineStr">
        <is>
          <t>forum crowdsource + guides</t>
        </is>
      </c>
      <c r="F90" s="121" t="inlineStr">
        <is>
          <t>see refs in pattern text</t>
        </is>
      </c>
    </row>
    <row r="91">
      <c r="A91" s="121" t="inlineStr">
        <is>
          <t>(pattern)</t>
        </is>
      </c>
      <c r="B91" s="121" t="inlineStr">
        <is>
          <t>TCM</t>
        </is>
      </c>
      <c r="C91" s="121" t="inlineStr">
        <is>
          <t>Platform</t>
        </is>
      </c>
      <c r="D91" s="121" t="inlineStr">
        <is>
          <t>EX per Mar 2026 guide</t>
        </is>
      </c>
      <c r="E91" s="121" t="inlineStr">
        <is>
          <t>forum crowdsource + guides</t>
        </is>
      </c>
      <c r="F91" s="121" t="inlineStr">
        <is>
          <t>see refs in pattern text</t>
        </is>
      </c>
    </row>
  </sheetData>
  <mergeCells count="4">
    <mergeCell ref="A2:F2"/>
    <mergeCell ref="A1:F1"/>
    <mergeCell ref="A56:F56"/>
    <mergeCell ref="A84:F84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40" customWidth="1" min="2" max="2"/>
  </cols>
  <sheetData>
    <row r="1">
      <c r="A1" s="113" t="inlineStr">
        <is>
          <t>STRATEGY &amp; ENHANCEMENTS — what the EWS/Chex + DP evidence actually means for the sprint</t>
        </is>
      </c>
    </row>
    <row r="3">
      <c r="A3" s="140" t="inlineStr">
        <is>
          <t>① SEPARATE BANKING FROM CARDING (the core play)</t>
        </is>
      </c>
      <c r="B3" s="121" t="inlineStr">
        <is>
          <t>Open operating/deposit accounts ONLY at confirmed no-Chex business banks: Mercury [no-pull 2025-03 + works-frozen DP], Found [2024-10, reaffirmed 2026-06-04], BlueVine [2024-07], Live Oak [2022-10 + 2026-03-27 reaffirm]. Lili's DP is aging [2021-06]. ⚠ AVOID Grasshopper — flipped to pulling Chex ~April 2026 (detects freeze, demands lift; DPs 2026-04-16 + 2026-06-04). Card targets then only cost you their own membership/checking gates — links in Tab 6.</t>
        </is>
      </c>
    </row>
    <row r="4">
      <c r="A4" s="141" t="inlineStr">
        <is>
          <t>② FREEZE BOTH SCREENS BY DEFAULT, LIFT SELECTIVELY</t>
        </is>
      </c>
      <c r="B4" s="121" t="inlineStr">
        <is>
          <t>ChexSystems freeze is FREE + self-service: place=https://www.chexsystems.com/security-freeze/place-freeze · lookup=https://www.chexsystems.com/security-freeze/lookup-your-security-freeze. EWS has NO self-service freeze page — call 800-745-1560 / consumerservices.earlywarning.com; freeze rights documented in EWS's own sample disclosure PDF [2022-07, link in Tab 6]. EVIDENCE the freeze works: PNC 'successfully blocked by freezing Chex' [2026-03-27]; Mercury [2025-03-21], Novo [2025-01-13], E*Trade/Morgan Stanley + Climate First [2026-04-14], Andrews FCU [2026-06-04] all approved frozen. WHO DEMANDS A LIFT: California CU [2026-06-05], Rize (users unfreeze first, 2026-01-28), Grasshopper [2026-04-16], OnPath [2026-04-14]. Default = frozen; thaw only for a target that blocks.</t>
        </is>
      </c>
    </row>
    <row r="5">
      <c r="A5" s="141" t="inlineStr">
        <is>
          <t>③ PULL YOUR OWN REPORTS FIRST (free, no risk)</t>
        </is>
      </c>
      <c r="B5" s="121" t="inlineStr">
        <is>
          <t>Before the sprint: pull your ChexSystems consumer disclosure + EWS file disclosure (free, FCRA). You'll see exactly what any RED-tier bank sees + your inquiry count. Premier America denies at 3 Chex inquiries/90 days [2025-12-30 DP] — know your count before you spend an application.</t>
        </is>
      </c>
    </row>
    <row r="6">
      <c r="A6" s="141" t="inlineStr">
        <is>
          <t>④ SEQUENCE BY PULL COST</t>
        </is>
      </c>
      <c r="B6" s="121" t="inlineStr">
        <is>
          <t>Phase 0 — NO personal pull: Sunwest Visionary (Torpago cash-flow UW), Mercury IO, Ramp (needs $25K in any biz bank). Phase 1 — SOFT pull: PNC BusinessOptions soft-EQ ($25K [2022-09] / $19K+$100K BLOC [2022-03] / $50K told-to-unfreeze-EQ DPs — note banker criterion 2+ YEARS in business + one EX-HARD outlier DP [2023-10]); KeyBank soft-EQ claim = NO dated public confirmation — treat as unverified. Phase 2 — bureau-spread HARD pulls using mentor's buckets (verified version, Tab 1): EX day / EQ day / TU day. Phase 3 — membership/CU pulls BATCHED: Kinecta documented issuing a 2ND card on the SAME EX hard pull ~1 week later [2022-04, $35K] — ask for multi-product on one HP; SDCCU membership HP believed re-used for card apps [2024-05].</t>
        </is>
      </c>
    </row>
    <row r="7">
      <c r="A7" s="141" t="inlineStr">
        <is>
          <t>⑤ INQUIRY-SENSITIVITY MAP (who cares about your velocity)</t>
        </is>
      </c>
      <c r="B7" s="121" t="inlineStr">
        <is>
          <t>INSENSITIVE: BMO (approved at 28 inquiries / 10 new accounts [2022-08]); OnPath (Chex-insensitive [2026-04]). SENSITIVE: Premier America (3 Chex inq/90d policy), LAFCU (denied PERSONAL Visa at 4/24 with 839 EX! [2022-09 thread]), California CU (instant Chex-inquiry denial), Rize ('Chex Sensitive' in DoC title), Banner (Chex-inq denials, NO override), SDCCU (conservative, new-corp refusals). Do sensitive targets FIRST, insensitive (BMO) LAST.</t>
        </is>
      </c>
    </row>
    <row r="8">
      <c r="A8" s="141" t="inlineStr">
        <is>
          <t>⑥ ENTITY TRAPS (every one of these burned a search this week)</t>
        </is>
      </c>
      <c r="B8" s="121" t="inlineStr">
        <is>
          <t>City National WV ≠ City National LA · First Bank MO (first.bank) ≠ FirstBank CO ≠ First Bank MS/WI · LAFCU lafcu.org (LA) ≠ lafcu.com (Lansing MI) · Sun Federal CU (Toledo OH) ≠ Sun Community FCU (El Centro CA) · SunWest Educational CU (AZ) ≠ Sunwest Bank · Banner FEDERAL CU (=Elan) ≠ Banner Bank · Premier Members CU (CO) ≠ Premier America CU (CA) · SDFCU (State Dept) ≠ SDCCU · Enterprise Bank Pittsburgh ≠ Enterprise Bank &amp; Trust MO. When a list says a bank 'pulls' — check WHICH bank.</t>
        </is>
      </c>
    </row>
    <row r="9">
      <c r="A9" s="141" t="inlineStr">
        <is>
          <t>⑦ DATA DISCIPLINE (why you asked for dates — proven right)</t>
        </is>
      </c>
      <c r="B9" s="121" t="inlineStr">
        <is>
          <t>Three verdicts FLIPPED on dated evidence this pass: Grasshopper (no-pull → pulls, Apr 2026), California CU (silent → Chex-sensitive ×4 DPs 2026), PNC (assumed Chex-puller → 2026 DPs say no-Chex/freeze-works, EWS is the screen). RULES: (a) every DP gets a date+link (Tab 6); (b) re-verify anything &gt;12 months before acting; (c) calendar items: WaFd reopens 6/30 (confirm new provider ≠ Elan), First Foundation/Sunflower conversion end-Q3-2026 (re-test the 2025-03 no-Chex DP after); (d) log your own outcomes (date/bureau/product/limit) — your DPs beat forum DPs.</t>
        </is>
      </c>
    </row>
    <row r="10">
      <c r="A10" s="141" t="inlineStr">
        <is>
          <t>⑧ HOW THE FINDS WERE FOUND (sourcing trail, per your ask)</t>
        </is>
      </c>
      <c r="B10" s="121" t="inlineStr">
        <is>
          <t>LAFCU: mentor named it → lafcu.org product/membership pages + myFICO 'LAFCU DP and Info' td-p/6596415 [2022-09→2023-02] + their checking page (Chex + hard-pull disclosure). Enterprise B&amp;T: hypothesis from First Choice Bank acquisition → enterprisebank.com card pages + FIS portal tells (ezcardinfo/ezbusinesscardmanagement). WaFd: mentor + wafdbank.com + myFICO td-p/6674742. ACCU/Flagstar/Woori/Eagle/Shinhan/Wallis: systematic OC-IE-Koreatown sweep with portal-decode (myapexcard=CorServ, mycardstatement=TCM, myaccountaccess=Elan, 24-7cardaccess=Card Assets, dxonline.pscu=PSCU). Tier evidence: DoC comment archive (dates via WP API), myFICO, depositaccounts, banks' own disclosure PDFs (pdftotext).</t>
        </is>
      </c>
    </row>
    <row r="11">
      <c r="A11" s="141" t="inlineStr">
        <is>
          <t>⑨ RECOMMENDED NEXT IMPROVEMENTS</t>
        </is>
      </c>
      <c r="B11" s="121" t="inlineStr">
        <is>
          <t>1) Call scripts this week: LAFCU (does the 2-yr rule bind the CARD or just loans? can membership HP be reused?), Wallis Bank LA (who issues — if mycardstatement/TCM → NO-GO), CB&amp;T at application (which bureau? — publicly UNEVIDENCED, zero applicant DPs ever), Rize RM (mentor's no-doc/TU claims). 2) Mentor asks: date his TU pulls (Banner/WAL/WaFd) + which Sunwest product his EX memory is from + Elan-storefront policy (Valley/FWT). 3) ibanknet manual pulls for current-month HP verification before each application day (his method). 4) After each app, append your outcome to Tab 6 — the log compounds. 5) Re-run the Chex tier check quarterly; DoC page updates ~annually but comments are live.</t>
        </is>
      </c>
    </row>
  </sheetData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2" customWidth="1" min="3" max="3"/>
    <col width="58" customWidth="1" min="4" max="4"/>
  </cols>
  <sheetData>
    <row r="1">
      <c r="A1" s="113" t="inlineStr">
        <is>
          <t>CONFLICTS, QUESTIONS &amp; CALENDAR — v2 (2026-06-09)</t>
        </is>
      </c>
    </row>
    <row r="3">
      <c r="A3" s="142" t="inlineStr">
        <is>
          <t>#</t>
        </is>
      </c>
      <c r="B3" s="142" t="inlineStr">
        <is>
          <t>Topic</t>
        </is>
      </c>
      <c r="C3" s="142" t="inlineStr">
        <is>
          <t>Evidence (dated)</t>
        </is>
      </c>
      <c r="D3" s="142" t="inlineStr">
        <is>
          <t>Ask / action</t>
        </is>
      </c>
    </row>
    <row r="4">
      <c r="A4" s="121" t="n">
        <v>1</v>
      </c>
      <c r="B4" s="120" t="inlineStr">
        <is>
          <t>Tustin = no card</t>
        </is>
      </c>
      <c r="C4" s="121" t="inlineStr">
        <is>
          <t>Live 6/9 re-check: debit only; no agent portals; FDIC 32908 single office.</t>
        </is>
      </c>
      <c r="D4" s="121" t="inlineStr">
        <is>
          <t>ASK MENTOR: what product was pulled? Different Tustin-area bank?</t>
        </is>
      </c>
    </row>
    <row r="5">
      <c r="A5" s="121" t="n">
        <v>2</v>
      </c>
      <c r="B5" s="120" t="inlineStr">
        <is>
          <t>Sunwest EX = stale</t>
        </is>
      </c>
      <c r="C5" s="121" t="inlineStr">
        <is>
          <t>Legacy ELAN program on 2015 site (archive.org, elancard loc 23671), gone ~2019; Visionary = no personal pull (Torpago press 2024-01).</t>
        </is>
      </c>
      <c r="D5" s="121" t="inlineStr">
        <is>
          <t>ASK: which product/year was his EX pull? Visionary changes the play entirely.</t>
        </is>
      </c>
    </row>
    <row r="6">
      <c r="A6" s="121" t="n">
        <v>3</v>
      </c>
      <c r="B6" s="120" t="inlineStr">
        <is>
          <t>First Western Trust = Elan</t>
        </is>
      </c>
      <c r="C6" s="121" t="inlineStr">
        <is>
          <t>myfw.com/login → myaccountaccess theme=elan1 loc=17029; 10-K shows no own card lending.</t>
        </is>
      </c>
      <c r="D6" s="121" t="inlineStr">
        <is>
          <t>His own NO-GO bucket. ASK: Elan storefronts case-by-case OK or not?</t>
        </is>
      </c>
    </row>
    <row r="7">
      <c r="A7" s="121" t="n">
        <v>4</v>
      </c>
      <c r="B7" s="120" t="inlineStr">
        <is>
          <t>Valley = Elan</t>
        </is>
      </c>
      <c r="C7" s="121" t="inlineStr">
        <is>
          <t>vnb.com verbatim disclosure; Chex-sensitive online (crediful 2025-10; your docs' 2025-26 DPs).</t>
        </is>
      </c>
      <c r="D7" s="121" t="inlineStr">
        <is>
          <t>Same Elan-policy question.</t>
        </is>
      </c>
    </row>
    <row r="8">
      <c r="A8" s="121" t="n">
        <v>5</v>
      </c>
      <c r="B8" s="120" t="inlineStr">
        <is>
          <t>First Citizens bureau</t>
        </is>
      </c>
      <c r="C8" s="121" t="inlineStr">
        <is>
          <t>Banker [2023-08]: biz card = all-3 blend (EX visible on Nav); consumer = EQ [2021-08]. No 2024+ DPs.</t>
        </is>
      </c>
      <c r="D8" s="121" t="inlineStr">
        <is>
          <t>ASK: was his EQ pull on the BUSINESS card, and when?</t>
        </is>
      </c>
    </row>
    <row r="9">
      <c r="A9" s="121" t="n">
        <v>6</v>
      </c>
      <c r="B9" s="120" t="inlineStr">
        <is>
          <t>KeyBank + PNC history</t>
        </is>
      </c>
      <c r="C9" s="121" t="inlineStr">
        <is>
          <t>Alan declined at both previously (no local presence). KeyBank soft-EQ claim has zero dated public confirmation. PNC banker criterion: 2+ yrs TIB [2022-09 DP].</t>
        </is>
      </c>
      <c r="D9" s="121" t="inlineStr">
        <is>
          <t>ASK: do his approvals run through a branch/banker relationship?</t>
        </is>
      </c>
    </row>
    <row r="10">
      <c r="A10" s="121" t="n">
        <v>7</v>
      </c>
      <c r="B10" s="120" t="inlineStr">
        <is>
          <t>LAFCU gates</t>
        </is>
      </c>
      <c r="C10" s="121" t="inlineStr">
        <is>
          <t>2-FULL-YEARS TIB stated on biz-lending page; membership=TU HP [2021-06]; personal card=EX HP, denied @4/24 [2022-05]; Chex + HARD pull at account opening (own site, live 6/9).</t>
        </is>
      </c>
      <c r="D10" s="121" t="inlineStr">
        <is>
          <t>ASK: did his LAFCU fundings beat the 2-yr rule? How?</t>
        </is>
      </c>
    </row>
    <row r="11">
      <c r="A11" s="121" t="n">
        <v>8</v>
      </c>
      <c r="B11" s="120" t="inlineStr">
        <is>
          <t>WaFd 6/30</t>
        </is>
      </c>
      <c r="C11" s="121" t="inlineStr">
        <is>
          <t>Apps PAUSED; 'upgrading credit card providers… June 30' (live banner 6/9); new provider UNNAMED anywhere.</t>
        </is>
      </c>
      <c r="D11" s="121" t="inlineStr">
        <is>
          <t>📅 CALENDAR 6/30: confirm provider ≠ Elan + bureau before applying.</t>
        </is>
      </c>
    </row>
    <row r="12">
      <c r="A12" s="121" t="n">
        <v>9</v>
      </c>
      <c r="B12" s="120" t="inlineStr">
        <is>
          <t>CB&amp;T branch-verify + bureau</t>
        </is>
      </c>
      <c r="C12" s="121" t="inlineStr">
        <is>
          <t>Online NAOP app = fully self-service for US-citizen direct-owned CA LLC (form text 6/9). Bureau = UNEVIDENCED publicly: ZERO applicant DPs ever (2020 thread had 0 applicants; 2023 thread 0 replies).</t>
        </is>
      </c>
      <c r="D12" s="121" t="inlineStr">
        <is>
          <t>Treat 'EX most-cited' as folklore. Ask the banker at application which bureau; log it — your DP becomes the first public-grade one.</t>
        </is>
      </c>
    </row>
    <row r="13">
      <c r="A13" s="121" t="n">
        <v>10</v>
      </c>
      <c r="B13" s="120" t="inlineStr">
        <is>
          <t>California CU vs his EQ pick</t>
        </is>
      </c>
      <c r="C13" s="121" t="inlineStr">
        <is>
          <t>Chex-sensitive ×4 [2026-01→06]: instant online denial on Chex inquiries; in-branch equally sensitive; must UNFREEZE Chex to proceed.</t>
        </is>
      </c>
      <c r="D13" s="121" t="inlineStr">
        <is>
          <t>Join via ACC BEFORE racking Chex inquiries; keep Chex frozen elsewhere, thaw for CCU only.</t>
        </is>
      </c>
    </row>
    <row r="14">
      <c r="A14" s="121" t="n">
        <v>11</v>
      </c>
      <c r="B14" s="120" t="inlineStr">
        <is>
          <t>Banner = hardest Chex gate on his list</t>
        </is>
      </c>
      <c r="C14" s="121" t="inlineStr">
        <is>
          <t>QualiFile AUTO-DENY, no branch override [2026-03 ×2 + 2026-01]; BUSINESS checking declined too [2023-05]; TU claim uncorroborated since 2019.</t>
        </is>
      </c>
      <c r="D14" s="121" t="inlineStr">
        <is>
          <t>If Chex file isn't clean, skip Banner entirely — no human can override.</t>
        </is>
      </c>
    </row>
    <row r="15">
      <c r="A15" s="121" t="n">
        <v>12</v>
      </c>
      <c r="B15" s="120" t="inlineStr">
        <is>
          <t>PNC = EWS bank, not Chex</t>
        </is>
      </c>
      <c r="C15" s="121" t="inlineStr">
        <is>
          <t>2026 DPs: did NOT pull Chex / freeze blocked it [2026-03-27 + 04-14]; EWS 'New Account Opening Score' bank list includes PNC [2022-08].</t>
        </is>
      </c>
      <c r="D15" s="121" t="inlineStr">
        <is>
          <t>Freeze Chex freely; PNC risk lives in EWS — pull your EWS file first.</t>
        </is>
      </c>
    </row>
    <row r="16">
      <c r="A16" s="121" t="n">
        <v>13</v>
      </c>
      <c r="B16" s="120" t="inlineStr">
        <is>
          <t>Grasshopper flip</t>
        </is>
      </c>
      <c r="C16" s="121" t="inlineStr">
        <is>
          <t>No-pull/soft-EQ [2025-01] → detects frozen Chex, demands lift [2026-04-16]; 'started pulling' [2026-06-04].</t>
        </is>
      </c>
      <c r="D16" s="121" t="inlineStr">
        <is>
          <t>Removed from no-Chex banking layer. Use Mercury/Found/BlueVine/Live Oak.</t>
        </is>
      </c>
    </row>
    <row r="17">
      <c r="A17" s="121" t="n">
        <v>14</v>
      </c>
      <c r="B17" s="120" t="inlineStr">
        <is>
          <t>First Foundation / Sunflower</t>
        </is>
      </c>
      <c r="C17" s="121" t="inlineStr">
        <is>
          <t>FF no-Chex DP [2025-03-19] is PRE-merger; Sunflower charter pulls [2016/2018 DPs]; conversion end-Q3-2026; cards 'continue working' per FAQ [2026-03-31].</t>
        </is>
      </c>
      <c r="D17" s="121" t="inlineStr">
        <is>
          <t>Re-test Chex behavior + Card Assets program after Q3 2026 conversion.</t>
        </is>
      </c>
    </row>
    <row r="18">
      <c r="A18" s="121" t="n">
        <v>15</v>
      </c>
      <c r="B18" s="120" t="inlineStr">
        <is>
          <t>New NO-GOs by extension</t>
        </is>
      </c>
      <c r="C18" s="121" t="inlineStr">
        <is>
          <t>Water &amp; Power CCU = Elan (verbatim). Brex = Capital One-owned [closed 2026-04-07].</t>
        </is>
      </c>
      <c r="D18" s="121" t="inlineStr">
        <is>
          <t>Inherit the NO-GO list.</t>
        </is>
      </c>
    </row>
    <row r="19">
      <c r="A19" s="121" t="n">
        <v>16</v>
      </c>
      <c r="B19" s="120" t="inlineStr">
        <is>
          <t>Bureau-evidence grades (overall)</t>
        </is>
      </c>
      <c r="C19" s="121" t="inlineStr">
        <is>
          <t>Hard dated bureau DPs exist ONLY for: PNC (soft-EQ ×3 + EX-hard outlier), BMO (TU ×2), LAFCU (TU member / EX card), Kinecta (EX + HP-reuse), Premier America (EX ×2), First Citizens (blend/EQ), SDCCU (EX-believed). Everything else on the bureau map = mentor-only or platform-pattern.</t>
        </is>
      </c>
      <c r="D19" s="121" t="inlineStr">
        <is>
          <t>Tag every list entry with its evidence grade; prefer targets where the bureau is KNOWN so the spread plan actually spreads.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6" customWidth="1" min="4" max="4"/>
    <col width="20" customWidth="1" min="5" max="5"/>
    <col width="9" customWidth="1" min="6" max="6"/>
    <col width="24" customWidth="1" min="7" max="7"/>
    <col width="52" customWidth="1" min="8" max="8"/>
  </cols>
  <sheetData>
    <row r="1">
      <c r="A1" s="113" t="inlineStr">
        <is>
          <t>FDIC SOD BRANCH CENSUS — every FDIC bank with a branch in LA / Orange / Riverside / San Bernardino (2026-06-09)</t>
        </is>
      </c>
    </row>
    <row r="2">
      <c r="A2" s="114" t="inlineStr">
        <is>
          <t>Source: banks.data.fdic.gov/bankfind-suite/SOD/branchOffice (API; June-2025 SOD, 2,383 branches → 113 institutions). Status vs our evaluated universe. GAP rows = the discovery queue — this census is the fix for the Enterprise-class misses (HQ-filter blind spot). Re-run after each annual SOD release.</t>
        </is>
      </c>
    </row>
    <row r="4">
      <c r="A4" s="115" t="inlineStr">
        <is>
          <t>CERT</t>
        </is>
      </c>
      <c r="B4" s="115" t="inlineStr">
        <is>
          <t>Institution</t>
        </is>
      </c>
      <c r="C4" s="115" t="inlineStr">
        <is>
          <t>Branches (4 cty)</t>
        </is>
      </c>
      <c r="D4" s="115" t="inlineStr">
        <is>
          <t>Deposits $K (4 cty)</t>
        </is>
      </c>
      <c r="E4" s="115" t="inlineStr">
        <is>
          <t>Counties</t>
        </is>
      </c>
      <c r="F4" s="115" t="inlineStr">
        <is>
          <t>HQ local?</t>
        </is>
      </c>
      <c r="G4" s="115" t="inlineStr">
        <is>
          <t>Status</t>
        </is>
      </c>
      <c r="H4" s="115" t="inlineStr">
        <is>
          <t>Note</t>
        </is>
      </c>
    </row>
    <row r="5">
      <c r="A5" s="121" t="inlineStr">
        <is>
          <t>34775</t>
        </is>
      </c>
      <c r="B5" s="120" t="inlineStr">
        <is>
          <t>EverBank, National Association</t>
        </is>
      </c>
      <c r="C5" s="121" t="n">
        <v>7</v>
      </c>
      <c r="D5" s="121" t="n">
        <v>570430</v>
      </c>
      <c r="E5" s="121" t="inlineStr">
        <is>
          <t xml:space="preserve">Los +Oran+San </t>
        </is>
      </c>
      <c r="F5" s="121" t="inlineStr">
        <is>
          <t>N</t>
        </is>
      </c>
      <c r="G5" s="119" t="inlineStr">
        <is>
          <t>GAP — never evaluated</t>
        </is>
      </c>
      <c r="H5" s="121" t="inlineStr">
        <is>
          <t>→ screening queue</t>
        </is>
      </c>
    </row>
    <row r="6">
      <c r="A6" s="121" t="inlineStr">
        <is>
          <t>24387</t>
        </is>
      </c>
      <c r="B6" s="120" t="inlineStr">
        <is>
          <t>Industrial and Commercial Bank of China USA, National Association</t>
        </is>
      </c>
      <c r="C6" s="121" t="n">
        <v>5</v>
      </c>
      <c r="D6" s="121" t="n">
        <v>433614</v>
      </c>
      <c r="E6" s="121" t="inlineStr">
        <is>
          <t xml:space="preserve">Los </t>
        </is>
      </c>
      <c r="F6" s="121" t="inlineStr">
        <is>
          <t>N</t>
        </is>
      </c>
      <c r="G6" s="119" t="inlineStr">
        <is>
          <t>GAP — never evaluated</t>
        </is>
      </c>
      <c r="H6" s="121" t="inlineStr">
        <is>
          <t>→ screening queue</t>
        </is>
      </c>
    </row>
    <row r="7">
      <c r="A7" s="121" t="inlineStr">
        <is>
          <t>57890</t>
        </is>
      </c>
      <c r="B7" s="120" t="inlineStr">
        <is>
          <t>HSBC Bank USA, National Association</t>
        </is>
      </c>
      <c r="C7" s="121" t="n">
        <v>3</v>
      </c>
      <c r="D7" s="121" t="n">
        <v>9911674</v>
      </c>
      <c r="E7" s="121" t="inlineStr">
        <is>
          <t>Los +Oran</t>
        </is>
      </c>
      <c r="F7" s="121" t="inlineStr">
        <is>
          <t>N</t>
        </is>
      </c>
      <c r="G7" s="119" t="inlineStr">
        <is>
          <t>GAP — never evaluated</t>
        </is>
      </c>
      <c r="H7" s="121" t="inlineStr">
        <is>
          <t>→ queue. NOTE: HSBC exited US mass-retail 2021; commercial/premier focus — verify biz-card channel</t>
        </is>
      </c>
    </row>
    <row r="8">
      <c r="A8" s="121" t="inlineStr">
        <is>
          <t>34656</t>
        </is>
      </c>
      <c r="B8" s="120" t="inlineStr">
        <is>
          <t>American First National Bank</t>
        </is>
      </c>
      <c r="C8" s="121" t="n">
        <v>3</v>
      </c>
      <c r="D8" s="121" t="n">
        <v>419284</v>
      </c>
      <c r="E8" s="121" t="inlineStr">
        <is>
          <t xml:space="preserve">Los </t>
        </is>
      </c>
      <c r="F8" s="121" t="inlineStr">
        <is>
          <t>N</t>
        </is>
      </c>
      <c r="G8" s="119" t="inlineStr">
        <is>
          <t>GAP — never evaluated</t>
        </is>
      </c>
      <c r="H8" s="121" t="inlineStr">
        <is>
          <t>→ screening queue</t>
        </is>
      </c>
    </row>
    <row r="9">
      <c r="A9" s="121" t="inlineStr">
        <is>
          <t>26223</t>
        </is>
      </c>
      <c r="B9" s="120" t="inlineStr">
        <is>
          <t>Golden Bank, National Association</t>
        </is>
      </c>
      <c r="C9" s="121" t="n">
        <v>3</v>
      </c>
      <c r="D9" s="121" t="n">
        <v>369290</v>
      </c>
      <c r="E9" s="121" t="inlineStr">
        <is>
          <t>Los +Oran</t>
        </is>
      </c>
      <c r="F9" s="121" t="inlineStr">
        <is>
          <t>N</t>
        </is>
      </c>
      <c r="G9" s="119" t="inlineStr">
        <is>
          <t>GAP — never evaluated</t>
        </is>
      </c>
      <c r="H9" s="121" t="inlineStr">
        <is>
          <t>→ screening queue</t>
        </is>
      </c>
    </row>
    <row r="10">
      <c r="A10" s="121" t="inlineStr">
        <is>
          <t>19977</t>
        </is>
      </c>
      <c r="B10" s="120" t="inlineStr">
        <is>
          <t>Israel Discount Bank of New York</t>
        </is>
      </c>
      <c r="C10" s="121" t="n">
        <v>2</v>
      </c>
      <c r="D10" s="121" t="n">
        <v>840384</v>
      </c>
      <c r="E10" s="121" t="inlineStr">
        <is>
          <t xml:space="preserve">Los </t>
        </is>
      </c>
      <c r="F10" s="121" t="inlineStr">
        <is>
          <t>N</t>
        </is>
      </c>
      <c r="G10" s="119" t="inlineStr">
        <is>
          <t>GAP — never evaluated</t>
        </is>
      </c>
      <c r="H10" s="121" t="inlineStr">
        <is>
          <t>→ screening queue</t>
        </is>
      </c>
    </row>
    <row r="11">
      <c r="A11" s="121" t="inlineStr">
        <is>
          <t>25093</t>
        </is>
      </c>
      <c r="B11" s="120" t="inlineStr">
        <is>
          <t>Habib American Bank</t>
        </is>
      </c>
      <c r="C11" s="121" t="n">
        <v>2</v>
      </c>
      <c r="D11" s="121" t="n">
        <v>612187</v>
      </c>
      <c r="E11" s="121" t="inlineStr">
        <is>
          <t xml:space="preserve">Los </t>
        </is>
      </c>
      <c r="F11" s="121" t="inlineStr">
        <is>
          <t>N</t>
        </is>
      </c>
      <c r="G11" s="119" t="inlineStr">
        <is>
          <t>GAP — never evaluated</t>
        </is>
      </c>
      <c r="H11" s="121" t="inlineStr">
        <is>
          <t>→ screening queue</t>
        </is>
      </c>
    </row>
    <row r="12">
      <c r="A12" s="121" t="inlineStr">
        <is>
          <t>23966</t>
        </is>
      </c>
      <c r="B12" s="120" t="inlineStr">
        <is>
          <t>OneUnited Bank</t>
        </is>
      </c>
      <c r="C12" s="121" t="n">
        <v>2</v>
      </c>
      <c r="D12" s="121" t="n">
        <v>476360</v>
      </c>
      <c r="E12" s="121" t="inlineStr">
        <is>
          <t xml:space="preserve">Los </t>
        </is>
      </c>
      <c r="F12" s="121" t="inlineStr">
        <is>
          <t>N</t>
        </is>
      </c>
      <c r="G12" s="119" t="inlineStr">
        <is>
          <t>GAP — never evaluated</t>
        </is>
      </c>
      <c r="H12" s="121" t="inlineStr">
        <is>
          <t>→ screening queue</t>
        </is>
      </c>
    </row>
    <row r="13">
      <c r="A13" s="121" t="inlineStr">
        <is>
          <t>34319</t>
        </is>
      </c>
      <c r="B13" s="120" t="inlineStr">
        <is>
          <t>Southwestern National Bank</t>
        </is>
      </c>
      <c r="C13" s="121" t="n">
        <v>2</v>
      </c>
      <c r="D13" s="121" t="n">
        <v>140273</v>
      </c>
      <c r="E13" s="121" t="inlineStr">
        <is>
          <t>Los +Oran</t>
        </is>
      </c>
      <c r="F13" s="121" t="inlineStr">
        <is>
          <t>N</t>
        </is>
      </c>
      <c r="G13" s="119" t="inlineStr">
        <is>
          <t>GAP — never evaluated</t>
        </is>
      </c>
      <c r="H13" s="121" t="inlineStr">
        <is>
          <t>→ screening queue</t>
        </is>
      </c>
    </row>
    <row r="14">
      <c r="A14" s="121" t="inlineStr">
        <is>
          <t>34998</t>
        </is>
      </c>
      <c r="B14" s="120" t="inlineStr">
        <is>
          <t>First IC Bank</t>
        </is>
      </c>
      <c r="C14" s="121" t="n">
        <v>1</v>
      </c>
      <c r="D14" s="121" t="n">
        <v>31528</v>
      </c>
      <c r="E14" s="121" t="inlineStr">
        <is>
          <t xml:space="preserve">Los </t>
        </is>
      </c>
      <c r="F14" s="121" t="inlineStr">
        <is>
          <t>N</t>
        </is>
      </c>
      <c r="G14" s="119" t="inlineStr">
        <is>
          <t>GAP — never evaluated</t>
        </is>
      </c>
      <c r="H14" s="121" t="inlineStr">
        <is>
          <t>→ screening queue</t>
        </is>
      </c>
    </row>
    <row r="15">
      <c r="A15" s="121" t="inlineStr">
        <is>
          <t>2270</t>
        </is>
      </c>
      <c r="B15" s="121" t="inlineStr">
        <is>
          <t>Zions Bancorporation, N.A.</t>
        </is>
      </c>
      <c r="C15" s="121" t="n">
        <v>39</v>
      </c>
      <c r="D15" s="121" t="n">
        <v>8677803</v>
      </c>
      <c r="E15" s="121" t="inlineStr">
        <is>
          <t xml:space="preserve">Los +Oran+Rive+San </t>
        </is>
      </c>
      <c r="F15" s="121" t="inlineStr">
        <is>
          <t>N</t>
        </is>
      </c>
      <c r="G15" s="143" t="inlineStr">
        <is>
          <t>ALIAS — covered</t>
        </is>
      </c>
      <c r="H15" s="121">
        <f> California Bank &amp; Trust (CB&amp;T branches report under the Zions Bancorporation N.A. charter)</f>
        <v/>
      </c>
    </row>
    <row r="16">
      <c r="A16" s="121" t="inlineStr">
        <is>
          <t>4767</t>
        </is>
      </c>
      <c r="B16" s="121" t="inlineStr">
        <is>
          <t>Sunflower Bank, National Association</t>
        </is>
      </c>
      <c r="C16" s="121" t="n">
        <v>1</v>
      </c>
      <c r="D16" s="121" t="n">
        <v>127386</v>
      </c>
      <c r="E16" s="121" t="inlineStr">
        <is>
          <t xml:space="preserve">Los </t>
        </is>
      </c>
      <c r="F16" s="121" t="inlineStr">
        <is>
          <t>N</t>
        </is>
      </c>
      <c r="G16" s="143" t="inlineStr">
        <is>
          <t>ALIAS — covered</t>
        </is>
      </c>
      <c r="H16" s="121">
        <f> First Foundation Bank's new charter (merger 2026-04-01)</f>
        <v/>
      </c>
    </row>
    <row r="17">
      <c r="A17" s="121" t="inlineStr">
        <is>
          <t>913</t>
        </is>
      </c>
      <c r="B17" s="121" t="inlineStr">
        <is>
          <t>The Northern Trust Company</t>
        </is>
      </c>
      <c r="C17" s="121" t="n">
        <v>3</v>
      </c>
      <c r="D17" s="121" t="n">
        <v>1137498</v>
      </c>
      <c r="E17" s="121" t="inlineStr">
        <is>
          <t>Los +Oran</t>
        </is>
      </c>
      <c r="F17" s="121" t="inlineStr">
        <is>
          <t>N</t>
        </is>
      </c>
      <c r="G17" s="123" t="inlineStr">
        <is>
          <t>NON-TARGET</t>
        </is>
      </c>
      <c r="H17" s="121" t="inlineStr">
        <is>
          <t>Custody/wealth trust bank — no retail biz cards</t>
        </is>
      </c>
    </row>
    <row r="18">
      <c r="A18" s="121" t="inlineStr">
        <is>
          <t>34069</t>
        </is>
      </c>
      <c r="B18" s="121" t="inlineStr">
        <is>
          <t>Wilmington Trust, National Association</t>
        </is>
      </c>
      <c r="C18" s="121" t="n">
        <v>3</v>
      </c>
      <c r="D18" s="121" t="n">
        <v>0</v>
      </c>
      <c r="E18" s="121" t="inlineStr">
        <is>
          <t>Los +Oran</t>
        </is>
      </c>
      <c r="F18" s="121" t="inlineStr">
        <is>
          <t>N</t>
        </is>
      </c>
      <c r="G18" s="123" t="inlineStr">
        <is>
          <t>NON-TARGET</t>
        </is>
      </c>
      <c r="H18" s="121" t="inlineStr">
        <is>
          <t>Trust company — no retail biz cards</t>
        </is>
      </c>
    </row>
    <row r="19">
      <c r="A19" s="121" t="inlineStr">
        <is>
          <t>7946</t>
        </is>
      </c>
      <c r="B19" s="121" t="inlineStr">
        <is>
          <t>BNY Mellon, National Association</t>
        </is>
      </c>
      <c r="C19" s="121" t="n">
        <v>2</v>
      </c>
      <c r="D19" s="121" t="n">
        <v>0</v>
      </c>
      <c r="E19" s="121" t="inlineStr">
        <is>
          <t>Los +Oran</t>
        </is>
      </c>
      <c r="F19" s="121" t="inlineStr">
        <is>
          <t>N</t>
        </is>
      </c>
      <c r="G19" s="123" t="inlineStr">
        <is>
          <t>NON-TARGET</t>
        </is>
      </c>
      <c r="H19" s="121" t="inlineStr">
        <is>
          <t>Trust company</t>
        </is>
      </c>
    </row>
    <row r="20">
      <c r="A20" s="121" t="inlineStr">
        <is>
          <t>23647</t>
        </is>
      </c>
      <c r="B20" s="121" t="inlineStr">
        <is>
          <t>TIB National Association</t>
        </is>
      </c>
      <c r="C20" s="121" t="n">
        <v>1</v>
      </c>
      <c r="D20" s="121" t="n">
        <v>174070</v>
      </c>
      <c r="E20" s="121" t="inlineStr">
        <is>
          <t>Oran</t>
        </is>
      </c>
      <c r="F20" s="121" t="inlineStr">
        <is>
          <t>N</t>
        </is>
      </c>
      <c r="G20" s="123" t="inlineStr">
        <is>
          <t>NON-TARGET</t>
        </is>
      </c>
      <c r="H20" s="121" t="inlineStr">
        <is>
          <t>TIB = the bankers' bank itself (white-label issuer; serves banks, not the public)</t>
        </is>
      </c>
    </row>
    <row r="21">
      <c r="A21" s="121" t="inlineStr">
        <is>
          <t>91325</t>
        </is>
      </c>
      <c r="B21" s="121" t="inlineStr">
        <is>
          <t>CIBC National Trust Company</t>
        </is>
      </c>
      <c r="C21" s="121" t="n">
        <v>1</v>
      </c>
      <c r="D21" s="121" t="n">
        <v>0</v>
      </c>
      <c r="E21" s="121" t="inlineStr">
        <is>
          <t>Oran</t>
        </is>
      </c>
      <c r="F21" s="121" t="inlineStr">
        <is>
          <t>N</t>
        </is>
      </c>
      <c r="G21" s="123" t="inlineStr">
        <is>
          <t>NON-TARGET</t>
        </is>
      </c>
      <c r="H21" s="121" t="inlineStr">
        <is>
          <t>Trust company</t>
        </is>
      </c>
    </row>
    <row r="22">
      <c r="A22" s="121" t="inlineStr">
        <is>
          <t>628</t>
        </is>
      </c>
      <c r="B22" s="121" t="inlineStr">
        <is>
          <t>JPMorgan Chase Bank, National Association</t>
        </is>
      </c>
      <c r="C22" s="121" t="n">
        <v>414</v>
      </c>
      <c r="D22" s="121" t="n">
        <v>143196351</v>
      </c>
      <c r="E22" s="121" t="inlineStr">
        <is>
          <t xml:space="preserve">Los +Oran+Rive+San </t>
        </is>
      </c>
      <c r="F22" s="121" t="inlineStr">
        <is>
          <t>N</t>
        </is>
      </c>
      <c r="G22" s="121" t="inlineStr">
        <is>
          <t>COVERED</t>
        </is>
      </c>
      <c r="H22" s="121">
        <f> JPMorgan Chase Bank</f>
        <v/>
      </c>
    </row>
    <row r="23">
      <c r="A23" s="121" t="inlineStr">
        <is>
          <t>3510</t>
        </is>
      </c>
      <c r="B23" s="121" t="inlineStr">
        <is>
          <t>Bank of America, National Association</t>
        </is>
      </c>
      <c r="C23" s="121" t="n">
        <v>341</v>
      </c>
      <c r="D23" s="121" t="n">
        <v>128490729</v>
      </c>
      <c r="E23" s="121" t="inlineStr">
        <is>
          <t xml:space="preserve">Los +Oran+Rive+San </t>
        </is>
      </c>
      <c r="F23" s="121" t="inlineStr">
        <is>
          <t>N</t>
        </is>
      </c>
      <c r="G23" s="121" t="inlineStr">
        <is>
          <t>COVERED</t>
        </is>
      </c>
      <c r="H23" s="121">
        <f> Bank of America</f>
        <v/>
      </c>
    </row>
    <row r="24">
      <c r="A24" s="121" t="inlineStr">
        <is>
          <t>3511</t>
        </is>
      </c>
      <c r="B24" s="121" t="inlineStr">
        <is>
          <t>Wells Fargo Bank, National Association</t>
        </is>
      </c>
      <c r="C24" s="121" t="n">
        <v>327</v>
      </c>
      <c r="D24" s="121" t="n">
        <v>101241270</v>
      </c>
      <c r="E24" s="121" t="inlineStr">
        <is>
          <t xml:space="preserve">Los +Oran+Rive+San </t>
        </is>
      </c>
      <c r="F24" s="121" t="inlineStr">
        <is>
          <t>N</t>
        </is>
      </c>
      <c r="G24" s="121" t="inlineStr">
        <is>
          <t>COVERED</t>
        </is>
      </c>
      <c r="H24" s="121">
        <f> Wells Fargo Bank</f>
        <v/>
      </c>
    </row>
    <row r="25">
      <c r="A25" s="121" t="inlineStr">
        <is>
          <t>6548</t>
        </is>
      </c>
      <c r="B25" s="121" t="inlineStr">
        <is>
          <t>U.S. Bank National Association</t>
        </is>
      </c>
      <c r="C25" s="121" t="n">
        <v>267</v>
      </c>
      <c r="D25" s="121" t="n">
        <v>34728888</v>
      </c>
      <c r="E25" s="121" t="inlineStr">
        <is>
          <t xml:space="preserve">Los +Oran+Rive+San </t>
        </is>
      </c>
      <c r="F25" s="121" t="inlineStr">
        <is>
          <t>N</t>
        </is>
      </c>
      <c r="G25" s="121" t="inlineStr">
        <is>
          <t>COVERED</t>
        </is>
      </c>
      <c r="H25" s="121">
        <f> U.S. Bank</f>
        <v/>
      </c>
    </row>
    <row r="26">
      <c r="A26" s="121" t="inlineStr">
        <is>
          <t>7213</t>
        </is>
      </c>
      <c r="B26" s="121" t="inlineStr">
        <is>
          <t>Citibank, National Association</t>
        </is>
      </c>
      <c r="C26" s="121" t="n">
        <v>141</v>
      </c>
      <c r="D26" s="121" t="n">
        <v>37164000</v>
      </c>
      <c r="E26" s="121" t="inlineStr">
        <is>
          <t xml:space="preserve">Los +Oran+Rive+San </t>
        </is>
      </c>
      <c r="F26" s="121" t="inlineStr">
        <is>
          <t>N</t>
        </is>
      </c>
      <c r="G26" s="121" t="inlineStr">
        <is>
          <t>COVERED</t>
        </is>
      </c>
      <c r="H26" s="121">
        <f> Citibank</f>
        <v/>
      </c>
    </row>
    <row r="27">
      <c r="A27" s="121" t="inlineStr">
        <is>
          <t>16571</t>
        </is>
      </c>
      <c r="B27" s="121" t="inlineStr">
        <is>
          <t>BMO Bank National Association</t>
        </is>
      </c>
      <c r="C27" s="121" t="n">
        <v>66</v>
      </c>
      <c r="D27" s="121" t="n">
        <v>11478602</v>
      </c>
      <c r="E27" s="121" t="inlineStr">
        <is>
          <t xml:space="preserve">Los +Oran+Rive+San </t>
        </is>
      </c>
      <c r="F27" s="121" t="inlineStr">
        <is>
          <t>N</t>
        </is>
      </c>
      <c r="G27" s="121" t="inlineStr">
        <is>
          <t>COVERED</t>
        </is>
      </c>
      <c r="H27" s="121">
        <f> BMO Bank</f>
        <v/>
      </c>
    </row>
    <row r="28">
      <c r="A28" s="121" t="inlineStr">
        <is>
          <t>24045</t>
        </is>
      </c>
      <c r="B28" s="121" t="inlineStr">
        <is>
          <t>Banc of California</t>
        </is>
      </c>
      <c r="C28" s="121" t="n">
        <v>51</v>
      </c>
      <c r="D28" s="121" t="n">
        <v>18376955</v>
      </c>
      <c r="E28" s="121" t="inlineStr">
        <is>
          <t xml:space="preserve">Los +Oran+Rive+San </t>
        </is>
      </c>
      <c r="F28" s="121" t="inlineStr">
        <is>
          <t>Y</t>
        </is>
      </c>
      <c r="G28" s="121" t="inlineStr">
        <is>
          <t>COVERED</t>
        </is>
      </c>
      <c r="H28" s="121">
        <f> Banc of California</f>
        <v/>
      </c>
    </row>
    <row r="29">
      <c r="A29" s="121" t="inlineStr">
        <is>
          <t>31628</t>
        </is>
      </c>
      <c r="B29" s="121" t="inlineStr">
        <is>
          <t>East West Bank</t>
        </is>
      </c>
      <c r="C29" s="121" t="n">
        <v>45</v>
      </c>
      <c r="D29" s="121" t="n">
        <v>38335997</v>
      </c>
      <c r="E29" s="121" t="inlineStr">
        <is>
          <t xml:space="preserve">Los +Oran+San </t>
        </is>
      </c>
      <c r="F29" s="121" t="inlineStr">
        <is>
          <t>Y</t>
        </is>
      </c>
      <c r="G29" s="121" t="inlineStr">
        <is>
          <t>COVERED</t>
        </is>
      </c>
      <c r="H29" s="121">
        <f> East West Bank</f>
        <v/>
      </c>
    </row>
    <row r="30">
      <c r="A30" s="121" t="inlineStr">
        <is>
          <t>21716</t>
        </is>
      </c>
      <c r="B30" s="121" t="inlineStr">
        <is>
          <t>Citizens Business Bank</t>
        </is>
      </c>
      <c r="C30" s="121" t="n">
        <v>44</v>
      </c>
      <c r="D30" s="121" t="n">
        <v>9773952</v>
      </c>
      <c r="E30" s="121" t="inlineStr">
        <is>
          <t xml:space="preserve">Los +Oran+Rive+San </t>
        </is>
      </c>
      <c r="F30" s="121" t="inlineStr">
        <is>
          <t>Y</t>
        </is>
      </c>
      <c r="G30" s="121" t="inlineStr">
        <is>
          <t>COVERED</t>
        </is>
      </c>
      <c r="H30" s="121">
        <f> Citizens Business Bank</f>
        <v/>
      </c>
    </row>
    <row r="31">
      <c r="A31" s="121" t="inlineStr">
        <is>
          <t>17281</t>
        </is>
      </c>
      <c r="B31" s="121" t="inlineStr">
        <is>
          <t>City National Bank</t>
        </is>
      </c>
      <c r="C31" s="121" t="n">
        <v>37</v>
      </c>
      <c r="D31" s="121" t="n">
        <v>52514502</v>
      </c>
      <c r="E31" s="121" t="inlineStr">
        <is>
          <t xml:space="preserve">Los +Oran+Rive+San </t>
        </is>
      </c>
      <c r="F31" s="121" t="inlineStr">
        <is>
          <t>Y</t>
        </is>
      </c>
      <c r="G31" s="121" t="inlineStr">
        <is>
          <t>COVERED</t>
        </is>
      </c>
      <c r="H31" s="121">
        <f> City National Bank</f>
        <v/>
      </c>
    </row>
    <row r="32">
      <c r="A32" s="121" t="inlineStr">
        <is>
          <t>11063</t>
        </is>
      </c>
      <c r="B32" s="121" t="inlineStr">
        <is>
          <t>First-Citizens Bank &amp; Trust Company</t>
        </is>
      </c>
      <c r="C32" s="121" t="n">
        <v>36</v>
      </c>
      <c r="D32" s="121" t="n">
        <v>8050890</v>
      </c>
      <c r="E32" s="121" t="inlineStr">
        <is>
          <t xml:space="preserve">Los +Oran+Rive+San </t>
        </is>
      </c>
      <c r="F32" s="121" t="inlineStr">
        <is>
          <t>N</t>
        </is>
      </c>
      <c r="G32" s="121" t="inlineStr">
        <is>
          <t>COVERED</t>
        </is>
      </c>
      <c r="H32" s="121">
        <f> First Citizens Bank</f>
        <v/>
      </c>
    </row>
    <row r="33">
      <c r="A33" s="121" t="inlineStr">
        <is>
          <t>983</t>
        </is>
      </c>
      <c r="B33" s="121" t="inlineStr">
        <is>
          <t>Comerica Bank</t>
        </is>
      </c>
      <c r="C33" s="121" t="n">
        <v>36</v>
      </c>
      <c r="D33" s="121" t="n">
        <v>6869628</v>
      </c>
      <c r="E33" s="121" t="inlineStr">
        <is>
          <t xml:space="preserve">Los +Oran+San </t>
        </is>
      </c>
      <c r="F33" s="121" t="inlineStr">
        <is>
          <t>N</t>
        </is>
      </c>
      <c r="G33" s="121" t="inlineStr">
        <is>
          <t>COVERED</t>
        </is>
      </c>
      <c r="H33" s="121">
        <f> Comerica Bank</f>
        <v/>
      </c>
    </row>
    <row r="34">
      <c r="A34" s="121" t="inlineStr">
        <is>
          <t>32172</t>
        </is>
      </c>
      <c r="B34" s="121" t="inlineStr">
        <is>
          <t>Pacific Premier Bank, National Association</t>
        </is>
      </c>
      <c r="C34" s="121" t="n">
        <v>30</v>
      </c>
      <c r="D34" s="121" t="n">
        <v>10844223</v>
      </c>
      <c r="E34" s="121" t="inlineStr">
        <is>
          <t xml:space="preserve">Los +Oran+Rive+San </t>
        </is>
      </c>
      <c r="F34" s="121" t="inlineStr">
        <is>
          <t>Y</t>
        </is>
      </c>
      <c r="G34" s="121" t="inlineStr">
        <is>
          <t>COVERED</t>
        </is>
      </c>
      <c r="H34" s="121">
        <f> Pacific Premier Bank</f>
        <v/>
      </c>
    </row>
    <row r="35">
      <c r="A35" s="121" t="inlineStr">
        <is>
          <t>12229</t>
        </is>
      </c>
      <c r="B35" s="121" t="inlineStr">
        <is>
          <t>First Bank</t>
        </is>
      </c>
      <c r="C35" s="121" t="n">
        <v>27</v>
      </c>
      <c r="D35" s="121" t="n">
        <v>1947417</v>
      </c>
      <c r="E35" s="121" t="inlineStr">
        <is>
          <t xml:space="preserve">Los +Oran+Rive+San </t>
        </is>
      </c>
      <c r="F35" s="121" t="inlineStr">
        <is>
          <t>N</t>
        </is>
      </c>
      <c r="G35" s="121" t="inlineStr">
        <is>
          <t>COVERED</t>
        </is>
      </c>
      <c r="H35" s="121">
        <f> First Bank</f>
        <v/>
      </c>
    </row>
    <row r="36">
      <c r="A36" s="121" t="inlineStr">
        <is>
          <t>1225</t>
        </is>
      </c>
      <c r="B36" s="121" t="inlineStr">
        <is>
          <t>Farmers and Merchants Bank of Long Beach</t>
        </is>
      </c>
      <c r="C36" s="121" t="n">
        <v>26</v>
      </c>
      <c r="D36" s="121" t="n">
        <v>8609774</v>
      </c>
      <c r="E36" s="121" t="inlineStr">
        <is>
          <t>Los +Oran</t>
        </is>
      </c>
      <c r="F36" s="121" t="inlineStr">
        <is>
          <t>Y</t>
        </is>
      </c>
      <c r="G36" s="121" t="inlineStr">
        <is>
          <t>COVERED</t>
        </is>
      </c>
      <c r="H36" s="121">
        <f> Farmers &amp; Merchants Bank of Long Beach (base row; 'and' vs '&amp;' name quirk)</f>
        <v/>
      </c>
    </row>
    <row r="37">
      <c r="A37" s="121" t="inlineStr">
        <is>
          <t>18503</t>
        </is>
      </c>
      <c r="B37" s="121" t="inlineStr">
        <is>
          <t>Cathay Bank</t>
        </is>
      </c>
      <c r="C37" s="121" t="n">
        <v>23</v>
      </c>
      <c r="D37" s="121" t="n">
        <v>12024904</v>
      </c>
      <c r="E37" s="121" t="inlineStr">
        <is>
          <t xml:space="preserve">Los +Oran+San </t>
        </is>
      </c>
      <c r="F37" s="121" t="inlineStr">
        <is>
          <t>Y</t>
        </is>
      </c>
      <c r="G37" s="121" t="inlineStr">
        <is>
          <t>COVERED</t>
        </is>
      </c>
      <c r="H37" s="121">
        <f> Cathay Bank</f>
        <v/>
      </c>
    </row>
    <row r="38">
      <c r="A38" s="121" t="inlineStr">
        <is>
          <t>26610</t>
        </is>
      </c>
      <c r="B38" s="121" t="inlineStr">
        <is>
          <t>Bank of Hope</t>
        </is>
      </c>
      <c r="C38" s="121" t="n">
        <v>23</v>
      </c>
      <c r="D38" s="121" t="n">
        <v>9469233</v>
      </c>
      <c r="E38" s="121" t="inlineStr">
        <is>
          <t xml:space="preserve">Los +Oran+San </t>
        </is>
      </c>
      <c r="F38" s="121" t="inlineStr">
        <is>
          <t>Y</t>
        </is>
      </c>
      <c r="G38" s="121" t="inlineStr">
        <is>
          <t>COVERED</t>
        </is>
      </c>
      <c r="H38" s="121">
        <f> Bank of Hope</f>
        <v/>
      </c>
    </row>
    <row r="39">
      <c r="A39" s="121" t="inlineStr">
        <is>
          <t>6384</t>
        </is>
      </c>
      <c r="B39" s="121" t="inlineStr">
        <is>
          <t>PNC Bank, National Association</t>
        </is>
      </c>
      <c r="C39" s="121" t="n">
        <v>21</v>
      </c>
      <c r="D39" s="121" t="n">
        <v>1836902</v>
      </c>
      <c r="E39" s="121" t="inlineStr">
        <is>
          <t xml:space="preserve">Los +Rive+San </t>
        </is>
      </c>
      <c r="F39" s="121" t="inlineStr">
        <is>
          <t>N</t>
        </is>
      </c>
      <c r="G39" s="121" t="inlineStr">
        <is>
          <t>COVERED</t>
        </is>
      </c>
      <c r="H39" s="121">
        <f> PNC Bank</f>
        <v/>
      </c>
    </row>
    <row r="40">
      <c r="A40" s="121" t="inlineStr">
        <is>
          <t>24170</t>
        </is>
      </c>
      <c r="B40" s="121" t="inlineStr">
        <is>
          <t>Hanmi Bank</t>
        </is>
      </c>
      <c r="C40" s="121" t="n">
        <v>18</v>
      </c>
      <c r="D40" s="121" t="n">
        <v>5249625</v>
      </c>
      <c r="E40" s="121" t="inlineStr">
        <is>
          <t>Los +Oran</t>
        </is>
      </c>
      <c r="F40" s="121" t="inlineStr">
        <is>
          <t>Y</t>
        </is>
      </c>
      <c r="G40" s="121" t="inlineStr">
        <is>
          <t>COVERED</t>
        </is>
      </c>
      <c r="H40" s="121">
        <f> Hanmi Bank</f>
        <v/>
      </c>
    </row>
    <row r="41">
      <c r="A41" s="121" t="inlineStr">
        <is>
          <t>32489</t>
        </is>
      </c>
      <c r="B41" s="121" t="inlineStr">
        <is>
          <t>HomeStreet Bank</t>
        </is>
      </c>
      <c r="C41" s="121" t="n">
        <v>16</v>
      </c>
      <c r="D41" s="121" t="n">
        <v>1081398</v>
      </c>
      <c r="E41" s="121" t="inlineStr">
        <is>
          <t xml:space="preserve">Los +Oran+Rive+San </t>
        </is>
      </c>
      <c r="F41" s="121" t="inlineStr">
        <is>
          <t>N</t>
        </is>
      </c>
      <c r="G41" s="121" t="inlineStr">
        <is>
          <t>COVERED</t>
        </is>
      </c>
      <c r="H41" s="121">
        <f> HomeStreet Bank</f>
        <v/>
      </c>
    </row>
    <row r="42">
      <c r="A42" s="121" t="inlineStr">
        <is>
          <t>58647</t>
        </is>
      </c>
      <c r="B42" s="121" t="inlineStr">
        <is>
          <t>First Foundation Bank</t>
        </is>
      </c>
      <c r="C42" s="121" t="n">
        <v>14</v>
      </c>
      <c r="D42" s="121" t="n">
        <v>7224809</v>
      </c>
      <c r="E42" s="121" t="inlineStr">
        <is>
          <t xml:space="preserve">Los +Oran+Rive+San </t>
        </is>
      </c>
      <c r="F42" s="121" t="inlineStr">
        <is>
          <t>Y</t>
        </is>
      </c>
      <c r="G42" s="121" t="inlineStr">
        <is>
          <t>COVERED</t>
        </is>
      </c>
      <c r="H42" s="121">
        <f> First Foundation Bank</f>
        <v/>
      </c>
    </row>
    <row r="43">
      <c r="A43" s="121" t="inlineStr">
        <is>
          <t>19416</t>
        </is>
      </c>
      <c r="B43" s="121" t="inlineStr">
        <is>
          <t>CTBC Bank Corp. (USA)</t>
        </is>
      </c>
      <c r="C43" s="121" t="n">
        <v>14</v>
      </c>
      <c r="D43" s="121" t="n">
        <v>2738287</v>
      </c>
      <c r="E43" s="121" t="inlineStr">
        <is>
          <t>Los +Oran</t>
        </is>
      </c>
      <c r="F43" s="121" t="inlineStr">
        <is>
          <t>Y</t>
        </is>
      </c>
      <c r="G43" s="121" t="inlineStr">
        <is>
          <t>COVERED</t>
        </is>
      </c>
      <c r="H43" s="121">
        <f> CTBC Bank Corp. (USA)</f>
        <v/>
      </c>
    </row>
    <row r="44">
      <c r="A44" s="121" t="inlineStr">
        <is>
          <t>30879</t>
        </is>
      </c>
      <c r="B44" s="121" t="inlineStr">
        <is>
          <t>Provident Savings Bank, F.S.B.</t>
        </is>
      </c>
      <c r="C44" s="121" t="n">
        <v>14</v>
      </c>
      <c r="D44" s="121" t="n">
        <v>895179</v>
      </c>
      <c r="E44" s="121" t="inlineStr">
        <is>
          <t xml:space="preserve">Rive+San </t>
        </is>
      </c>
      <c r="F44" s="121" t="inlineStr">
        <is>
          <t>Y</t>
        </is>
      </c>
      <c r="G44" s="121" t="inlineStr">
        <is>
          <t>COVERED</t>
        </is>
      </c>
      <c r="H44" s="121">
        <f> Provident Savings Bank, F.S.B.</f>
        <v/>
      </c>
    </row>
    <row r="45">
      <c r="A45" s="121" t="inlineStr">
        <is>
          <t>32541</t>
        </is>
      </c>
      <c r="B45" s="121" t="inlineStr">
        <is>
          <t>Flagstar Bank, National Association</t>
        </is>
      </c>
      <c r="C45" s="121" t="n">
        <v>13</v>
      </c>
      <c r="D45" s="121" t="n">
        <v>2681387</v>
      </c>
      <c r="E45" s="121" t="inlineStr">
        <is>
          <t xml:space="preserve">Los +Oran+San </t>
        </is>
      </c>
      <c r="F45" s="121" t="inlineStr">
        <is>
          <t>N</t>
        </is>
      </c>
      <c r="G45" s="121" t="inlineStr">
        <is>
          <t>COVERED</t>
        </is>
      </c>
      <c r="H45" s="121">
        <f> Flagstar Bank</f>
        <v/>
      </c>
    </row>
    <row r="46">
      <c r="A46" s="121" t="inlineStr">
        <is>
          <t>57463</t>
        </is>
      </c>
      <c r="B46" s="121" t="inlineStr">
        <is>
          <t>PCB Bank</t>
        </is>
      </c>
      <c r="C46" s="121" t="n">
        <v>13</v>
      </c>
      <c r="D46" s="121" t="n">
        <v>2506472</v>
      </c>
      <c r="E46" s="121" t="inlineStr">
        <is>
          <t>Los +Oran</t>
        </is>
      </c>
      <c r="F46" s="121" t="inlineStr">
        <is>
          <t>Y</t>
        </is>
      </c>
      <c r="G46" s="121" t="inlineStr">
        <is>
          <t>COVERED</t>
        </is>
      </c>
      <c r="H46" s="121">
        <f> PCB Bank</f>
        <v/>
      </c>
    </row>
    <row r="47">
      <c r="A47" s="121" t="inlineStr">
        <is>
          <t>33539</t>
        </is>
      </c>
      <c r="B47" s="121" t="inlineStr">
        <is>
          <t>Preferred Bank</t>
        </is>
      </c>
      <c r="C47" s="121" t="n">
        <v>11</v>
      </c>
      <c r="D47" s="121" t="n">
        <v>5173604</v>
      </c>
      <c r="E47" s="121" t="inlineStr">
        <is>
          <t>Los +Oran</t>
        </is>
      </c>
      <c r="F47" s="121" t="inlineStr">
        <is>
          <t>Y</t>
        </is>
      </c>
      <c r="G47" s="121" t="inlineStr">
        <is>
          <t>COVERED</t>
        </is>
      </c>
      <c r="H47" s="121">
        <f> Preferred Bank</f>
        <v/>
      </c>
    </row>
    <row r="48">
      <c r="A48" s="121" t="inlineStr">
        <is>
          <t>58816</t>
        </is>
      </c>
      <c r="B48" s="121" t="inlineStr">
        <is>
          <t>Royal Business Bank</t>
        </is>
      </c>
      <c r="C48" s="121" t="n">
        <v>10</v>
      </c>
      <c r="D48" s="121" t="n">
        <v>2040673</v>
      </c>
      <c r="E48" s="121" t="inlineStr">
        <is>
          <t>Los +Oran</t>
        </is>
      </c>
      <c r="F48" s="121" t="inlineStr">
        <is>
          <t>Y</t>
        </is>
      </c>
      <c r="G48" s="121" t="inlineStr">
        <is>
          <t>COVERED</t>
        </is>
      </c>
      <c r="H48" s="121">
        <f> Royal Business Bank</f>
        <v/>
      </c>
    </row>
    <row r="49">
      <c r="A49" s="121" t="inlineStr">
        <is>
          <t>18618</t>
        </is>
      </c>
      <c r="B49" s="121" t="inlineStr">
        <is>
          <t>SMBC MANUBANK</t>
        </is>
      </c>
      <c r="C49" s="121" t="n">
        <v>8</v>
      </c>
      <c r="D49" s="121" t="n">
        <v>5568959</v>
      </c>
      <c r="E49" s="121" t="inlineStr">
        <is>
          <t>Los +Oran</t>
        </is>
      </c>
      <c r="F49" s="121" t="inlineStr">
        <is>
          <t>Y</t>
        </is>
      </c>
      <c r="G49" s="121" t="inlineStr">
        <is>
          <t>COVERED</t>
        </is>
      </c>
      <c r="H49" s="121">
        <f> SMBC MANUBANK</f>
        <v/>
      </c>
    </row>
    <row r="50">
      <c r="A50" s="121" t="inlineStr">
        <is>
          <t>57944</t>
        </is>
      </c>
      <c r="B50" s="121" t="inlineStr">
        <is>
          <t>Open Bank</t>
        </is>
      </c>
      <c r="C50" s="121" t="n">
        <v>8</v>
      </c>
      <c r="D50" s="121" t="n">
        <v>2082907</v>
      </c>
      <c r="E50" s="121" t="inlineStr">
        <is>
          <t>Los +Oran</t>
        </is>
      </c>
      <c r="F50" s="121" t="inlineStr">
        <is>
          <t>Y</t>
        </is>
      </c>
      <c r="G50" s="121" t="inlineStr">
        <is>
          <t>COVERED</t>
        </is>
      </c>
      <c r="H50" s="121">
        <f> Open Bank</f>
        <v/>
      </c>
    </row>
    <row r="51">
      <c r="A51" s="121" t="inlineStr">
        <is>
          <t>57044</t>
        </is>
      </c>
      <c r="B51" s="121" t="inlineStr">
        <is>
          <t>California Bank of Commerce, National Association</t>
        </is>
      </c>
      <c r="C51" s="121" t="n">
        <v>8</v>
      </c>
      <c r="D51" s="121" t="n">
        <v>1325620</v>
      </c>
      <c r="E51" s="121" t="inlineStr">
        <is>
          <t>Los +Oran+Rive</t>
        </is>
      </c>
      <c r="F51" s="121" t="inlineStr">
        <is>
          <t>N</t>
        </is>
      </c>
      <c r="G51" s="121" t="inlineStr">
        <is>
          <t>COVERED</t>
        </is>
      </c>
      <c r="H51" s="121">
        <f> California Bank of Commerce, N.A.</f>
        <v/>
      </c>
    </row>
    <row r="52">
      <c r="A52" s="121" t="inlineStr">
        <is>
          <t>28489</t>
        </is>
      </c>
      <c r="B52" s="121" t="inlineStr">
        <is>
          <t>Banner Bank</t>
        </is>
      </c>
      <c r="C52" s="121" t="n">
        <v>8</v>
      </c>
      <c r="D52" s="121" t="n">
        <v>789955</v>
      </c>
      <c r="E52" s="121" t="inlineStr">
        <is>
          <t xml:space="preserve">Los +Rive+San </t>
        </is>
      </c>
      <c r="F52" s="121" t="inlineStr">
        <is>
          <t>N</t>
        </is>
      </c>
      <c r="G52" s="121" t="inlineStr">
        <is>
          <t>COVERED</t>
        </is>
      </c>
      <c r="H52" s="121">
        <f> Banner Bank</f>
        <v/>
      </c>
    </row>
    <row r="53">
      <c r="A53" s="121" t="inlineStr">
        <is>
          <t>1768</t>
        </is>
      </c>
      <c r="B53" s="121" t="inlineStr">
        <is>
          <t>Mechanics Bank</t>
        </is>
      </c>
      <c r="C53" s="121" t="n">
        <v>7</v>
      </c>
      <c r="D53" s="121" t="n">
        <v>1749691</v>
      </c>
      <c r="E53" s="121" t="inlineStr">
        <is>
          <t>Los +Oran+Rive</t>
        </is>
      </c>
      <c r="F53" s="121" t="inlineStr">
        <is>
          <t>N</t>
        </is>
      </c>
      <c r="G53" s="121" t="inlineStr">
        <is>
          <t>COVERED</t>
        </is>
      </c>
      <c r="H53" s="121">
        <f> Mechanics Bank</f>
        <v/>
      </c>
    </row>
    <row r="54">
      <c r="A54" s="121" t="inlineStr">
        <is>
          <t>58310</t>
        </is>
      </c>
      <c r="B54" s="121" t="inlineStr">
        <is>
          <t>US Metro Bank</t>
        </is>
      </c>
      <c r="C54" s="121" t="n">
        <v>7</v>
      </c>
      <c r="D54" s="121" t="n">
        <v>1125216</v>
      </c>
      <c r="E54" s="121" t="inlineStr">
        <is>
          <t>Los +Oran</t>
        </is>
      </c>
      <c r="F54" s="121" t="inlineStr">
        <is>
          <t>Y</t>
        </is>
      </c>
      <c r="G54" s="121" t="inlineStr">
        <is>
          <t>COVERED</t>
        </is>
      </c>
      <c r="H54" s="121">
        <f> US Metro Bank</f>
        <v/>
      </c>
    </row>
    <row r="55">
      <c r="A55" s="121" t="inlineStr">
        <is>
          <t>57903</t>
        </is>
      </c>
      <c r="B55" s="121" t="inlineStr">
        <is>
          <t>Poppy Bank</t>
        </is>
      </c>
      <c r="C55" s="121" t="n">
        <v>7</v>
      </c>
      <c r="D55" s="121" t="n">
        <v>693420</v>
      </c>
      <c r="E55" s="121" t="inlineStr">
        <is>
          <t>Los +Oran</t>
        </is>
      </c>
      <c r="F55" s="121" t="inlineStr">
        <is>
          <t>N</t>
        </is>
      </c>
      <c r="G55" s="121" t="inlineStr">
        <is>
          <t>COVERED</t>
        </is>
      </c>
      <c r="H55" s="121">
        <f> Poppy Bank</f>
        <v/>
      </c>
    </row>
    <row r="56">
      <c r="A56" s="121" t="inlineStr">
        <is>
          <t>28088</t>
        </is>
      </c>
      <c r="B56" s="121" t="inlineStr">
        <is>
          <t>Washington Federal Bank</t>
        </is>
      </c>
      <c r="C56" s="121" t="n">
        <v>6</v>
      </c>
      <c r="D56" s="121" t="n">
        <v>1777498</v>
      </c>
      <c r="E56" s="121" t="inlineStr">
        <is>
          <t xml:space="preserve">Los </t>
        </is>
      </c>
      <c r="F56" s="121" t="inlineStr">
        <is>
          <t>N</t>
        </is>
      </c>
      <c r="G56" s="121" t="inlineStr">
        <is>
          <t>COVERED</t>
        </is>
      </c>
      <c r="H56" s="121">
        <f> Washington Federal</f>
        <v/>
      </c>
    </row>
    <row r="57">
      <c r="A57" s="121" t="inlineStr">
        <is>
          <t>57873</t>
        </is>
      </c>
      <c r="B57" s="121" t="inlineStr">
        <is>
          <t>Commonwealth Business Bank</t>
        </is>
      </c>
      <c r="C57" s="121" t="n">
        <v>6</v>
      </c>
      <c r="D57" s="121" t="n">
        <v>1106590</v>
      </c>
      <c r="E57" s="121" t="inlineStr">
        <is>
          <t>Los +Oran</t>
        </is>
      </c>
      <c r="F57" s="121" t="inlineStr">
        <is>
          <t>Y</t>
        </is>
      </c>
      <c r="G57" s="121" t="inlineStr">
        <is>
          <t>COVERED</t>
        </is>
      </c>
      <c r="H57" s="121">
        <f> Commonwealth Business Bank (CBB)</f>
        <v/>
      </c>
    </row>
    <row r="58">
      <c r="A58" s="121" t="inlineStr">
        <is>
          <t>27237</t>
        </is>
      </c>
      <c r="B58" s="121" t="inlineStr">
        <is>
          <t>Enterprise Bank &amp; Trust</t>
        </is>
      </c>
      <c r="C58" s="121" t="n">
        <v>6</v>
      </c>
      <c r="D58" s="121" t="n">
        <v>971965</v>
      </c>
      <c r="E58" s="121" t="inlineStr">
        <is>
          <t>Los +Oran</t>
        </is>
      </c>
      <c r="F58" s="121" t="inlineStr">
        <is>
          <t>N</t>
        </is>
      </c>
      <c r="G58" s="121" t="inlineStr">
        <is>
          <t>COVERED</t>
        </is>
      </c>
      <c r="H58" s="121">
        <f> Enterprise Bank &amp; Trust</f>
        <v/>
      </c>
    </row>
    <row r="59">
      <c r="A59" s="121" t="inlineStr">
        <is>
          <t>21606</t>
        </is>
      </c>
      <c r="B59" s="121" t="inlineStr">
        <is>
          <t>HCN Bank</t>
        </is>
      </c>
      <c r="C59" s="121" t="n">
        <v>6</v>
      </c>
      <c r="D59" s="121" t="n">
        <v>843127</v>
      </c>
      <c r="E59" s="121" t="inlineStr">
        <is>
          <t>Rive</t>
        </is>
      </c>
      <c r="F59" s="121" t="inlineStr">
        <is>
          <t>Y</t>
        </is>
      </c>
      <c r="G59" s="121" t="inlineStr">
        <is>
          <t>COVERED</t>
        </is>
      </c>
      <c r="H59" s="121">
        <f> HCN Bank</f>
        <v/>
      </c>
    </row>
    <row r="60">
      <c r="A60" s="121" t="inlineStr">
        <is>
          <t>24920</t>
        </is>
      </c>
      <c r="B60" s="121" t="inlineStr">
        <is>
          <t>Woori America Bank</t>
        </is>
      </c>
      <c r="C60" s="121" t="n">
        <v>6</v>
      </c>
      <c r="D60" s="121" t="n">
        <v>572636</v>
      </c>
      <c r="E60" s="121" t="inlineStr">
        <is>
          <t>Los +Oran</t>
        </is>
      </c>
      <c r="F60" s="121" t="inlineStr">
        <is>
          <t>N</t>
        </is>
      </c>
      <c r="G60" s="121" t="inlineStr">
        <is>
          <t>COVERED</t>
        </is>
      </c>
      <c r="H60" s="121">
        <f> Woori America Bank</f>
        <v/>
      </c>
    </row>
    <row r="61">
      <c r="A61" s="121" t="inlineStr">
        <is>
          <t>34010</t>
        </is>
      </c>
      <c r="B61" s="121" t="inlineStr">
        <is>
          <t>EverTrust Bank</t>
        </is>
      </c>
      <c r="C61" s="121" t="n">
        <v>6</v>
      </c>
      <c r="D61" s="121" t="n">
        <v>499384</v>
      </c>
      <c r="E61" s="121" t="inlineStr">
        <is>
          <t>Los +Oran</t>
        </is>
      </c>
      <c r="F61" s="121" t="inlineStr">
        <is>
          <t>Y</t>
        </is>
      </c>
      <c r="G61" s="121" t="inlineStr">
        <is>
          <t>COVERED</t>
        </is>
      </c>
      <c r="H61" s="121">
        <f> EverTrust Bank</f>
        <v/>
      </c>
    </row>
    <row r="62">
      <c r="A62" s="121" t="inlineStr">
        <is>
          <t>57417</t>
        </is>
      </c>
      <c r="B62" s="121" t="inlineStr">
        <is>
          <t>Commercial Bank of California</t>
        </is>
      </c>
      <c r="C62" s="121" t="n">
        <v>5</v>
      </c>
      <c r="D62" s="121" t="n">
        <v>2291372</v>
      </c>
      <c r="E62" s="121" t="inlineStr">
        <is>
          <t>Los +Oran</t>
        </is>
      </c>
      <c r="F62" s="121" t="inlineStr">
        <is>
          <t>Y</t>
        </is>
      </c>
      <c r="G62" s="121" t="inlineStr">
        <is>
          <t>COVERED</t>
        </is>
      </c>
      <c r="H62" s="121">
        <f> Commercial Bank of California</f>
        <v/>
      </c>
    </row>
    <row r="63">
      <c r="A63" s="121" t="inlineStr">
        <is>
          <t>32282</t>
        </is>
      </c>
      <c r="B63" s="121" t="inlineStr">
        <is>
          <t>Malaga Bank F.S.B.</t>
        </is>
      </c>
      <c r="C63" s="121" t="n">
        <v>5</v>
      </c>
      <c r="D63" s="121" t="n">
        <v>927689</v>
      </c>
      <c r="E63" s="121" t="inlineStr">
        <is>
          <t xml:space="preserve">Los </t>
        </is>
      </c>
      <c r="F63" s="121" t="inlineStr">
        <is>
          <t>Y</t>
        </is>
      </c>
      <c r="G63" s="121" t="inlineStr">
        <is>
          <t>COVERED</t>
        </is>
      </c>
      <c r="H63" s="121">
        <f> Malaga Bank F.S.B.</f>
        <v/>
      </c>
    </row>
    <row r="64">
      <c r="A64" s="121" t="inlineStr">
        <is>
          <t>58060</t>
        </is>
      </c>
      <c r="B64" s="121" t="inlineStr">
        <is>
          <t>First General Bank</t>
        </is>
      </c>
      <c r="C64" s="121" t="n">
        <v>5</v>
      </c>
      <c r="D64" s="121" t="n">
        <v>824031</v>
      </c>
      <c r="E64" s="121" t="inlineStr">
        <is>
          <t>Los +Oran</t>
        </is>
      </c>
      <c r="F64" s="121" t="inlineStr">
        <is>
          <t>Y</t>
        </is>
      </c>
      <c r="G64" s="121" t="inlineStr">
        <is>
          <t>COVERED</t>
        </is>
      </c>
      <c r="H64" s="121">
        <f> First General Bank</f>
        <v/>
      </c>
    </row>
    <row r="65">
      <c r="A65" s="121" t="inlineStr">
        <is>
          <t>34496</t>
        </is>
      </c>
      <c r="B65" s="121" t="inlineStr">
        <is>
          <t>First Commercial Bank (USA)</t>
        </is>
      </c>
      <c r="C65" s="121" t="n">
        <v>5</v>
      </c>
      <c r="D65" s="121" t="n">
        <v>446788</v>
      </c>
      <c r="E65" s="121" t="inlineStr">
        <is>
          <t xml:space="preserve">Los +Oran+San </t>
        </is>
      </c>
      <c r="F65" s="121" t="inlineStr">
        <is>
          <t>Y</t>
        </is>
      </c>
      <c r="G65" s="121" t="inlineStr">
        <is>
          <t>COVERED</t>
        </is>
      </c>
      <c r="H65" s="121">
        <f> First Commercial Bank (USA)</f>
        <v/>
      </c>
    </row>
    <row r="66">
      <c r="A66" s="121" t="inlineStr">
        <is>
          <t>57716</t>
        </is>
      </c>
      <c r="B66" s="121" t="inlineStr">
        <is>
          <t>United Business Bank</t>
        </is>
      </c>
      <c r="C66" s="121" t="n">
        <v>5</v>
      </c>
      <c r="D66" s="121" t="n">
        <v>411377</v>
      </c>
      <c r="E66" s="121" t="inlineStr">
        <is>
          <t>Los +Oran</t>
        </is>
      </c>
      <c r="F66" s="121" t="inlineStr">
        <is>
          <t>N</t>
        </is>
      </c>
      <c r="G66" s="121" t="inlineStr">
        <is>
          <t>COVERED</t>
        </is>
      </c>
      <c r="H66" s="121">
        <f> United Business Bank</f>
        <v/>
      </c>
    </row>
    <row r="67">
      <c r="A67" s="121" t="inlineStr">
        <is>
          <t>35366</t>
        </is>
      </c>
      <c r="B67" s="121" t="inlineStr">
        <is>
          <t>Chino Commercial Bank, N.A.</t>
        </is>
      </c>
      <c r="C67" s="121" t="n">
        <v>5</v>
      </c>
      <c r="D67" s="121" t="n">
        <v>378797</v>
      </c>
      <c r="E67" s="121" t="inlineStr">
        <is>
          <t xml:space="preserve">Rive+San </t>
        </is>
      </c>
      <c r="F67" s="121" t="inlineStr">
        <is>
          <t>Y</t>
        </is>
      </c>
      <c r="G67" s="121" t="inlineStr">
        <is>
          <t>COVERED</t>
        </is>
      </c>
      <c r="H67" s="121">
        <f> Chino Commercial Bank, N.A.</f>
        <v/>
      </c>
    </row>
    <row r="68">
      <c r="A68" s="121" t="inlineStr">
        <is>
          <t>30722</t>
        </is>
      </c>
      <c r="B68" s="121" t="inlineStr">
        <is>
          <t>Universal Bank</t>
        </is>
      </c>
      <c r="C68" s="121" t="n">
        <v>5</v>
      </c>
      <c r="D68" s="121" t="n">
        <v>266100</v>
      </c>
      <c r="E68" s="121" t="inlineStr">
        <is>
          <t xml:space="preserve">Los </t>
        </is>
      </c>
      <c r="F68" s="121" t="inlineStr">
        <is>
          <t>Y</t>
        </is>
      </c>
      <c r="G68" s="121" t="inlineStr">
        <is>
          <t>COVERED</t>
        </is>
      </c>
      <c r="H68" s="121">
        <f> Universal Bank</f>
        <v/>
      </c>
    </row>
    <row r="69">
      <c r="A69" s="121" t="inlineStr">
        <is>
          <t>58469</t>
        </is>
      </c>
      <c r="B69" s="121" t="inlineStr">
        <is>
          <t>American Plus Bank, N.A.</t>
        </is>
      </c>
      <c r="C69" s="121" t="n">
        <v>4</v>
      </c>
      <c r="D69" s="121" t="n">
        <v>717856</v>
      </c>
      <c r="E69" s="121" t="inlineStr">
        <is>
          <t xml:space="preserve">Los </t>
        </is>
      </c>
      <c r="F69" s="121" t="inlineStr">
        <is>
          <t>Y</t>
        </is>
      </c>
      <c r="G69" s="121" t="inlineStr">
        <is>
          <t>COVERED</t>
        </is>
      </c>
      <c r="H69" s="121">
        <f> American Plus Bank, N.A.</f>
        <v/>
      </c>
    </row>
    <row r="70">
      <c r="A70" s="121" t="inlineStr">
        <is>
          <t>23998</t>
        </is>
      </c>
      <c r="B70" s="121" t="inlineStr">
        <is>
          <t>State Bank of India (California)</t>
        </is>
      </c>
      <c r="C70" s="121" t="n">
        <v>4</v>
      </c>
      <c r="D70" s="121" t="n">
        <v>561046</v>
      </c>
      <c r="E70" s="121" t="inlineStr">
        <is>
          <t xml:space="preserve">Los </t>
        </is>
      </c>
      <c r="F70" s="121" t="inlineStr">
        <is>
          <t>Y</t>
        </is>
      </c>
      <c r="G70" s="121" t="inlineStr">
        <is>
          <t>COVERED</t>
        </is>
      </c>
      <c r="H70" s="121">
        <f> State Bank of India (California)</f>
        <v/>
      </c>
    </row>
    <row r="71">
      <c r="A71" s="121" t="inlineStr">
        <is>
          <t>58401</t>
        </is>
      </c>
      <c r="B71" s="121" t="inlineStr">
        <is>
          <t>Mega Bank</t>
        </is>
      </c>
      <c r="C71" s="121" t="n">
        <v>4</v>
      </c>
      <c r="D71" s="121" t="n">
        <v>434578</v>
      </c>
      <c r="E71" s="121" t="inlineStr">
        <is>
          <t>Los +Oran</t>
        </is>
      </c>
      <c r="F71" s="121" t="inlineStr">
        <is>
          <t>Y</t>
        </is>
      </c>
      <c r="G71" s="121" t="inlineStr">
        <is>
          <t>COVERED</t>
        </is>
      </c>
      <c r="H71" s="121">
        <f> Mega Bank</f>
        <v/>
      </c>
    </row>
    <row r="72">
      <c r="A72" s="121" t="inlineStr">
        <is>
          <t>23086</t>
        </is>
      </c>
      <c r="B72" s="121" t="inlineStr">
        <is>
          <t>New OMNI Bank, National Association</t>
        </is>
      </c>
      <c r="C72" s="121" t="n">
        <v>4</v>
      </c>
      <c r="D72" s="121" t="n">
        <v>373768</v>
      </c>
      <c r="E72" s="121" t="inlineStr">
        <is>
          <t>Los +Oran</t>
        </is>
      </c>
      <c r="F72" s="121" t="inlineStr">
        <is>
          <t>Y</t>
        </is>
      </c>
      <c r="G72" s="121" t="inlineStr">
        <is>
          <t>COVERED</t>
        </is>
      </c>
      <c r="H72" s="121">
        <f> New OMNI Bank, N.A.</f>
        <v/>
      </c>
    </row>
    <row r="73">
      <c r="A73" s="121" t="inlineStr">
        <is>
          <t>33188</t>
        </is>
      </c>
      <c r="B73" s="121" t="inlineStr">
        <is>
          <t>Shinhan Bank America</t>
        </is>
      </c>
      <c r="C73" s="121" t="n">
        <v>4</v>
      </c>
      <c r="D73" s="121" t="n">
        <v>368944</v>
      </c>
      <c r="E73" s="121" t="inlineStr">
        <is>
          <t>Los +Oran</t>
        </is>
      </c>
      <c r="F73" s="121" t="inlineStr">
        <is>
          <t>N</t>
        </is>
      </c>
      <c r="G73" s="121" t="inlineStr">
        <is>
          <t>COVERED</t>
        </is>
      </c>
      <c r="H73" s="121">
        <f> Shinhan Bank America</f>
        <v/>
      </c>
    </row>
    <row r="74">
      <c r="A74" s="121" t="inlineStr">
        <is>
          <t>22366</t>
        </is>
      </c>
      <c r="B74" s="121" t="inlineStr">
        <is>
          <t>GBC International Bank</t>
        </is>
      </c>
      <c r="C74" s="121" t="n">
        <v>4</v>
      </c>
      <c r="D74" s="121" t="n">
        <v>319052</v>
      </c>
      <c r="E74" s="121" t="inlineStr">
        <is>
          <t>Los +Oran</t>
        </is>
      </c>
      <c r="F74" s="121" t="inlineStr">
        <is>
          <t>Y</t>
        </is>
      </c>
      <c r="G74" s="121" t="inlineStr">
        <is>
          <t>COVERED</t>
        </is>
      </c>
      <c r="H74" s="121">
        <f> GBC International Bank</f>
        <v/>
      </c>
    </row>
    <row r="75">
      <c r="A75" s="121" t="inlineStr">
        <is>
          <t>26363</t>
        </is>
      </c>
      <c r="B75" s="121" t="inlineStr">
        <is>
          <t>Community Commerce Bank</t>
        </is>
      </c>
      <c r="C75" s="121" t="n">
        <v>4</v>
      </c>
      <c r="D75" s="121" t="n">
        <v>298478</v>
      </c>
      <c r="E75" s="121" t="inlineStr">
        <is>
          <t xml:space="preserve">Los </t>
        </is>
      </c>
      <c r="F75" s="121" t="inlineStr">
        <is>
          <t>Y</t>
        </is>
      </c>
      <c r="G75" s="121" t="inlineStr">
        <is>
          <t>COVERED</t>
        </is>
      </c>
      <c r="H75" s="121">
        <f> Community Commerce Bank</f>
        <v/>
      </c>
    </row>
    <row r="76">
      <c r="A76" s="121" t="inlineStr">
        <is>
          <t>58218</t>
        </is>
      </c>
      <c r="B76" s="121" t="inlineStr">
        <is>
          <t>First Pacific Bank</t>
        </is>
      </c>
      <c r="C76" s="121" t="n">
        <v>4</v>
      </c>
      <c r="D76" s="121" t="n">
        <v>290962</v>
      </c>
      <c r="E76" s="121" t="inlineStr">
        <is>
          <t xml:space="preserve">Los +Oran+San </t>
        </is>
      </c>
      <c r="F76" s="121" t="inlineStr">
        <is>
          <t>Y</t>
        </is>
      </c>
      <c r="G76" s="121" t="inlineStr">
        <is>
          <t>COVERED</t>
        </is>
      </c>
      <c r="H76" s="121">
        <f> First Pacific Bank</f>
        <v/>
      </c>
    </row>
    <row r="77">
      <c r="A77" s="121" t="inlineStr">
        <is>
          <t>57444</t>
        </is>
      </c>
      <c r="B77" s="121" t="inlineStr">
        <is>
          <t>American Continental Bank</t>
        </is>
      </c>
      <c r="C77" s="121" t="n">
        <v>4</v>
      </c>
      <c r="D77" s="121" t="n">
        <v>288086</v>
      </c>
      <c r="E77" s="121" t="inlineStr">
        <is>
          <t xml:space="preserve">Los +San </t>
        </is>
      </c>
      <c r="F77" s="121" t="inlineStr">
        <is>
          <t>Y</t>
        </is>
      </c>
      <c r="G77" s="121" t="inlineStr">
        <is>
          <t>COVERED</t>
        </is>
      </c>
      <c r="H77" s="121">
        <f> American Continental Bank</f>
        <v/>
      </c>
    </row>
    <row r="78">
      <c r="A78" s="121" t="inlineStr">
        <is>
          <t>20164</t>
        </is>
      </c>
      <c r="B78" s="121" t="inlineStr">
        <is>
          <t>Sunwest Bank</t>
        </is>
      </c>
      <c r="C78" s="121" t="n">
        <v>3</v>
      </c>
      <c r="D78" s="121" t="n">
        <v>2421811</v>
      </c>
      <c r="E78" s="121" t="inlineStr">
        <is>
          <t>Oran</t>
        </is>
      </c>
      <c r="F78" s="121" t="inlineStr">
        <is>
          <t>N</t>
        </is>
      </c>
      <c r="G78" s="121" t="inlineStr">
        <is>
          <t>COVERED</t>
        </is>
      </c>
      <c r="H78" s="121">
        <f> Sunwest Bank</f>
        <v/>
      </c>
    </row>
    <row r="79">
      <c r="A79" s="121" t="inlineStr">
        <is>
          <t>4063</t>
        </is>
      </c>
      <c r="B79" s="121" t="inlineStr">
        <is>
          <t>MidFirst Bank</t>
        </is>
      </c>
      <c r="C79" s="121" t="n">
        <v>3</v>
      </c>
      <c r="D79" s="121" t="n">
        <v>2125789</v>
      </c>
      <c r="E79" s="121" t="inlineStr">
        <is>
          <t xml:space="preserve">Los </t>
        </is>
      </c>
      <c r="F79" s="121" t="inlineStr">
        <is>
          <t>N</t>
        </is>
      </c>
      <c r="G79" s="121" t="inlineStr">
        <is>
          <t>COVERED</t>
        </is>
      </c>
      <c r="H79" s="121">
        <f> First Bank</f>
        <v/>
      </c>
    </row>
    <row r="80">
      <c r="A80" s="121" t="inlineStr">
        <is>
          <t>58291</t>
        </is>
      </c>
      <c r="B80" s="121" t="inlineStr">
        <is>
          <t>CalPrivate Bank</t>
        </is>
      </c>
      <c r="C80" s="121" t="n">
        <v>3</v>
      </c>
      <c r="D80" s="121" t="n">
        <v>921464</v>
      </c>
      <c r="E80" s="121" t="inlineStr">
        <is>
          <t>Los +Oran</t>
        </is>
      </c>
      <c r="F80" s="121" t="inlineStr">
        <is>
          <t>N</t>
        </is>
      </c>
      <c r="G80" s="121" t="inlineStr">
        <is>
          <t>COVERED</t>
        </is>
      </c>
      <c r="H80" s="121">
        <f> CalPrivate Bank</f>
        <v/>
      </c>
    </row>
    <row r="81">
      <c r="A81" s="121" t="inlineStr">
        <is>
          <t>57585</t>
        </is>
      </c>
      <c r="B81" s="121" t="inlineStr">
        <is>
          <t>Golden State Bank</t>
        </is>
      </c>
      <c r="C81" s="121" t="n">
        <v>3</v>
      </c>
      <c r="D81" s="121" t="n">
        <v>788879</v>
      </c>
      <c r="E81" s="121" t="inlineStr">
        <is>
          <t xml:space="preserve">Los +San </t>
        </is>
      </c>
      <c r="F81" s="121" t="inlineStr">
        <is>
          <t>Y</t>
        </is>
      </c>
      <c r="G81" s="121" t="inlineStr">
        <is>
          <t>COVERED</t>
        </is>
      </c>
      <c r="H81" s="121">
        <f> Golden State Bank</f>
        <v/>
      </c>
    </row>
    <row r="82">
      <c r="A82" s="121" t="inlineStr">
        <is>
          <t>57101</t>
        </is>
      </c>
      <c r="B82" s="121" t="inlineStr">
        <is>
          <t>Mission Valley Bank</t>
        </is>
      </c>
      <c r="C82" s="121" t="n">
        <v>3</v>
      </c>
      <c r="D82" s="121" t="n">
        <v>599566</v>
      </c>
      <c r="E82" s="121" t="inlineStr">
        <is>
          <t xml:space="preserve">Los </t>
        </is>
      </c>
      <c r="F82" s="121" t="inlineStr">
        <is>
          <t>Y</t>
        </is>
      </c>
      <c r="G82" s="121" t="inlineStr">
        <is>
          <t>COVERED</t>
        </is>
      </c>
      <c r="H82" s="121">
        <f> Mission Valley Bank</f>
        <v/>
      </c>
    </row>
    <row r="83">
      <c r="A83" s="121" t="inlineStr">
        <is>
          <t>59245</t>
        </is>
      </c>
      <c r="B83" s="121" t="inlineStr">
        <is>
          <t>Genesis Bank</t>
        </is>
      </c>
      <c r="C83" s="121" t="n">
        <v>3</v>
      </c>
      <c r="D83" s="121" t="n">
        <v>429619</v>
      </c>
      <c r="E83" s="121" t="inlineStr">
        <is>
          <t>Los +Oran+Rive</t>
        </is>
      </c>
      <c r="F83" s="121" t="inlineStr">
        <is>
          <t>Y</t>
        </is>
      </c>
      <c r="G83" s="121" t="inlineStr">
        <is>
          <t>COVERED</t>
        </is>
      </c>
      <c r="H83" s="121">
        <f> Genesis Bank</f>
        <v/>
      </c>
    </row>
    <row r="84">
      <c r="A84" s="121" t="inlineStr">
        <is>
          <t>58234</t>
        </is>
      </c>
      <c r="B84" s="121" t="inlineStr">
        <is>
          <t>Pacific Alliance Bank</t>
        </is>
      </c>
      <c r="C84" s="121" t="n">
        <v>3</v>
      </c>
      <c r="D84" s="121" t="n">
        <v>348048</v>
      </c>
      <c r="E84" s="121" t="inlineStr">
        <is>
          <t>Los +Oran</t>
        </is>
      </c>
      <c r="F84" s="121" t="inlineStr">
        <is>
          <t>Y</t>
        </is>
      </c>
      <c r="G84" s="121" t="inlineStr">
        <is>
          <t>COVERED</t>
        </is>
      </c>
      <c r="H84" s="121">
        <f> Pacific Alliance Bank</f>
        <v/>
      </c>
    </row>
    <row r="85">
      <c r="A85" s="121" t="inlineStr">
        <is>
          <t>57512</t>
        </is>
      </c>
      <c r="B85" s="121" t="inlineStr">
        <is>
          <t>Western Alliance Bank</t>
        </is>
      </c>
      <c r="C85" s="121" t="n">
        <v>2</v>
      </c>
      <c r="D85" s="121" t="n">
        <v>1360406</v>
      </c>
      <c r="E85" s="121" t="inlineStr">
        <is>
          <t xml:space="preserve">Los </t>
        </is>
      </c>
      <c r="F85" s="121" t="inlineStr">
        <is>
          <t>N</t>
        </is>
      </c>
      <c r="G85" s="121" t="inlineStr">
        <is>
          <t>COVERED</t>
        </is>
      </c>
      <c r="H85" s="121">
        <f> Western Alliance Bank</f>
        <v/>
      </c>
    </row>
    <row r="86">
      <c r="A86" s="121" t="inlineStr">
        <is>
          <t>17266</t>
        </is>
      </c>
      <c r="B86" s="121" t="inlineStr">
        <is>
          <t>Umpqua Bank</t>
        </is>
      </c>
      <c r="C86" s="121" t="n">
        <v>2</v>
      </c>
      <c r="D86" s="121" t="n">
        <v>920378</v>
      </c>
      <c r="E86" s="121" t="inlineStr">
        <is>
          <t>Los +Oran</t>
        </is>
      </c>
      <c r="F86" s="121" t="inlineStr">
        <is>
          <t>N</t>
        </is>
      </c>
      <c r="G86" s="121" t="inlineStr">
        <is>
          <t>COVERED</t>
        </is>
      </c>
      <c r="H86" s="121">
        <f> Umpqua Bank (Columbia)</f>
        <v/>
      </c>
    </row>
    <row r="87">
      <c r="A87" s="121" t="inlineStr">
        <is>
          <t>58588</t>
        </is>
      </c>
      <c r="B87" s="121" t="inlineStr">
        <is>
          <t>Partners Bank of California</t>
        </is>
      </c>
      <c r="C87" s="121" t="n">
        <v>2</v>
      </c>
      <c r="D87" s="121" t="n">
        <v>577785</v>
      </c>
      <c r="E87" s="121" t="inlineStr">
        <is>
          <t>Los +Oran</t>
        </is>
      </c>
      <c r="F87" s="121" t="inlineStr">
        <is>
          <t>Y</t>
        </is>
      </c>
      <c r="G87" s="121" t="inlineStr">
        <is>
          <t>COVERED</t>
        </is>
      </c>
      <c r="H87" s="121">
        <f> Partners Bank of California</f>
        <v/>
      </c>
    </row>
    <row r="88">
      <c r="A88" s="121" t="inlineStr">
        <is>
          <t>34352</t>
        </is>
      </c>
      <c r="B88" s="121" t="inlineStr">
        <is>
          <t>City First Bank, National Association</t>
        </is>
      </c>
      <c r="C88" s="121" t="n">
        <v>2</v>
      </c>
      <c r="D88" s="121" t="n">
        <v>254982</v>
      </c>
      <c r="E88" s="121" t="inlineStr">
        <is>
          <t xml:space="preserve">Los </t>
        </is>
      </c>
      <c r="F88" s="121" t="inlineStr">
        <is>
          <t>N</t>
        </is>
      </c>
      <c r="G88" s="121" t="inlineStr">
        <is>
          <t>COVERED</t>
        </is>
      </c>
      <c r="H88" s="121">
        <f> First Bank</f>
        <v/>
      </c>
    </row>
    <row r="89">
      <c r="A89" s="121" t="inlineStr">
        <is>
          <t>9396</t>
        </is>
      </c>
      <c r="B89" s="121" t="inlineStr">
        <is>
          <t>Valley National Bank</t>
        </is>
      </c>
      <c r="C89" s="121" t="n">
        <v>2</v>
      </c>
      <c r="D89" s="121" t="n">
        <v>220315</v>
      </c>
      <c r="E89" s="121" t="inlineStr">
        <is>
          <t xml:space="preserve">Los </t>
        </is>
      </c>
      <c r="F89" s="121" t="inlineStr">
        <is>
          <t>N</t>
        </is>
      </c>
      <c r="G89" s="121" t="inlineStr">
        <is>
          <t>COVERED</t>
        </is>
      </c>
      <c r="H89" s="121">
        <f> Valley National Bank</f>
        <v/>
      </c>
    </row>
    <row r="90">
      <c r="A90" s="121" t="inlineStr">
        <is>
          <t>23805</t>
        </is>
      </c>
      <c r="B90" s="121" t="inlineStr">
        <is>
          <t>United Pacific Bank</t>
        </is>
      </c>
      <c r="C90" s="121" t="n">
        <v>2</v>
      </c>
      <c r="D90" s="121" t="n">
        <v>142596</v>
      </c>
      <c r="E90" s="121" t="inlineStr">
        <is>
          <t xml:space="preserve">Los </t>
        </is>
      </c>
      <c r="F90" s="121" t="inlineStr">
        <is>
          <t>Y</t>
        </is>
      </c>
      <c r="G90" s="121" t="inlineStr">
        <is>
          <t>COVERED</t>
        </is>
      </c>
      <c r="H90" s="121">
        <f> United Pacific Bank</f>
        <v/>
      </c>
    </row>
    <row r="91">
      <c r="A91" s="121" t="inlineStr">
        <is>
          <t>59314</t>
        </is>
      </c>
      <c r="B91" s="121" t="inlineStr">
        <is>
          <t>Icon Business Bank</t>
        </is>
      </c>
      <c r="C91" s="121" t="n">
        <v>2</v>
      </c>
      <c r="D91" s="121" t="n">
        <v>138048</v>
      </c>
      <c r="E91" s="121" t="inlineStr">
        <is>
          <t>Oran+Rive</t>
        </is>
      </c>
      <c r="F91" s="121" t="inlineStr">
        <is>
          <t>Y</t>
        </is>
      </c>
      <c r="G91" s="121" t="inlineStr">
        <is>
          <t>COVERED</t>
        </is>
      </c>
      <c r="H91" s="121">
        <f> Icon Business Bank</f>
        <v/>
      </c>
    </row>
    <row r="92">
      <c r="A92" s="121" t="inlineStr">
        <is>
          <t>20845</t>
        </is>
      </c>
      <c r="B92" s="121" t="inlineStr">
        <is>
          <t>Wallis Bank</t>
        </is>
      </c>
      <c r="C92" s="121" t="n">
        <v>2</v>
      </c>
      <c r="D92" s="121" t="n">
        <v>108598</v>
      </c>
      <c r="E92" s="121" t="inlineStr">
        <is>
          <t xml:space="preserve">Los </t>
        </is>
      </c>
      <c r="F92" s="121" t="inlineStr">
        <is>
          <t>N</t>
        </is>
      </c>
      <c r="G92" s="121" t="inlineStr">
        <is>
          <t>COVERED</t>
        </is>
      </c>
      <c r="H92" s="121">
        <f> Wallis Bank</f>
        <v/>
      </c>
    </row>
    <row r="93">
      <c r="A93" s="121" t="inlineStr">
        <is>
          <t>32277</t>
        </is>
      </c>
      <c r="B93" s="121" t="inlineStr">
        <is>
          <t>Eastern International Bank</t>
        </is>
      </c>
      <c r="C93" s="121" t="n">
        <v>2</v>
      </c>
      <c r="D93" s="121" t="n">
        <v>91688</v>
      </c>
      <c r="E93" s="121" t="inlineStr">
        <is>
          <t xml:space="preserve">Los </t>
        </is>
      </c>
      <c r="F93" s="121" t="inlineStr">
        <is>
          <t>Y</t>
        </is>
      </c>
      <c r="G93" s="121" t="inlineStr">
        <is>
          <t>COVERED</t>
        </is>
      </c>
      <c r="H93" s="121">
        <f> Eastern International Bank</f>
        <v/>
      </c>
    </row>
    <row r="94">
      <c r="A94" s="121" t="inlineStr">
        <is>
          <t>26704</t>
        </is>
      </c>
      <c r="B94" s="121" t="inlineStr">
        <is>
          <t>Balboa Thrift and Loan Association</t>
        </is>
      </c>
      <c r="C94" s="121" t="n">
        <v>2</v>
      </c>
      <c r="D94" s="121" t="n">
        <v>61940</v>
      </c>
      <c r="E94" s="121" t="inlineStr">
        <is>
          <t>Los +Rive</t>
        </is>
      </c>
      <c r="F94" s="121" t="inlineStr">
        <is>
          <t>N</t>
        </is>
      </c>
      <c r="G94" s="121" t="inlineStr">
        <is>
          <t>COVERED</t>
        </is>
      </c>
      <c r="H94" s="121">
        <f> Balboa Thrift and Loan Association</f>
        <v/>
      </c>
    </row>
    <row r="95">
      <c r="A95" s="121" t="inlineStr">
        <is>
          <t>33013</t>
        </is>
      </c>
      <c r="B95" s="121" t="inlineStr">
        <is>
          <t>Asian Pacific National Bank</t>
        </is>
      </c>
      <c r="C95" s="121" t="n">
        <v>2</v>
      </c>
      <c r="D95" s="121" t="n">
        <v>44160</v>
      </c>
      <c r="E95" s="121" t="inlineStr">
        <is>
          <t xml:space="preserve">Los </t>
        </is>
      </c>
      <c r="F95" s="121" t="inlineStr">
        <is>
          <t>Y</t>
        </is>
      </c>
      <c r="G95" s="121" t="inlineStr">
        <is>
          <t>COVERED</t>
        </is>
      </c>
      <c r="H95" s="121">
        <f> Asian Pacific National Bank</f>
        <v/>
      </c>
    </row>
    <row r="96">
      <c r="A96" s="121" t="inlineStr">
        <is>
          <t>26312</t>
        </is>
      </c>
      <c r="B96" s="121" t="inlineStr">
        <is>
          <t>First American Trust, FSB</t>
        </is>
      </c>
      <c r="C96" s="121" t="n">
        <v>1</v>
      </c>
      <c r="D96" s="121" t="n">
        <v>5548035</v>
      </c>
      <c r="E96" s="121" t="inlineStr">
        <is>
          <t>Oran</t>
        </is>
      </c>
      <c r="F96" s="121" t="inlineStr">
        <is>
          <t>Y</t>
        </is>
      </c>
      <c r="G96" s="121" t="inlineStr">
        <is>
          <t>COVERED</t>
        </is>
      </c>
      <c r="H96" s="121">
        <f> First American Trust, FSB</f>
        <v/>
      </c>
    </row>
    <row r="97">
      <c r="A97" s="121" t="inlineStr">
        <is>
          <t>34788</t>
        </is>
      </c>
      <c r="B97" s="121" t="inlineStr">
        <is>
          <t>American Business Bank</t>
        </is>
      </c>
      <c r="C97" s="121" t="n">
        <v>1</v>
      </c>
      <c r="D97" s="121" t="n">
        <v>3872215</v>
      </c>
      <c r="E97" s="121" t="inlineStr">
        <is>
          <t xml:space="preserve">Los </t>
        </is>
      </c>
      <c r="F97" s="121" t="inlineStr">
        <is>
          <t>Y</t>
        </is>
      </c>
      <c r="G97" s="121" t="inlineStr">
        <is>
          <t>COVERED</t>
        </is>
      </c>
      <c r="H97" s="121">
        <f> American Business Bank</f>
        <v/>
      </c>
    </row>
    <row r="98">
      <c r="A98" s="121" t="inlineStr">
        <is>
          <t>33661</t>
        </is>
      </c>
      <c r="B98" s="121" t="inlineStr">
        <is>
          <t>Mizrahi Tefahot Bank, Ltd.</t>
        </is>
      </c>
      <c r="C98" s="121" t="n">
        <v>1</v>
      </c>
      <c r="D98" s="121" t="n">
        <v>3309713</v>
      </c>
      <c r="E98" s="121" t="inlineStr">
        <is>
          <t xml:space="preserve">Los </t>
        </is>
      </c>
      <c r="F98" s="121" t="inlineStr">
        <is>
          <t>Y</t>
        </is>
      </c>
      <c r="G98" s="121" t="inlineStr">
        <is>
          <t>COVERED</t>
        </is>
      </c>
      <c r="H98" s="121">
        <f> Mizrahi Tefahot Bank, Ltd. (UMTB USA)</f>
        <v/>
      </c>
    </row>
    <row r="99">
      <c r="A99" s="121" t="inlineStr">
        <is>
          <t>57176</t>
        </is>
      </c>
      <c r="B99" s="121" t="inlineStr">
        <is>
          <t>Commerce West Bank</t>
        </is>
      </c>
      <c r="C99" s="121" t="n">
        <v>1</v>
      </c>
      <c r="D99" s="121" t="n">
        <v>1033703</v>
      </c>
      <c r="E99" s="121" t="inlineStr">
        <is>
          <t>Oran</t>
        </is>
      </c>
      <c r="F99" s="121" t="inlineStr">
        <is>
          <t>Y</t>
        </is>
      </c>
      <c r="G99" s="121" t="inlineStr">
        <is>
          <t>COVERED</t>
        </is>
      </c>
      <c r="H99" s="121">
        <f> CommerceWest Bank (base row; TIB)</f>
        <v/>
      </c>
    </row>
    <row r="100">
      <c r="A100" s="121" t="inlineStr">
        <is>
          <t>58590</t>
        </is>
      </c>
      <c r="B100" s="121" t="inlineStr">
        <is>
          <t>Nano Banc</t>
        </is>
      </c>
      <c r="C100" s="121" t="n">
        <v>1</v>
      </c>
      <c r="D100" s="121" t="n">
        <v>804571</v>
      </c>
      <c r="E100" s="121" t="inlineStr">
        <is>
          <t>Oran</t>
        </is>
      </c>
      <c r="F100" s="121" t="inlineStr">
        <is>
          <t>Y</t>
        </is>
      </c>
      <c r="G100" s="121" t="inlineStr">
        <is>
          <t>COVERED</t>
        </is>
      </c>
      <c r="H100" s="121">
        <f> Nano Banc</f>
        <v/>
      </c>
    </row>
    <row r="101">
      <c r="A101" s="121" t="inlineStr">
        <is>
          <t>34805</t>
        </is>
      </c>
      <c r="B101" s="121" t="inlineStr">
        <is>
          <t>Mission Bank</t>
        </is>
      </c>
      <c r="C101" s="121" t="n">
        <v>1</v>
      </c>
      <c r="D101" s="121" t="n">
        <v>319948</v>
      </c>
      <c r="E101" s="121" t="inlineStr">
        <is>
          <t xml:space="preserve">Los </t>
        </is>
      </c>
      <c r="F101" s="121" t="inlineStr">
        <is>
          <t>N</t>
        </is>
      </c>
      <c r="G101" s="121" t="inlineStr">
        <is>
          <t>COVERED</t>
        </is>
      </c>
      <c r="H101" s="121">
        <f> Mission Bank</f>
        <v/>
      </c>
    </row>
    <row r="102">
      <c r="A102" s="121" t="inlineStr">
        <is>
          <t>59098</t>
        </is>
      </c>
      <c r="B102" s="121" t="inlineStr">
        <is>
          <t>Infinity Bank</t>
        </is>
      </c>
      <c r="C102" s="121" t="n">
        <v>1</v>
      </c>
      <c r="D102" s="121" t="n">
        <v>291622</v>
      </c>
      <c r="E102" s="121" t="inlineStr">
        <is>
          <t>Oran</t>
        </is>
      </c>
      <c r="F102" s="121" t="inlineStr">
        <is>
          <t>Y</t>
        </is>
      </c>
      <c r="G102" s="121" t="inlineStr">
        <is>
          <t>COVERED</t>
        </is>
      </c>
      <c r="H102" s="121">
        <f> Infinity Bank</f>
        <v/>
      </c>
    </row>
    <row r="103">
      <c r="A103" s="121" t="inlineStr">
        <is>
          <t>24332</t>
        </is>
      </c>
      <c r="B103" s="121" t="inlineStr">
        <is>
          <t>First Credit Bank</t>
        </is>
      </c>
      <c r="C103" s="121" t="n">
        <v>1</v>
      </c>
      <c r="D103" s="121" t="n">
        <v>282355</v>
      </c>
      <c r="E103" s="121" t="inlineStr">
        <is>
          <t xml:space="preserve">Los </t>
        </is>
      </c>
      <c r="F103" s="121" t="inlineStr">
        <is>
          <t>Y</t>
        </is>
      </c>
      <c r="G103" s="121" t="inlineStr">
        <is>
          <t>COVERED</t>
        </is>
      </c>
      <c r="H103" s="121">
        <f> First Credit Bank</f>
        <v/>
      </c>
    </row>
    <row r="104">
      <c r="A104" s="121" t="inlineStr">
        <is>
          <t>58490</t>
        </is>
      </c>
      <c r="B104" s="121" t="inlineStr">
        <is>
          <t>Beneficial State Bank</t>
        </is>
      </c>
      <c r="C104" s="121" t="n">
        <v>1</v>
      </c>
      <c r="D104" s="121" t="n">
        <v>219250</v>
      </c>
      <c r="E104" s="121" t="inlineStr">
        <is>
          <t xml:space="preserve">Los </t>
        </is>
      </c>
      <c r="F104" s="121" t="inlineStr">
        <is>
          <t>N</t>
        </is>
      </c>
      <c r="G104" s="121" t="inlineStr">
        <is>
          <t>COVERED</t>
        </is>
      </c>
      <c r="H104" s="121">
        <f> Beneficial State Bank</f>
        <v/>
      </c>
    </row>
    <row r="105">
      <c r="A105" s="121" t="inlineStr">
        <is>
          <t>35331</t>
        </is>
      </c>
      <c r="B105" s="121" t="inlineStr">
        <is>
          <t>Liberty Bank, National Association</t>
        </is>
      </c>
      <c r="C105" s="121" t="n">
        <v>1</v>
      </c>
      <c r="D105" s="121" t="n">
        <v>179703</v>
      </c>
      <c r="E105" s="121" t="inlineStr">
        <is>
          <t>Oran</t>
        </is>
      </c>
      <c r="F105" s="121" t="inlineStr">
        <is>
          <t>Y</t>
        </is>
      </c>
      <c r="G105" s="121" t="inlineStr">
        <is>
          <t>COVERED</t>
        </is>
      </c>
      <c r="H105" s="121">
        <f> Liberty Bank, N.A. (Irvine, CA)</f>
        <v/>
      </c>
    </row>
    <row r="106">
      <c r="A106" s="121" t="inlineStr">
        <is>
          <t>59296</t>
        </is>
      </c>
      <c r="B106" s="121" t="inlineStr">
        <is>
          <t>Bank Irvine</t>
        </is>
      </c>
      <c r="C106" s="121" t="n">
        <v>1</v>
      </c>
      <c r="D106" s="121" t="n">
        <v>164233</v>
      </c>
      <c r="E106" s="121" t="inlineStr">
        <is>
          <t>Oran</t>
        </is>
      </c>
      <c r="F106" s="121" t="inlineStr">
        <is>
          <t>Y</t>
        </is>
      </c>
      <c r="G106" s="121" t="inlineStr">
        <is>
          <t>COVERED</t>
        </is>
      </c>
      <c r="H106" s="121">
        <f> Bank Irvine</f>
        <v/>
      </c>
    </row>
    <row r="107">
      <c r="A107" s="121" t="inlineStr">
        <is>
          <t>24211</t>
        </is>
      </c>
      <c r="B107" s="121" t="inlineStr">
        <is>
          <t>Bank of Whittier, National Association</t>
        </is>
      </c>
      <c r="C107" s="121" t="n">
        <v>1</v>
      </c>
      <c r="D107" s="121" t="n">
        <v>128556</v>
      </c>
      <c r="E107" s="121" t="inlineStr">
        <is>
          <t xml:space="preserve">Los </t>
        </is>
      </c>
      <c r="F107" s="121" t="inlineStr">
        <is>
          <t>Y</t>
        </is>
      </c>
      <c r="G107" s="121" t="inlineStr">
        <is>
          <t>COVERED</t>
        </is>
      </c>
      <c r="H107" s="121">
        <f> Bank of Whittier, N.A.</f>
        <v/>
      </c>
    </row>
    <row r="108">
      <c r="A108" s="121" t="inlineStr">
        <is>
          <t>59290</t>
        </is>
      </c>
      <c r="B108" s="121" t="inlineStr">
        <is>
          <t>Beach Cities Commercial Bank</t>
        </is>
      </c>
      <c r="C108" s="121" t="n">
        <v>1</v>
      </c>
      <c r="D108" s="121" t="n">
        <v>108284</v>
      </c>
      <c r="E108" s="121" t="inlineStr">
        <is>
          <t>Oran</t>
        </is>
      </c>
      <c r="F108" s="121" t="inlineStr">
        <is>
          <t>Y</t>
        </is>
      </c>
      <c r="G108" s="121" t="inlineStr">
        <is>
          <t>COVERED</t>
        </is>
      </c>
      <c r="H108" s="121">
        <f> Beach Cities Commercial Bank</f>
        <v/>
      </c>
    </row>
    <row r="109">
      <c r="A109" s="121" t="inlineStr">
        <is>
          <t>58037</t>
        </is>
      </c>
      <c r="B109" s="121" t="inlineStr">
        <is>
          <t>California Business Bank</t>
        </is>
      </c>
      <c r="C109" s="121" t="n">
        <v>1</v>
      </c>
      <c r="D109" s="121" t="n">
        <v>94272</v>
      </c>
      <c r="E109" s="121" t="inlineStr">
        <is>
          <t>Oran</t>
        </is>
      </c>
      <c r="F109" s="121" t="inlineStr">
        <is>
          <t>Y</t>
        </is>
      </c>
      <c r="G109" s="121" t="inlineStr">
        <is>
          <t>COVERED</t>
        </is>
      </c>
      <c r="H109" s="121">
        <f> California Business Bank</f>
        <v/>
      </c>
    </row>
    <row r="110">
      <c r="A110" s="121" t="inlineStr">
        <is>
          <t>59204</t>
        </is>
      </c>
      <c r="B110" s="121" t="inlineStr">
        <is>
          <t>Legacy Bank</t>
        </is>
      </c>
      <c r="C110" s="121" t="n">
        <v>1</v>
      </c>
      <c r="D110" s="121" t="n">
        <v>72724</v>
      </c>
      <c r="E110" s="121" t="inlineStr">
        <is>
          <t>Rive</t>
        </is>
      </c>
      <c r="F110" s="121" t="inlineStr">
        <is>
          <t>Y</t>
        </is>
      </c>
      <c r="G110" s="121" t="inlineStr">
        <is>
          <t>COVERED</t>
        </is>
      </c>
      <c r="H110" s="121">
        <f> Legacy Bank (Murrieta, CA)</f>
        <v/>
      </c>
    </row>
    <row r="111">
      <c r="A111" s="121" t="inlineStr">
        <is>
          <t>32908</t>
        </is>
      </c>
      <c r="B111" s="121" t="inlineStr">
        <is>
          <t>Tustin Community Bank</t>
        </is>
      </c>
      <c r="C111" s="121" t="n">
        <v>1</v>
      </c>
      <c r="D111" s="121" t="n">
        <v>63278</v>
      </c>
      <c r="E111" s="121" t="inlineStr">
        <is>
          <t>Oran</t>
        </is>
      </c>
      <c r="F111" s="121" t="inlineStr">
        <is>
          <t>Y</t>
        </is>
      </c>
      <c r="G111" s="121" t="inlineStr">
        <is>
          <t>COVERED</t>
        </is>
      </c>
      <c r="H111" s="121">
        <f> Tustin Community Bank</f>
        <v/>
      </c>
    </row>
    <row r="112">
      <c r="A112" s="121" t="inlineStr">
        <is>
          <t>57974</t>
        </is>
      </c>
      <c r="B112" s="121" t="inlineStr">
        <is>
          <t>California International Bank, N.A.</t>
        </is>
      </c>
      <c r="C112" s="121" t="n">
        <v>1</v>
      </c>
      <c r="D112" s="121" t="n">
        <v>62775</v>
      </c>
      <c r="E112" s="121" t="inlineStr">
        <is>
          <t>Oran</t>
        </is>
      </c>
      <c r="F112" s="121" t="inlineStr">
        <is>
          <t>Y</t>
        </is>
      </c>
      <c r="G112" s="121" t="inlineStr">
        <is>
          <t>COVERED</t>
        </is>
      </c>
      <c r="H112" s="121">
        <f> California International Bank, N.A.</f>
        <v/>
      </c>
    </row>
    <row r="113">
      <c r="A113" s="121" t="inlineStr">
        <is>
          <t>25249</t>
        </is>
      </c>
      <c r="B113" s="121" t="inlineStr">
        <is>
          <t>C3bank, National Association</t>
        </is>
      </c>
      <c r="C113" s="121" t="n">
        <v>1</v>
      </c>
      <c r="D113" s="121" t="n">
        <v>58045</v>
      </c>
      <c r="E113" s="121" t="inlineStr">
        <is>
          <t>Rive</t>
        </is>
      </c>
      <c r="F113" s="121" t="inlineStr">
        <is>
          <t>N</t>
        </is>
      </c>
      <c r="G113" s="121" t="inlineStr">
        <is>
          <t>COVERED</t>
        </is>
      </c>
      <c r="H113" s="121">
        <f> C3bank, N.A.</f>
        <v/>
      </c>
    </row>
    <row r="114">
      <c r="A114" s="121" t="inlineStr">
        <is>
          <t>58500</t>
        </is>
      </c>
      <c r="B114" s="121" t="inlineStr">
        <is>
          <t>Community Valley Bank</t>
        </is>
      </c>
      <c r="C114" s="121" t="n">
        <v>1</v>
      </c>
      <c r="D114" s="121" t="n">
        <v>6829</v>
      </c>
      <c r="E114" s="121" t="inlineStr">
        <is>
          <t>Rive</t>
        </is>
      </c>
      <c r="F114" s="121" t="inlineStr">
        <is>
          <t>N</t>
        </is>
      </c>
      <c r="G114" s="121" t="inlineStr">
        <is>
          <t>COVERED</t>
        </is>
      </c>
      <c r="H114" s="121">
        <f> Community Valley Bank (in 117 CA-HQ sweep)</f>
        <v/>
      </c>
    </row>
    <row r="115">
      <c r="A115" s="121" t="inlineStr">
        <is>
          <t>23472</t>
        </is>
      </c>
      <c r="B115" s="121" t="inlineStr">
        <is>
          <t>The Bank of New York Mellon Trust Company, National Association</t>
        </is>
      </c>
      <c r="C115" s="121" t="n">
        <v>1</v>
      </c>
      <c r="D115" s="121" t="n">
        <v>797</v>
      </c>
      <c r="E115" s="121" t="inlineStr">
        <is>
          <t xml:space="preserve">Los </t>
        </is>
      </c>
      <c r="F115" s="121" t="inlineStr">
        <is>
          <t>Y</t>
        </is>
      </c>
      <c r="G115" s="121" t="inlineStr">
        <is>
          <t>COVERED</t>
        </is>
      </c>
      <c r="H115" s="121">
        <f> The Bank of New York Mellon Trust Company, N.A.</f>
        <v/>
      </c>
    </row>
    <row r="116">
      <c r="A116" s="121" t="inlineStr">
        <is>
          <t>35164</t>
        </is>
      </c>
      <c r="B116" s="121" t="inlineStr">
        <is>
          <t>Capital Bank and Trust Company</t>
        </is>
      </c>
      <c r="C116" s="121" t="n">
        <v>1</v>
      </c>
      <c r="D116" s="121" t="n">
        <v>500</v>
      </c>
      <c r="E116" s="121" t="inlineStr">
        <is>
          <t>Oran</t>
        </is>
      </c>
      <c r="F116" s="121" t="inlineStr">
        <is>
          <t>Y</t>
        </is>
      </c>
      <c r="G116" s="121" t="inlineStr">
        <is>
          <t>COVERED</t>
        </is>
      </c>
      <c r="H116" s="121">
        <f> Capital Bank and Trust Company</f>
        <v/>
      </c>
    </row>
    <row r="117">
      <c r="A117" s="121" t="inlineStr">
        <is>
          <t>57607</t>
        </is>
      </c>
      <c r="B117" s="121" t="inlineStr">
        <is>
          <t>First Western Trust Bank</t>
        </is>
      </c>
      <c r="C117" s="121" t="n">
        <v>1</v>
      </c>
      <c r="D117" s="121" t="n">
        <v>0</v>
      </c>
      <c r="E117" s="121" t="inlineStr">
        <is>
          <t xml:space="preserve">Los </t>
        </is>
      </c>
      <c r="F117" s="121" t="inlineStr">
        <is>
          <t>N</t>
        </is>
      </c>
      <c r="G117" s="121" t="inlineStr">
        <is>
          <t>COVERED</t>
        </is>
      </c>
      <c r="H117" s="121">
        <f> First Western Trust</f>
        <v/>
      </c>
    </row>
  </sheetData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30" customWidth="1" min="3" max="3"/>
    <col width="11" customWidth="1" min="4" max="4"/>
    <col width="30" customWidth="1" min="5" max="5"/>
    <col width="20" customWidth="1" min="6" max="6"/>
    <col width="20" customWidth="1" min="7" max="7"/>
    <col width="15" customWidth="1" min="8" max="8"/>
    <col width="24" customWidth="1" min="9" max="9"/>
    <col width="20" customWidth="1" min="10" max="10"/>
    <col width="26" customWidth="1" min="11" max="11"/>
    <col width="16" customWidth="1" min="12" max="12"/>
    <col width="26" customWidth="1" min="13" max="13"/>
    <col width="15" customWidth="1" min="14" max="14"/>
    <col width="30" customWidth="1" min="15" max="15"/>
    <col width="7" customWidth="1" min="16" max="16"/>
    <col width="7" customWidth="1" min="17" max="17"/>
    <col width="11" customWidth="1" min="18" max="18"/>
    <col width="11" customWidth="1" min="19" max="19"/>
    <col width="24" customWidth="1" min="20" max="20"/>
    <col width="26" customWidth="1" min="21" max="21"/>
    <col width="26" customWidth="1" min="22" max="22"/>
  </cols>
  <sheetData>
    <row r="1">
      <c r="A1" s="113" t="inlineStr">
        <is>
          <t>MASTER PULL LIST — every institution w/ branch in LA/OC/Riverside/SB (256 rows) — 2026-06-09</t>
        </is>
      </c>
    </row>
    <row r="2">
      <c r="A2" s="114" t="inlineStr">
        <is>
          <t>Sort: bucket (A targets → B RM/LOC → C logged → D NO-GO → E artifact) → Chex/EWS tier → distance. *Distances = city-centroid (LB 90802 / Fontana 92335) — PENDING exact addresses. UNKNOWN = no source found, never guessed. Strict-substring joins (v4.1 matcher fix).</t>
        </is>
      </c>
    </row>
    <row r="4">
      <c r="A4" s="115" t="inlineStr">
        <is>
          <t>B</t>
        </is>
      </c>
      <c r="B4" s="115" t="inlineStr">
        <is>
          <t>Chex-EWS tier</t>
        </is>
      </c>
      <c r="C4" s="115" t="inlineStr">
        <is>
          <t>Institution</t>
        </is>
      </c>
      <c r="D4" s="115" t="inlineStr">
        <is>
          <t>Type</t>
        </is>
      </c>
      <c r="E4" s="115" t="inlineStr">
        <is>
          <t>Biz credit card</t>
        </is>
      </c>
      <c r="F4" s="115" t="inlineStr">
        <is>
          <t>Biz LOC</t>
        </is>
      </c>
      <c r="G4" s="115" t="inlineStr">
        <is>
          <t>Adv. limit</t>
        </is>
      </c>
      <c r="H4" s="115" t="inlineStr">
        <is>
          <t>No-doc?</t>
        </is>
      </c>
      <c r="I4" s="115" t="inlineStr">
        <is>
          <t>Issuer/UW</t>
        </is>
      </c>
      <c r="J4" s="115" t="inlineStr">
        <is>
          <t>Bureau</t>
        </is>
      </c>
      <c r="K4" s="115" t="inlineStr">
        <is>
          <t>Chex (dated)</t>
        </is>
      </c>
      <c r="L4" s="115" t="inlineStr">
        <is>
          <t>EWS (dated)</t>
        </is>
      </c>
      <c r="M4" s="115" t="inlineStr">
        <is>
          <t>Join / deposit gate</t>
        </is>
      </c>
      <c r="N4" s="115" t="inlineStr">
        <is>
          <t>Apply</t>
        </is>
      </c>
      <c r="O4" s="115" t="inlineStr">
        <is>
          <t>Nearest branch</t>
        </is>
      </c>
      <c r="P4" s="115" t="inlineStr">
        <is>
          <t>LB mi*</t>
        </is>
      </c>
      <c r="Q4" s="115" t="inlineStr">
        <is>
          <t>Fon mi*</t>
        </is>
      </c>
      <c r="R4" s="115" t="inlineStr">
        <is>
          <t>Dep 4cty $K</t>
        </is>
      </c>
      <c r="S4" s="115" t="inlineStr">
        <is>
          <t>Assets</t>
        </is>
      </c>
      <c r="T4" s="115" t="inlineStr">
        <is>
          <t>DPs / notes</t>
        </is>
      </c>
      <c r="U4" s="115" t="inlineStr">
        <is>
          <t>Verdict</t>
        </is>
      </c>
      <c r="V4" s="115" t="inlineStr">
        <is>
          <t>Key source</t>
        </is>
      </c>
    </row>
    <row r="5">
      <c r="A5" s="144" t="inlineStr">
        <is>
          <t>A TARGET (biz card)</t>
        </is>
      </c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117" t="n"/>
      <c r="R5" s="117" t="n"/>
      <c r="S5" s="117" t="n"/>
      <c r="T5" s="117" t="n"/>
      <c r="U5" s="117" t="n"/>
      <c r="V5" s="118" t="n"/>
    </row>
    <row r="6">
      <c r="A6" s="145" t="inlineStr">
        <is>
          <t>A</t>
        </is>
      </c>
      <c r="B6" s="146" t="inlineStr">
        <is>
          <t>🥇 no-pull evidence</t>
        </is>
      </c>
      <c r="C6" s="145" t="inlineStr">
        <is>
          <t>CalPrivate Bank</t>
        </is>
      </c>
      <c r="D6" s="145" t="inlineStr">
        <is>
          <t>Bank</t>
        </is>
      </c>
      <c r="E6" s="145" t="inlineStr">
        <is>
          <t>✅ no 0%; $0/$49 AF; apply via banker</t>
        </is>
      </c>
      <c r="F6" s="145" t="inlineStr">
        <is>
          <t>None (SBA PLP/commercial/CRE full-doc)</t>
        </is>
      </c>
      <c r="G6" s="145" t="inlineStr">
        <is>
          <t>N/M (TIB; financials typically required $10K+)</t>
        </is>
      </c>
      <c r="H6" s="145" t="inlineStr">
        <is>
          <t>PG (infer, TIB standard); income docs N/M</t>
        </is>
      </c>
      <c r="I6" s="145" t="inlineStr">
        <is>
          <t>TIB</t>
        </is>
      </c>
      <c r="J6" s="145" t="inlineStr">
        <is>
          <t>Experian (TIB; conflicting 'variable')</t>
        </is>
      </c>
      <c r="K6" s="145" t="inlineStr">
        <is>
          <t>Not mentioned</t>
        </is>
      </c>
      <c r="L6" s="145" t="inlineStr">
        <is>
          <t>Not mentioned</t>
        </is>
      </c>
      <c r="M6" s="145" t="inlineStr">
        <is>
          <t>N/M (relationship likely)</t>
        </is>
      </c>
      <c r="N6" s="145" t="inlineStr">
        <is>
          <t>In-person</t>
        </is>
      </c>
      <c r="O6" s="145" t="inlineStr">
        <is>
          <t>2321 Rosecrans avenue, Suite 3240, El Segundo 90245 (Los Angeles)</t>
        </is>
      </c>
      <c r="P6" s="145" t="inlineStr">
        <is>
          <t>8.0</t>
        </is>
      </c>
      <c r="Q6" s="145" t="inlineStr">
        <is>
          <t>27.5</t>
        </is>
      </c>
      <c r="R6" s="145" t="inlineStr">
        <is>
          <t>921464</t>
        </is>
      </c>
      <c r="S6" s="145" t="n"/>
      <c r="T6" s="145" t="inlineStr">
        <is>
          <t>N/M CalPrivate-specific. TIB-general only.</t>
        </is>
      </c>
      <c r="U6" s="145" t="inlineStr">
        <is>
          <t>(base-covered)</t>
        </is>
      </c>
      <c r="V6" s="145" t="inlineStr">
        <is>
          <t>calprivate.bank/business-banking/business-credit-cards; cardaccount.net; mypreferredpoints.com</t>
        </is>
      </c>
    </row>
    <row r="7">
      <c r="A7" s="145" t="inlineStr">
        <is>
          <t>A</t>
        </is>
      </c>
      <c r="B7" s="146" t="inlineStr">
        <is>
          <t>🥇 no-pull evidence</t>
        </is>
      </c>
      <c r="C7" s="145" t="inlineStr">
        <is>
          <t>Western Alliance Bank</t>
        </is>
      </c>
      <c r="D7" s="145" t="inlineStr">
        <is>
          <t>Bank</t>
        </is>
      </c>
      <c r="E7" s="145" t="inlineStr">
        <is>
          <t>✅ Business Plus Visa (revolving, 1pt, $0 AF); NO 0% intro; ~Prime+10% (~17.5%)</t>
        </is>
      </c>
      <c r="F7" s="145" t="inlineStr">
        <is>
          <t>None (SBA/C&amp;I/CRE relationship-underwritten)</t>
        </is>
      </c>
      <c r="G7" s="145" t="inlineStr">
        <is>
          <t>N/M (no bank-specific data point found)</t>
        </is>
      </c>
      <c r="H7" s="145" t="inlineStr">
        <is>
          <t>PG conditional ('if Bank requires'); financials at banker discretion</t>
        </is>
      </c>
      <c r="I7" s="145" t="inlineStr">
        <is>
          <t>Self (Western Alliance Bank)</t>
        </is>
      </c>
      <c r="J7" s="145" t="inlineStr">
        <is>
          <t>N/M (personal pull; bureau not disclosed)</t>
        </is>
      </c>
      <c r="K7" s="145" t="inlineStr">
        <is>
          <t>Not mentioned in provided docs</t>
        </is>
      </c>
      <c r="L7" s="145" t="inlineStr">
        <is>
          <t>Not mentioned</t>
        </is>
      </c>
      <c r="M7" s="145" t="inlineStr">
        <is>
          <t>N/M (banking relationship expected)</t>
        </is>
      </c>
      <c r="N7" s="145" t="inlineStr">
        <is>
          <t>In-person</t>
        </is>
      </c>
      <c r="O7" s="145" t="inlineStr">
        <is>
          <t>601 W 5th St, Los Angeles 90071 (Los Angeles)</t>
        </is>
      </c>
      <c r="P7" s="145" t="inlineStr">
        <is>
          <t>10.5</t>
        </is>
      </c>
      <c r="Q7" s="145" t="inlineStr">
        <is>
          <t>22.6</t>
        </is>
      </c>
      <c r="R7" s="145" t="inlineStr">
        <is>
          <t>1360406</t>
        </is>
      </c>
      <c r="S7" s="145" t="n"/>
      <c r="T7" s="145" t="inlineStr">
        <is>
          <t>Relationship/RM-driven; lead form ('banker contacts in 2-3 days'), balance transfers via RM. No forum data.</t>
        </is>
      </c>
      <c r="U7" s="145" t="inlineStr">
        <is>
          <t>(base-covered)</t>
        </is>
      </c>
      <c r="V7" s="145" t="inlineStr">
        <is>
          <t>westernalliancebancorporation.com/small-business/credit-cards + commercial-credit-card-agreement (issuer=self); torrey-p</t>
        </is>
      </c>
    </row>
    <row r="8">
      <c r="A8" s="145" t="inlineStr">
        <is>
          <t>A</t>
        </is>
      </c>
      <c r="B8" s="146" t="inlineStr">
        <is>
          <t>🥇 no-pull evidence</t>
        </is>
      </c>
      <c r="C8" s="145" t="inlineStr">
        <is>
          <t>UNIVERSITY CU</t>
        </is>
      </c>
      <c r="D8" s="145" t="inlineStr">
        <is>
          <t>Credit Union</t>
        </is>
      </c>
      <c r="E8" s="145" t="inlineStr">
        <is>
          <t>Y — Standard Business CC + Business Rewards MC (2x/$1, $0 AF/FTF)</t>
        </is>
      </c>
      <c r="F8" s="145" t="inlineStr">
        <is>
          <t>Commercial loans referenced; LOC N/M</t>
        </is>
      </c>
      <c r="G8" s="145" t="inlineStr">
        <is>
          <t>N/M (biz cards absent from rate sheet)</t>
        </is>
      </c>
      <c r="H8" s="145" t="inlineStr">
        <is>
          <t>N/M</t>
        </is>
      </c>
      <c r="I8" s="145" t="inlineStr">
        <is>
          <t>Self (MC + CURewards in-house; no agent tells)</t>
        </is>
      </c>
      <c r="J8" s="145" t="inlineStr">
        <is>
          <t>N/M</t>
        </is>
      </c>
      <c r="K8" s="145" t="inlineStr">
        <is>
          <t>Weak-positive NO ('did not pull 1/29/24' DP — entity-ambiguous w/ Maine UCU)</t>
        </is>
      </c>
      <c r="L8" s="145" t="inlineStr">
        <is>
          <t>N/M</t>
        </is>
      </c>
      <c r="M8" s="145" t="inlineStr">
        <is>
          <t>$5 online join — 'students, employees, faculty, ALUMNI of ANY university/college in Southern California' (verbatim)</t>
        </is>
      </c>
      <c r="N8" s="145" t="inlineStr">
        <is>
          <t>Online (join.ucu.org; biz card apply form)</t>
        </is>
      </c>
      <c r="O8" s="145" t="inlineStr">
        <is>
          <t>1500 S Sepulveda Blvd, Los Angeles 90025 (Los Angeles)</t>
        </is>
      </c>
      <c r="P8" s="145" t="inlineStr">
        <is>
          <t>12.3</t>
        </is>
      </c>
      <c r="Q8" s="145" t="inlineStr">
        <is>
          <t>28.1</t>
        </is>
      </c>
      <c r="R8" s="145" t="n"/>
      <c r="S8" s="145" t="inlineStr">
        <is>
          <t>1187569456</t>
        </is>
      </c>
      <c r="T8" s="145" t="n"/>
      <c r="U8" s="145" t="inlineStr">
        <is>
          <t>#3 — $5 alum join + in-house biz MC</t>
        </is>
      </c>
      <c r="V8" s="145" t="inlineStr">
        <is>
          <t>https://www.ucu.org/memberships/eligibility</t>
        </is>
      </c>
    </row>
    <row r="9">
      <c r="A9" s="145" t="inlineStr">
        <is>
          <t>A</t>
        </is>
      </c>
      <c r="B9" s="146" t="inlineStr">
        <is>
          <t>🥇 no-pull evidence</t>
        </is>
      </c>
      <c r="C9" s="145" t="inlineStr">
        <is>
          <t>PNC Bank, National Association</t>
        </is>
      </c>
      <c r="D9" s="145" t="inlineStr">
        <is>
          <t>Bank</t>
        </is>
      </c>
      <c r="E9" s="145" t="inlineStr">
        <is>
          <t>✅ Visa Business 0% 13 cyc (best intro); BusinessOptions = SOFT-PULL, up to $250K</t>
        </is>
      </c>
      <c r="F9" s="145" t="inlineStr">
        <is>
          <t>PNC Small Business LOC: SOFT pull, no financials up to $100K, ~10% of gross-revenue sizing</t>
        </is>
      </c>
      <c r="G9" s="145" t="inlineStr">
        <is>
          <t>BusinessOptions/LOC $25K–$100K (soft-pull, no tax returns)  [myFICO #6589727]</t>
        </is>
      </c>
      <c r="H9" s="145" t="inlineStr">
        <is>
          <t>PG yes; NO tax returns on the no-doc path</t>
        </is>
      </c>
      <c r="I9" s="145" t="inlineStr">
        <is>
          <t>Self (PNC Bank NA)</t>
        </is>
      </c>
      <c r="J9" s="145" t="inlineStr">
        <is>
          <t>Hard-pull cards: Experian. BusinessOptions: SOFT pull, Equifax (NO hard inquiry!)</t>
        </is>
      </c>
      <c r="K9" s="145" t="inlineStr">
        <is>
          <t>MIXED (DoC sec 3.14 'Mixed Data Points'; old fatwallet pull DPs + 2024-25 'did NOT pull' DP) | web: MIXED [agg] (DoC 'Mixed DPs'; crediful: standard accts Chex-screened). Bank On products (Foundation Checking) = no Chex review</t>
        </is>
      </c>
      <c r="L9" s="145" t="inlineStr">
        <is>
          <t>YES — heavy (DoC: 'Does pull: 1,2,3,4,5'; reports incl. balance info; 'PNC, BofA, KeyBank are EWS sensitive') | web: YES [agg+DP] — EWS-primary (PNC co-owns EWS); myFICO denial DP</t>
        </is>
      </c>
      <c r="M9" s="145" t="inlineStr">
        <is>
          <t>No (cards); functionally helps BusinessOptions/LOC</t>
        </is>
      </c>
      <c r="N9" s="145" t="inlineStr">
        <is>
          <t>Online</t>
        </is>
      </c>
      <c r="O9" s="145" t="inlineStr">
        <is>
          <t>22729 Barton Rd, Grand Terrace 92313 (San Bernardino)</t>
        </is>
      </c>
      <c r="P9" s="145" t="inlineStr">
        <is>
          <t>27.3</t>
        </is>
      </c>
      <c r="Q9" s="145" t="inlineStr">
        <is>
          <t>4.7</t>
        </is>
      </c>
      <c r="R9" s="145" t="inlineStr">
        <is>
          <t>1836902</t>
        </is>
      </c>
      <c r="S9" s="145" t="n"/>
      <c r="T9" s="145" t="inlineStr">
        <is>
          <t>STANDOUT no-doc combo: BusinessOptions card + Small Business LOC = SOFT pull, NO tax returns up to $100K, no p</t>
        </is>
      </c>
      <c r="U9" s="145" t="inlineStr">
        <is>
          <t>(base-covered)</t>
        </is>
      </c>
      <c r="V9" s="145" t="inlineStr">
        <is>
          <t>pnc.com business credit cards + rate PDFs; myfico.com #6589727 / #6509179 (soft-pull no-doc); creditsuite.com</t>
        </is>
      </c>
    </row>
    <row r="10">
      <c r="A10" s="145" t="inlineStr">
        <is>
          <t>A</t>
        </is>
      </c>
      <c r="B10" s="145" t="inlineStr">
        <is>
          <t>🥈 unknown/silent</t>
        </is>
      </c>
      <c r="C10" s="145" t="inlineStr">
        <is>
          <t>United Business Bank</t>
        </is>
      </c>
      <c r="D10" s="145" t="inlineStr">
        <is>
          <t>Bank</t>
        </is>
      </c>
      <c r="E10" s="145" t="inlineStr">
        <is>
          <t>✅ card exists; issuer/terms unknown; Request-Info only</t>
        </is>
      </c>
      <c r="F10" s="145" t="inlineStr">
        <is>
          <t>None (LOC/ABL/term/equipment/CRE/SBA Express full-doc)</t>
        </is>
      </c>
      <c r="G10" s="145" t="inlineStr">
        <is>
          <t>N/M (no bank-specific data point found)</t>
        </is>
      </c>
      <c r="H10" s="145" t="inlineStr">
        <is>
          <t>N/M ('subject to credit approval')</t>
        </is>
      </c>
      <c r="I10" s="145" t="inlineStr">
        <is>
          <t>Unknown (not named; no portal links)</t>
        </is>
      </c>
      <c r="J10" s="145" t="inlineStr">
        <is>
          <t>N/M</t>
        </is>
      </c>
      <c r="K10" s="145" t="n"/>
      <c r="L10" s="145" t="n"/>
      <c r="M10" s="145" t="inlineStr">
        <is>
          <t>N/M</t>
        </is>
      </c>
      <c r="N10" s="145" t="inlineStr">
        <is>
          <t>In-person</t>
        </is>
      </c>
      <c r="O10" s="145" t="inlineStr">
        <is>
          <t>3750 Kilroy Airport Way, Ste 130, Long Beach 90806 (Los Angeles)</t>
        </is>
      </c>
      <c r="P10" s="145" t="inlineStr">
        <is>
          <t>2.1</t>
        </is>
      </c>
      <c r="Q10" s="145" t="inlineStr">
        <is>
          <t>22.6</t>
        </is>
      </c>
      <c r="R10" s="145" t="inlineStr">
        <is>
          <t>411377</t>
        </is>
      </c>
      <c r="S10" s="145" t="n"/>
      <c r="T10" s="145" t="inlineStr">
        <is>
          <t>N/M (no forum data)</t>
        </is>
      </c>
      <c r="U10" s="145" t="inlineStr">
        <is>
          <t>(base-covered)</t>
        </is>
      </c>
      <c r="V10" s="145" t="inlineStr">
        <is>
          <t>unitedbusinessbank.com/loans-credit/business-credit/business-credit-cards; dfpi.ca.gov</t>
        </is>
      </c>
    </row>
    <row r="11">
      <c r="A11" s="145" t="inlineStr">
        <is>
          <t>A</t>
        </is>
      </c>
      <c r="B11" s="145" t="inlineStr">
        <is>
          <t>🥈 unknown/silent</t>
        </is>
      </c>
      <c r="C11" s="145" t="inlineStr">
        <is>
          <t>Beneficial State Bank</t>
        </is>
      </c>
      <c r="D11" s="145" t="inlineStr">
        <is>
          <t>Bank</t>
        </is>
      </c>
      <c r="E11" s="145" t="inlineStr">
        <is>
          <t>✅ card exists; terms NOT yet published; CA/OR/WA only</t>
        </is>
      </c>
      <c r="F11" s="145" t="inlineStr">
        <is>
          <t>None (SBA/USDA/LOC/term/CRE — documentation-based)</t>
        </is>
      </c>
      <c r="G11" s="145" t="inlineStr">
        <is>
          <t>N/M (no bank-specific data point found)</t>
        </is>
      </c>
      <c r="H11" s="145" t="inlineStr">
        <is>
          <t>N/M (consumer cards underwrite soft/self-reported)</t>
        </is>
      </c>
      <c r="I11" s="145" t="inlineStr">
        <is>
          <t>Self (Fiserv SpendTrack platform)</t>
        </is>
      </c>
      <c r="J11" s="145" t="inlineStr">
        <is>
          <t>N/M</t>
        </is>
      </c>
      <c r="K11" s="145" t="n"/>
      <c r="L11" s="145" t="n"/>
      <c r="M11" s="145" t="inlineStr">
        <is>
          <t>N/M (relationship likely)</t>
        </is>
      </c>
      <c r="N11" s="145" t="inlineStr">
        <is>
          <t>In-person</t>
        </is>
      </c>
      <c r="O11" s="145" t="inlineStr">
        <is>
          <t>3626 E 1st St, Los Angeles 90063 (Los Angeles)</t>
        </is>
      </c>
      <c r="P11" s="145" t="inlineStr">
        <is>
          <t>10.2</t>
        </is>
      </c>
      <c r="Q11" s="145" t="inlineStr">
        <is>
          <t>20.7</t>
        </is>
      </c>
      <c r="R11" s="145" t="inlineStr">
        <is>
          <t>219250</t>
        </is>
      </c>
      <c r="S11" s="145" t="n"/>
      <c r="T11" s="145" t="inlineStr">
        <is>
          <t>N/M (new, regionally-restricted CDFI program)</t>
        </is>
      </c>
      <c r="U11" s="145" t="inlineStr">
        <is>
          <t>(base-covered)</t>
        </is>
      </c>
      <c r="V11" s="145" t="inlineStr">
        <is>
          <t>beneficialstatebank.com/business-banking/credit-cards; CFPB L Card agreement; spendtrack.fiservapp.com/beneficial-sb</t>
        </is>
      </c>
    </row>
    <row r="12">
      <c r="A12" s="145" t="inlineStr">
        <is>
          <t>A</t>
        </is>
      </c>
      <c r="B12" s="145" t="inlineStr">
        <is>
          <t>🥈 unknown/silent</t>
        </is>
      </c>
      <c r="C12" s="145" t="inlineStr">
        <is>
          <t>Partners Bank of California</t>
        </is>
      </c>
      <c r="D12" s="145" t="inlineStr">
        <is>
          <t>Bank</t>
        </is>
      </c>
      <c r="E12" s="145" t="inlineStr">
        <is>
          <t>✅ TIB Mastercard business (Preferred Points 1pt/$1 to 10K/mo); no 0%; terms N/M; no online apply</t>
        </is>
      </c>
      <c r="F12" s="145" t="inlineStr">
        <is>
          <t>None (business LOC/loans/CRE/SBA full-doc)</t>
        </is>
      </c>
      <c r="G12" s="145" t="inlineStr">
        <is>
          <t>N/M (TIB; financials typically required $10K+)</t>
        </is>
      </c>
      <c r="H12" s="145" t="inlineStr">
        <is>
          <t>PG likely (TIB standard); docs N/M</t>
        </is>
      </c>
      <c r="I12" s="145" t="inlineStr">
        <is>
          <t>TIB</t>
        </is>
      </c>
      <c r="J12" s="145" t="inlineStr">
        <is>
          <t>Experian/TU (TIB; INFERENCE)</t>
        </is>
      </c>
      <c r="K12" s="145" t="n"/>
      <c r="L12" s="145" t="n"/>
      <c r="M12" s="145" t="inlineStr">
        <is>
          <t>Likely Yes (relationship)</t>
        </is>
      </c>
      <c r="N12" s="145" t="inlineStr">
        <is>
          <t>In-person</t>
        </is>
      </c>
      <c r="O12" s="145" t="inlineStr">
        <is>
          <t>8484 Wilshire Blvd, Ste 520, Beverly Hills 90211 (Los Angeles)</t>
        </is>
      </c>
      <c r="P12" s="145" t="inlineStr">
        <is>
          <t>12.0</t>
        </is>
      </c>
      <c r="Q12" s="145" t="inlineStr">
        <is>
          <t>26.3</t>
        </is>
      </c>
      <c r="R12" s="145" t="inlineStr">
        <is>
          <t>577785</t>
        </is>
      </c>
      <c r="S12" s="145" t="n"/>
      <c r="T12" s="145" t="inlineStr">
        <is>
          <t>TIB Preferred Points program (24/7 line 800-367-7576 = TIB Card Services). No online app; inquiry/relationship</t>
        </is>
      </c>
      <c r="U12" s="145" t="inlineStr">
        <is>
          <t>(base-covered)</t>
        </is>
      </c>
      <c r="V12" s="145" t="inlineStr">
        <is>
          <t>pbofca.com/product/business-banking/lending-solutions; TIB Preferred Points boilerplate match; FDIC cert 58588</t>
        </is>
      </c>
    </row>
    <row r="13">
      <c r="A13" s="145" t="inlineStr">
        <is>
          <t>A</t>
        </is>
      </c>
      <c r="B13" s="145" t="inlineStr">
        <is>
          <t>🥈 unknown/silent</t>
        </is>
      </c>
      <c r="C13" s="145" t="inlineStr">
        <is>
          <t>HCN Bank</t>
        </is>
      </c>
      <c r="D13" s="145" t="inlineStr">
        <is>
          <t>Bank</t>
        </is>
      </c>
      <c r="E13" s="145" t="inlineStr">
        <is>
          <t>✅ no 0%; APR N/M (Prime-based); $0/$49 AF; 1pt/$1 (Preferred Points)</t>
        </is>
      </c>
      <c r="F13" s="145" t="inlineStr">
        <is>
          <t>None (commercial equipment/CRE/construction/SBA + LOC full-doc)</t>
        </is>
      </c>
      <c r="G13" s="145" t="inlineStr">
        <is>
          <t>N/M (TIB; financials typically required $10K+)</t>
        </is>
      </c>
      <c r="H13" s="145" t="inlineStr">
        <is>
          <t>PG likely (TIB standard); income docs N/M</t>
        </is>
      </c>
      <c r="I13" s="145" t="inlineStr">
        <is>
          <t>TIB</t>
        </is>
      </c>
      <c r="J13" s="145" t="inlineStr">
        <is>
          <t>Experian (TIB; INFERENCE)</t>
        </is>
      </c>
      <c r="K13" s="145" t="n"/>
      <c r="L13" s="145" t="n"/>
      <c r="M13" s="145" t="inlineStr">
        <is>
          <t>N/M</t>
        </is>
      </c>
      <c r="N13" s="145" t="inlineStr">
        <is>
          <t>Online</t>
        </is>
      </c>
      <c r="O13" s="145" t="inlineStr">
        <is>
          <t>3715 Sunnyside Dr, Riverside 92506 (Riverside)</t>
        </is>
      </c>
      <c r="P13" s="145" t="inlineStr">
        <is>
          <t>24.9</t>
        </is>
      </c>
      <c r="Q13" s="145" t="inlineStr">
        <is>
          <t>6.0</t>
        </is>
      </c>
      <c r="R13" s="145" t="inlineStr">
        <is>
          <t>843127</t>
        </is>
      </c>
      <c r="S13" s="145" t="n"/>
      <c r="T13" s="145" t="inlineStr">
        <is>
          <t>TIB program (cardaccount.net): underwritten/approved/serviced by TIB; 25-day grace. No HCN-specific forum DPs.</t>
        </is>
      </c>
      <c r="U13" s="145" t="inlineStr">
        <is>
          <t>(base-covered)</t>
        </is>
      </c>
      <c r="V13" s="145" t="inlineStr">
        <is>
          <t>hcnbank.com/Business-Credit-Cards (TIB disclosure); cardaccount.net; FDIC cert 21606</t>
        </is>
      </c>
    </row>
    <row r="14">
      <c r="A14" s="145" t="inlineStr">
        <is>
          <t>A</t>
        </is>
      </c>
      <c r="B14" s="145" t="inlineStr">
        <is>
          <t>🥈 unknown/silent</t>
        </is>
      </c>
      <c r="C14" s="145" t="inlineStr">
        <is>
          <t>THINKWISE CU</t>
        </is>
      </c>
      <c r="D14" s="145" t="inlineStr">
        <is>
          <t>Credit Union</t>
        </is>
      </c>
      <c r="E14" s="145" t="inlineStr">
        <is>
          <t>Y — Business Platinum: 9.99% FIXED all tiers, $0 AF (verbatim)</t>
        </is>
      </c>
      <c r="F14" s="145" t="inlineStr">
        <is>
          <t>Y — 36mo, interest-only, prime-var; renewal needs financials+tax returns</t>
        </is>
      </c>
      <c r="G14" s="145" t="inlineStr">
        <is>
          <t>N/M</t>
        </is>
      </c>
      <c r="H14" s="145" t="inlineStr">
        <is>
          <t>NO — DSCR tiers + full entity docs ($25 share, EIN, formation, license, FinCEN BO)</t>
        </is>
      </c>
      <c r="I14" s="145" t="inlineStr">
        <is>
          <t>Self (CU*Answers rails: loans.itsme247.com)</t>
        </is>
      </c>
      <c r="J14" s="145" t="inlineStr">
        <is>
          <t>N/M</t>
        </is>
      </c>
      <c r="K14" s="145" t="inlineStr">
        <is>
          <t>N/M</t>
        </is>
      </c>
      <c r="L14" s="145" t="inlineStr">
        <is>
          <t>N/M</t>
        </is>
      </c>
      <c r="M14" s="145" t="inlineStr">
        <is>
          <t>Volunteer path VERBATIM: 'PTA/PTO officers, booster-club leaders' SB/Riv/OC</t>
        </is>
      </c>
      <c r="N14" s="145" t="inlineStr">
        <is>
          <t>Online interest form → Business Services 909-474-8448</t>
        </is>
      </c>
      <c r="O14" s="145" t="inlineStr">
        <is>
          <t>1270 Renaissance Pkwy, Rialto 92376 (San Bernardino)</t>
        </is>
      </c>
      <c r="P14" s="145" t="inlineStr">
        <is>
          <t>26.8</t>
        </is>
      </c>
      <c r="Q14" s="145" t="inlineStr">
        <is>
          <t>2.6</t>
        </is>
      </c>
      <c r="R14" s="145" t="n"/>
      <c r="S14" s="145" t="inlineStr">
        <is>
          <t>121225084</t>
        </is>
      </c>
      <c r="T14" s="145" t="n"/>
      <c r="U14" s="145" t="inlineStr">
        <is>
          <t>#2 — IE-local fixed-rate biz card</t>
        </is>
      </c>
      <c r="V14" s="145" t="inlineStr">
        <is>
          <t>https://www.thinkwisecu.org/business-credit-cards</t>
        </is>
      </c>
    </row>
    <row r="15">
      <c r="A15" s="145" t="inlineStr">
        <is>
          <t>A</t>
        </is>
      </c>
      <c r="B15" s="145" t="inlineStr">
        <is>
          <t>🥈 unknown/silent</t>
        </is>
      </c>
      <c r="C15" s="145" t="inlineStr">
        <is>
          <t>AMERICA FIRST CU</t>
        </is>
      </c>
      <c r="D15" s="145" t="inlineStr">
        <is>
          <t>Credit Union</t>
        </is>
      </c>
      <c r="E15" s="145" t="inlineStr">
        <is>
          <t>Y — AFCU Business Visa (Cash Back/+Plus); $500–$50,000 range @13.74%, $0 AF (3rd-party; verbatim unconfirmed - site bot-blocks)</t>
        </is>
      </c>
      <c r="F15" s="145" t="inlineStr">
        <is>
          <t>Y (inference; terms N/M)</t>
        </is>
      </c>
      <c r="G15" s="145" t="inlineStr">
        <is>
          <t>$500-$50K (3rd-party, label inference)</t>
        </is>
      </c>
      <c r="H15" s="145" t="inlineStr">
        <is>
          <t>N/M</t>
        </is>
      </c>
      <c r="I15" s="145" t="inlineStr">
        <is>
          <t>SELF (own-domain app wwwapps.americafirst.com; no agent tells; top-10 CU card portfolio)</t>
        </is>
      </c>
      <c r="J15" s="145" t="inlineStr">
        <is>
          <t>Membership = HARD pull (DoC 2026-06-07 post: 'Hard'); EX inferred. One DP: in-branch open didn't re-pull</t>
        </is>
      </c>
      <c r="K15" s="145" t="inlineStr">
        <is>
          <t>UNKNOWN (DoC 2026-06-07: 'ChexSystems: Unknown')</t>
        </is>
      </c>
      <c r="L15" s="145" t="inlineStr">
        <is>
          <t>N/M</t>
        </is>
      </c>
      <c r="M15" s="145" t="inlineStr">
        <is>
          <t>CA FOM = SAN BERNARDINO COUNTY ONLY (1st Valley CU merger eff 2024-06-12). NOT Riverside (corrected). Other: UT/ID/OR/NM/AZ/NV</t>
        </is>
      </c>
      <c r="N15" s="145" t="inlineStr">
        <is>
          <t>Membership + biz card BOTH ONLINE</t>
        </is>
      </c>
      <c r="O15" s="145" t="inlineStr">
        <is>
          <t>401 W 2nd St, San Bernardino 92401 (San Bernardino)</t>
        </is>
      </c>
      <c r="P15" s="145" t="inlineStr">
        <is>
          <t>28.9</t>
        </is>
      </c>
      <c r="Q15" s="145" t="inlineStr">
        <is>
          <t>5.0</t>
        </is>
      </c>
      <c r="R15" s="145" t="n"/>
      <c r="S15" s="145" t="inlineStr">
        <is>
          <t>24729579208</t>
        </is>
      </c>
      <c r="T15" s="145" t="inlineStr">
        <is>
          <t>BK-friendly DP (approved 12mo post-Ch7, $1K). Cost = 1 hard pull to join</t>
        </is>
      </c>
      <c r="U15" s="145" t="inlineStr">
        <is>
          <t>GO — San Bernardino County clients only (Fontana YES / Long Beach NO)</t>
        </is>
      </c>
      <c r="V15" s="145" t="inlineStr">
        <is>
          <t>https://www.doctorofcredit.com/ut-nv-az-id-or-nm-ca-america-first-credit-union-150-savings-200-checking-bonus/</t>
        </is>
      </c>
    </row>
    <row r="16">
      <c r="A16" s="145" t="inlineStr">
        <is>
          <t>A</t>
        </is>
      </c>
      <c r="B16" s="147" t="inlineStr">
        <is>
          <t>🔴 confirmed puller</t>
        </is>
      </c>
      <c r="C16" s="145" t="inlineStr">
        <is>
          <t>First-Citizens Bank &amp; Trust Company</t>
        </is>
      </c>
      <c r="D16" s="145" t="inlineStr">
        <is>
          <t>Bank</t>
        </is>
      </c>
      <c r="E16" s="145" t="inlineStr">
        <is>
          <t>✅ 4 Business Visa (Cash Rewards, Rewards, Premium $95, Low-Interest 0% 12mo). Branch-apply only. + SVB Innovator (NO PG, commercial charge)</t>
        </is>
      </c>
      <c r="F16" s="145" t="inlineStr">
        <is>
          <t>SVB Innovator Card = NO personal guarantee (commercial charge, for funded companies) — not</t>
        </is>
      </c>
      <c r="G16" s="145" t="inlineStr">
        <is>
          <t>$20K SL (Low-Interest Biz, branch + biz checking)  [myFICO #6704468]</t>
        </is>
      </c>
      <c r="H16" s="145" t="inlineStr">
        <is>
          <t>PG yes; NO tax returns (states income) — but branch + relationship gated</t>
        </is>
      </c>
      <c r="I16" s="145" t="inlineStr">
        <is>
          <t>Self (First-Citizens Bank &amp; Trust)</t>
        </is>
      </c>
      <c r="J16" s="145" t="inlineStr">
        <is>
          <t>All 3 bureaus (EX+EQ+TU) blended w/ business data</t>
        </is>
      </c>
      <c r="K16" s="145" t="inlineStr">
        <is>
          <t>YES pulls (DoC sec 1.126 + all-caps pull list) | web: YES [agg] (DoC does-pull, 1 DP — thin but unrefuted)</t>
        </is>
      </c>
      <c r="L16" s="145" t="inlineStr">
        <is>
          <t>LISTED in EWS bank list (appears in EWS reports)</t>
        </is>
      </c>
      <c r="M16" s="145" t="inlineStr">
        <is>
          <t>Yes (business checking relationship, opened in-branch)</t>
        </is>
      </c>
      <c r="N16" s="145" t="inlineStr">
        <is>
          <t>In-person</t>
        </is>
      </c>
      <c r="O16" s="145" t="inlineStr">
        <is>
          <t>3500 E 7th St, Long Beach 90804 (Los Angeles)</t>
        </is>
      </c>
      <c r="P16" s="145" t="inlineStr">
        <is>
          <t>2.0</t>
        </is>
      </c>
      <c r="Q16" s="145" t="inlineStr">
        <is>
          <t>22.2</t>
        </is>
      </c>
      <c r="R16" s="145" t="inlineStr">
        <is>
          <t>8050890</t>
        </is>
      </c>
      <c r="S16" s="145" t="n"/>
      <c r="T16" s="145" t="inlineStr">
        <is>
          <t>DP: Low-Interest Business $20K SL, auto-approved after opening biz checking in-branch (FICO ~750, D&amp;B 80). Bra</t>
        </is>
      </c>
      <c r="U16" s="145" t="inlineStr">
        <is>
          <t>(base-covered)</t>
        </is>
      </c>
      <c r="V16" s="145" t="inlineStr">
        <is>
          <t>firstcitizens.com/small-business/credit-financing/credit-cards + cardholder agreement PDF (no agent issuer); svb.com/...</t>
        </is>
      </c>
    </row>
    <row r="17">
      <c r="A17" s="145" t="inlineStr">
        <is>
          <t>A</t>
        </is>
      </c>
      <c r="B17" s="147" t="inlineStr">
        <is>
          <t>🔴 confirmed puller</t>
        </is>
      </c>
      <c r="C17" s="145" t="inlineStr">
        <is>
          <t>Banner Bank</t>
        </is>
      </c>
      <c r="D17" s="145" t="inlineStr">
        <is>
          <t>Bank</t>
        </is>
      </c>
      <c r="E17" s="145" t="inlineStr">
        <is>
          <t>✅ Business Platinum Mastercard: 0% 12mo, $0 AF; Business Cash Rewards; + commercial</t>
        </is>
      </c>
      <c r="F17" s="145" t="inlineStr">
        <is>
          <t>None (full-doc card; commercial lending full-doc)</t>
        </is>
      </c>
      <c r="G17" s="145" t="inlineStr">
        <is>
          <t>N/M (no bank-specific data point found)</t>
        </is>
      </c>
      <c r="H17" s="145" t="inlineStr">
        <is>
          <t>PG YES (joint &amp; several) + full underwriting (Tax ID + gross revenue + guarantor SSN/income/net worth + bureau pull)</t>
        </is>
      </c>
      <c r="I17" s="145" t="inlineStr">
        <is>
          <t>Self (Banner Bank)</t>
        </is>
      </c>
      <c r="J17" s="145" t="inlineStr">
        <is>
          <t>N/M (personal pull on guarantor; bureau not named)</t>
        </is>
      </c>
      <c r="K17" s="145" t="inlineStr">
        <is>
          <t>YES pulls — DP Nov 2022 'Did Pull: Banner Bank' | web: YES [agg] (unchex: uses Chex, inquiry-sensitive; OK if you owe bank nothing)</t>
        </is>
      </c>
      <c r="L17" s="145" t="inlineStr">
        <is>
          <t>Not mentioned</t>
        </is>
      </c>
      <c r="M17" s="145" t="inlineStr">
        <is>
          <t>N/M</t>
        </is>
      </c>
      <c r="N17" s="145" t="inlineStr">
        <is>
          <t>In-person</t>
        </is>
      </c>
      <c r="O17" s="145" t="inlineStr">
        <is>
          <t>255 S Riverside Ave, Rialto 92376 (San Bernardino)</t>
        </is>
      </c>
      <c r="P17" s="145" t="inlineStr">
        <is>
          <t>26.8</t>
        </is>
      </c>
      <c r="Q17" s="145" t="inlineStr">
        <is>
          <t>2.6</t>
        </is>
      </c>
      <c r="R17" s="145" t="inlineStr">
        <is>
          <t>789955</t>
        </is>
      </c>
      <c r="S17" s="145" t="n"/>
      <c r="T17" s="145" t="inlineStr">
        <is>
          <t>Download PDF application -&gt; bring to branch. No forum data.</t>
        </is>
      </c>
      <c r="U17" s="145" t="inlineStr">
        <is>
          <t>(base-covered)</t>
        </is>
      </c>
      <c r="V17" s="145" t="inlineStr">
        <is>
          <t>bannerbank.com/.../business-platinum-mastercard + application PDF (issuer=self, PG); FDIC cert 28489</t>
        </is>
      </c>
    </row>
    <row r="18">
      <c r="A18" s="145" t="inlineStr">
        <is>
          <t>A</t>
        </is>
      </c>
      <c r="B18" s="147" t="inlineStr">
        <is>
          <t>🔴 confirmed puller</t>
        </is>
      </c>
      <c r="C18" s="145" t="inlineStr">
        <is>
          <t>BMO Bank National Association</t>
        </is>
      </c>
      <c r="D18" s="145" t="inlineStr">
        <is>
          <t>Bank</t>
        </is>
      </c>
      <c r="E18" s="145" t="inlineStr">
        <is>
          <t>✅ Business Platinum: 0% 18 mo, $0 AF; Business Platinum Rewards: 0% 9mo, tiered 5/4/3/2%</t>
        </is>
      </c>
      <c r="F18" s="145" t="inlineStr">
        <is>
          <t>Business Line of Credit (relationship-underwritten, not no-doc)</t>
        </is>
      </c>
      <c r="G18" s="145" t="inlineStr">
        <is>
          <t>Modest: DPs $1,300–$7,500; grows via CLI  [myFICO #6773916]</t>
        </is>
      </c>
      <c r="H18" s="145" t="inlineStr">
        <is>
          <t>PG yes (INFERENCE); no income docs typical</t>
        </is>
      </c>
      <c r="I18" s="145" t="inlineStr">
        <is>
          <t>Self (BMO Bank NA; ex-Bank of the West)</t>
        </is>
      </c>
      <c r="J18" s="145" t="inlineStr">
        <is>
          <t>TransUnion (varies)</t>
        </is>
      </c>
      <c r="K18" s="145" t="inlineStr">
        <is>
          <t>YES pulls (DoC 'BMO Harris' sec 1.38; Oct2025-Mar2026 DP 'BMO BANK N.A. (online)') | web: YES [agg] (DoC does-pull, 18 DPs — heaviest confirmed)</t>
        </is>
      </c>
      <c r="L18" s="145" t="inlineStr">
        <is>
          <t>YES — reports to EWS (Dec 2025 DPs: open date+status, no balances; in EWS bank list)</t>
        </is>
      </c>
      <c r="M18" s="145" t="inlineStr">
        <is>
          <t>N/M</t>
        </is>
      </c>
      <c r="N18" s="145" t="inlineStr">
        <is>
          <t>Online</t>
        </is>
      </c>
      <c r="O18" s="145" t="inlineStr">
        <is>
          <t>496 Long Beach Blvd, Long Beach 90802 (Los Angeles)</t>
        </is>
      </c>
      <c r="P18" s="145" t="n"/>
      <c r="Q18" s="145" t="inlineStr">
        <is>
          <t>24.2</t>
        </is>
      </c>
      <c r="R18" s="145" t="inlineStr">
        <is>
          <t>11478602</t>
        </is>
      </c>
      <c r="S18" s="145" t="n"/>
      <c r="T18" s="145" t="inlineStr">
        <is>
          <t>Limits modest (DPs $1,300-$7,500); TransUnion hard pull, no prequal; CLIs over time. myfico.com #6773916</t>
        </is>
      </c>
      <c r="U18" s="145" t="inlineStr">
        <is>
          <t>(base-covered)</t>
        </is>
      </c>
      <c r="V18" s="145" t="inlineStr">
        <is>
          <t xml:space="preserve">bmo.com/en-us/main/business-banking/credit-cards; supermoney.com; hustlermoneyblog.com; en.wikipedia.org/wiki/BMO_Bank; </t>
        </is>
      </c>
    </row>
    <row r="19">
      <c r="A19" s="135" t="inlineStr">
        <is>
          <t>B RM/LOC lane</t>
        </is>
      </c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</row>
    <row r="20">
      <c r="A20" s="145" t="inlineStr">
        <is>
          <t>B</t>
        </is>
      </c>
      <c r="B20" s="145" t="inlineStr">
        <is>
          <t>🥈 unknown/silent</t>
        </is>
      </c>
      <c r="C20" s="145" t="inlineStr">
        <is>
          <t>Habib American Bank</t>
        </is>
      </c>
      <c r="D20" s="145" t="inlineStr">
        <is>
          <t>Bank</t>
        </is>
      </c>
      <c r="E20" s="145" t="inlineStr">
        <is>
          <t>N (live site hab.bank = debit/CD/wires only; stale 3rd-party 'Visa' mentions ≠ live)</t>
        </is>
      </c>
      <c r="F20" s="145" t="inlineStr">
        <is>
          <t>Y — Business LOC + Asset-Based revolvers (A/R+inventory)</t>
        </is>
      </c>
      <c r="G20" s="145" t="inlineStr">
        <is>
          <t>N/M</t>
        </is>
      </c>
      <c r="H20" s="145" t="inlineStr">
        <is>
          <t>None</t>
        </is>
      </c>
      <c r="I20" s="145" t="inlineStr">
        <is>
          <t>n/a</t>
        </is>
      </c>
      <c r="J20" s="145" t="inlineStr">
        <is>
          <t>N/M</t>
        </is>
      </c>
      <c r="K20" s="145" t="inlineStr">
        <is>
          <t>N/M</t>
        </is>
      </c>
      <c r="L20" s="145" t="inlineStr">
        <is>
          <t>N/M</t>
        </is>
      </c>
      <c r="M20" s="145" t="inlineStr">
        <is>
          <t>N/M (trade-finance relationship bank)</t>
        </is>
      </c>
      <c r="N20" s="145" t="inlineStr">
        <is>
          <t>Branch: LA 928 S Broadway Ste F + Artesia 18357 Pioneer Blvd (both ACTIVE)</t>
        </is>
      </c>
      <c r="O20" s="145" t="inlineStr">
        <is>
          <t>18357 Pioneer Blvd, Artesia 90701 (Los Angeles)</t>
        </is>
      </c>
      <c r="P20" s="145" t="inlineStr">
        <is>
          <t>5.4</t>
        </is>
      </c>
      <c r="Q20" s="145" t="inlineStr">
        <is>
          <t>19.2</t>
        </is>
      </c>
      <c r="R20" s="145" t="inlineStr">
        <is>
          <t>612187</t>
        </is>
      </c>
      <c r="S20" s="145" t="n"/>
      <c r="T20" s="145" t="inlineStr">
        <is>
          <t>None found</t>
        </is>
      </c>
      <c r="U20" s="145" t="inlineStr">
        <is>
          <t>WEAK-NICHE — trade-finance LOC lane</t>
        </is>
      </c>
      <c r="V20" s="145" t="inlineStr">
        <is>
          <t>https://www.hab.bank/business-line-of-credit.htm</t>
        </is>
      </c>
    </row>
    <row r="21">
      <c r="A21" s="145" t="inlineStr">
        <is>
          <t>B</t>
        </is>
      </c>
      <c r="B21" s="145" t="inlineStr">
        <is>
          <t>🥈 unknown/silent</t>
        </is>
      </c>
      <c r="C21" s="145" t="inlineStr">
        <is>
          <t>Southwestern National Bank</t>
        </is>
      </c>
      <c r="D21" s="145" t="inlineStr">
        <is>
          <t>Bank</t>
        </is>
      </c>
      <c r="E21" s="145" t="inlineStr">
        <is>
          <t>N (business debit only). Rebranded 'Southwestern Bank' May 2026. ENTITY TRAP: southwestnb.com = Wichita KS bank with a card — NOT this one</t>
        </is>
      </c>
      <c r="F21" s="145" t="inlineStr">
        <is>
          <t>Y — business LOC page (working capital/inventory)</t>
        </is>
      </c>
      <c r="G21" s="145" t="inlineStr">
        <is>
          <t>N/M</t>
        </is>
      </c>
      <c r="H21" s="145" t="inlineStr">
        <is>
          <t>None</t>
        </is>
      </c>
      <c r="I21" s="145" t="inlineStr">
        <is>
          <t>n/a</t>
        </is>
      </c>
      <c r="J21" s="145" t="inlineStr">
        <is>
          <t>N/M</t>
        </is>
      </c>
      <c r="K21" s="145" t="inlineStr">
        <is>
          <t>N/M</t>
        </is>
      </c>
      <c r="L21" s="145" t="inlineStr">
        <is>
          <t>N/M</t>
        </is>
      </c>
      <c r="M21" s="145" t="inlineStr">
        <is>
          <t>N/M</t>
        </is>
      </c>
      <c r="N21" s="145" t="inlineStr">
        <is>
          <t>Branch/phone, no online app</t>
        </is>
      </c>
      <c r="O21" s="145" t="inlineStr">
        <is>
          <t>2951 W Ball Rd Unit 100, Anaheim 92804 (Orange)</t>
        </is>
      </c>
      <c r="P21" s="145" t="inlineStr">
        <is>
          <t>7.0</t>
        </is>
      </c>
      <c r="Q21" s="145" t="inlineStr">
        <is>
          <t>17.3</t>
        </is>
      </c>
      <c r="R21" s="145" t="inlineStr">
        <is>
          <t>140273</t>
        </is>
      </c>
      <c r="S21" s="145" t="n"/>
      <c r="T21" s="145" t="inlineStr">
        <is>
          <t>None found</t>
        </is>
      </c>
      <c r="U21" s="145" t="inlineStr">
        <is>
          <t>WEAK — thin RM LOC</t>
        </is>
      </c>
      <c r="V21" s="145" t="inlineStr">
        <is>
          <t>https://www.swnbk.com/Loans/Business-Line-of-Credit</t>
        </is>
      </c>
    </row>
    <row r="22">
      <c r="A22" s="145" t="inlineStr">
        <is>
          <t>B</t>
        </is>
      </c>
      <c r="B22" s="145" t="inlineStr">
        <is>
          <t>🥈 unknown/silent</t>
        </is>
      </c>
      <c r="C22" s="145" t="inlineStr">
        <is>
          <t>Israel Discount Bank of New York</t>
        </is>
      </c>
      <c r="D22" s="145" t="inlineStr">
        <is>
          <t>Bank</t>
        </is>
      </c>
      <c r="E22" s="145" t="inlineStr">
        <is>
          <t>N — consumer/private 'IDB Visa Signature' contact-to-apply only</t>
        </is>
      </c>
      <c r="F22" s="145" t="inlineStr">
        <is>
          <t>Y commercial — but 'delivered on a SECURED basis with blanket liens' (verbatim)</t>
        </is>
      </c>
      <c r="G22" s="145" t="inlineStr">
        <is>
          <t>N/M</t>
        </is>
      </c>
      <c r="H22" s="145" t="inlineStr">
        <is>
          <t>None — opposite (secured)</t>
        </is>
      </c>
      <c r="I22" s="145" t="inlineStr">
        <is>
          <t>N/M</t>
        </is>
      </c>
      <c r="J22" s="145" t="inlineStr">
        <is>
          <t>N/M</t>
        </is>
      </c>
      <c r="K22" s="145" t="inlineStr">
        <is>
          <t>N/M</t>
        </is>
      </c>
      <c r="L22" s="145" t="inlineStr">
        <is>
          <t>N/M</t>
        </is>
      </c>
      <c r="M22" s="145" t="inlineStr">
        <is>
          <t>Relationship-gated private/commercial</t>
        </is>
      </c>
      <c r="N22" s="145" t="inlineStr">
        <is>
          <t>RM only</t>
        </is>
      </c>
      <c r="O22" s="145" t="inlineStr">
        <is>
          <t>888 S Figueroa St, Ste 550, Los Angeles 90017 (Los Angeles)</t>
        </is>
      </c>
      <c r="P22" s="145" t="inlineStr">
        <is>
          <t>10.6</t>
        </is>
      </c>
      <c r="Q22" s="145" t="inlineStr">
        <is>
          <t>22.9</t>
        </is>
      </c>
      <c r="R22" s="145" t="inlineStr">
        <is>
          <t>840384</t>
        </is>
      </c>
      <c r="S22" s="145" t="n"/>
      <c r="T22" s="145" t="inlineStr">
        <is>
          <t>None (entity trap: IDBI India ≠ IDB NY)</t>
        </is>
      </c>
      <c r="U22" s="145" t="inlineStr">
        <is>
          <t>DEAD</t>
        </is>
      </c>
      <c r="V22" s="145" t="inlineStr">
        <is>
          <t>https://www.idbny.com/commercial-banking/what-we-offer/commercial-lending</t>
        </is>
      </c>
    </row>
    <row r="23">
      <c r="A23" s="145" t="inlineStr">
        <is>
          <t>B</t>
        </is>
      </c>
      <c r="B23" s="145" t="inlineStr">
        <is>
          <t>🥈 unknown/silent</t>
        </is>
      </c>
      <c r="C23" s="145" t="inlineStr">
        <is>
          <t>American First National Bank</t>
        </is>
      </c>
      <c r="D23" s="145" t="inlineStr">
        <is>
          <t>Bank</t>
        </is>
      </c>
      <c r="E23" s="145" t="inlineStr">
        <is>
          <t>N (debit only)</t>
        </is>
      </c>
      <c r="F23" s="145" t="inlineStr">
        <is>
          <t>Y — Commercial LOC: Working Capital + LC (website)</t>
        </is>
      </c>
      <c r="G23" s="145" t="inlineStr">
        <is>
          <t>N/M</t>
        </is>
      </c>
      <c r="H23" s="145" t="inlineStr">
        <is>
          <t>None</t>
        </is>
      </c>
      <c r="I23" s="145" t="inlineStr">
        <is>
          <t>n/a</t>
        </is>
      </c>
      <c r="J23" s="145" t="inlineStr">
        <is>
          <t>N/M</t>
        </is>
      </c>
      <c r="K23" s="145" t="inlineStr">
        <is>
          <t>N/M</t>
        </is>
      </c>
      <c r="L23" s="145" t="inlineStr">
        <is>
          <t>N/M</t>
        </is>
      </c>
      <c r="M23" s="145" t="inlineStr">
        <is>
          <t>N/M (relationship bank inference)</t>
        </is>
      </c>
      <c r="N23" s="145" t="inlineStr">
        <is>
          <t>Phone (713) 596-2800 / branch (Alhambra 1420 E Valley Blvd)</t>
        </is>
      </c>
      <c r="O23" s="145" t="inlineStr">
        <is>
          <t>18605 Gale Ave, Ste 100, City Of Industry 91748 (Los Angeles)</t>
        </is>
      </c>
      <c r="P23" s="145" t="inlineStr">
        <is>
          <t>11.7</t>
        </is>
      </c>
      <c r="Q23" s="145" t="inlineStr">
        <is>
          <t>13.1</t>
        </is>
      </c>
      <c r="R23" s="145" t="inlineStr">
        <is>
          <t>419284</t>
        </is>
      </c>
      <c r="S23" s="145" t="n"/>
      <c r="T23" s="145" t="inlineStr">
        <is>
          <t>None found</t>
        </is>
      </c>
      <c r="U23" s="145" t="inlineStr">
        <is>
          <t>WEAK — RM-channel LOC lane only</t>
        </is>
      </c>
      <c r="V23" s="145" t="inlineStr">
        <is>
          <t>https://www.afnb.com/products/commercial/commercial-loans</t>
        </is>
      </c>
    </row>
    <row r="24">
      <c r="A24" s="145" t="inlineStr">
        <is>
          <t>B</t>
        </is>
      </c>
      <c r="B24" s="145" t="inlineStr">
        <is>
          <t>🥈 unknown/silent</t>
        </is>
      </c>
      <c r="C24" s="145" t="inlineStr">
        <is>
          <t>Golden Bank, National Association</t>
        </is>
      </c>
      <c r="D24" s="145" t="inlineStr">
        <is>
          <t>Bank</t>
        </is>
      </c>
      <c r="E24" s="145" t="inlineStr">
        <is>
          <t>N (business debit only)</t>
        </is>
      </c>
      <c r="F24" s="145" t="inlineStr">
        <is>
          <t>Y — 'Revolving Lines of Credit for Working Capital' (verbatim) + A/R + inventory + trade</t>
        </is>
      </c>
      <c r="G24" s="145" t="inlineStr">
        <is>
          <t>N/M</t>
        </is>
      </c>
      <c r="H24" s="145" t="inlineStr">
        <is>
          <t>None — but SBA PLP: 'delegated authority to approve 7(a) loans directly in-house' (verbatim)</t>
        </is>
      </c>
      <c r="I24" s="145" t="inlineStr">
        <is>
          <t>n/a</t>
        </is>
      </c>
      <c r="J24" s="145" t="inlineStr">
        <is>
          <t>N/M</t>
        </is>
      </c>
      <c r="K24" s="145" t="inlineStr">
        <is>
          <t>N/M</t>
        </is>
      </c>
      <c r="L24" s="145" t="inlineStr">
        <is>
          <t>N/M</t>
        </is>
      </c>
      <c r="M24" s="145" t="inlineStr">
        <is>
          <t>N/M</t>
        </is>
      </c>
      <c r="N24" s="145" t="inlineStr">
        <is>
          <t>Branch/phone (713) 777-3838; Tustin/Alhambra/Rowland Heights branches</t>
        </is>
      </c>
      <c r="O24" s="145" t="inlineStr">
        <is>
          <t>17458 Colima Rd, Rowland Heights 91748 (Los Angeles)</t>
        </is>
      </c>
      <c r="P24" s="145" t="inlineStr">
        <is>
          <t>11.7</t>
        </is>
      </c>
      <c r="Q24" s="145" t="inlineStr">
        <is>
          <t>13.1</t>
        </is>
      </c>
      <c r="R24" s="145" t="inlineStr">
        <is>
          <t>369290</t>
        </is>
      </c>
      <c r="S24" s="145" t="n"/>
      <c r="T24" s="145" t="inlineStr">
        <is>
          <t>None found</t>
        </is>
      </c>
      <c r="U24" s="145" t="inlineStr">
        <is>
          <t>WEAK — BEST of batch: revolving WC LOC + in-house SBA PLP + 3 SoCal branches; RM lane</t>
        </is>
      </c>
      <c r="V24" s="145" t="inlineStr">
        <is>
          <t>https://www.goldenbank-na.com/loan/commercial-loans</t>
        </is>
      </c>
    </row>
    <row r="25">
      <c r="A25" s="148" t="inlineStr">
        <is>
          <t>C logged (no biz card)</t>
        </is>
      </c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8" t="n"/>
    </row>
    <row r="26">
      <c r="A26" s="145" t="inlineStr">
        <is>
          <t>C</t>
        </is>
      </c>
      <c r="B26" s="146" t="inlineStr">
        <is>
          <t>🥇 no-pull evidence</t>
        </is>
      </c>
      <c r="C26" s="145" t="inlineStr">
        <is>
          <t>First Foundation Bank</t>
        </is>
      </c>
      <c r="D26" s="145" t="inlineStr">
        <is>
          <t>Bank</t>
        </is>
      </c>
      <c r="E26" s="145" t="n"/>
      <c r="F26" s="145" t="n"/>
      <c r="G26" s="145" t="n"/>
      <c r="H26" s="145" t="n"/>
      <c r="I26" s="145" t="n"/>
      <c r="J26" s="145" t="n"/>
      <c r="K26" s="145" t="inlineStr">
        <is>
          <t>Pre-merger DP Mar 2025: 'First Foundation Bank does NOT pull Chex for savings or checking'. BUT new charter 'Sunflower Bank' IS in DoC do-pull section — post-merger behavior may change | web: LIKELY YES [agg+inf] — Sunflower Bank on DoC doe</t>
        </is>
      </c>
      <c r="L26" s="145" t="inlineStr">
        <is>
          <t>DP Apr 2021: First Foundation appeared in EWS Inquiries list (did EWS inquiry)</t>
        </is>
      </c>
      <c r="M26" s="145" t="n"/>
      <c r="N26" s="145" t="n"/>
      <c r="O26" s="145" t="inlineStr">
        <is>
          <t>13962 Seal Beach Blvd, Seal Beach 90740 (Orange)</t>
        </is>
      </c>
      <c r="P26" s="145" t="inlineStr">
        <is>
          <t>3.8</t>
        </is>
      </c>
      <c r="Q26" s="145" t="inlineStr">
        <is>
          <t>20.9</t>
        </is>
      </c>
      <c r="R26" s="145" t="inlineStr">
        <is>
          <t>7224809</t>
        </is>
      </c>
      <c r="S26" s="145" t="n"/>
      <c r="T26" s="145" t="n"/>
      <c r="U26" s="145" t="inlineStr">
        <is>
          <t>logged — no data found</t>
        </is>
      </c>
      <c r="V26" s="145" t="n"/>
    </row>
    <row r="27">
      <c r="A27" s="145" t="inlineStr">
        <is>
          <t>C</t>
        </is>
      </c>
      <c r="B27" s="146" t="inlineStr">
        <is>
          <t>🥇 no-pull evidence</t>
        </is>
      </c>
      <c r="C27" s="145" t="inlineStr">
        <is>
          <t>Sunwest Bank</t>
        </is>
      </c>
      <c r="D27" s="145" t="inlineStr">
        <is>
          <t>Bank</t>
        </is>
      </c>
      <c r="E27" s="145" t="n"/>
      <c r="F27" s="145" t="n"/>
      <c r="G27" s="145" t="n"/>
      <c r="H27" s="145" t="n"/>
      <c r="I27" s="145" t="n"/>
      <c r="J27" s="145" t="n"/>
      <c r="K27" s="145" t="inlineStr">
        <is>
          <t>Not mentioned</t>
        </is>
      </c>
      <c r="L27" s="145" t="inlineStr">
        <is>
          <t>Not mentioned</t>
        </is>
      </c>
      <c r="M27" s="145" t="n"/>
      <c r="N27" s="145" t="n"/>
      <c r="O27" s="145" t="inlineStr">
        <is>
          <t>2050 Main St, Irvine 92614 (Orange)</t>
        </is>
      </c>
      <c r="P27" s="145" t="inlineStr">
        <is>
          <t>11.0</t>
        </is>
      </c>
      <c r="Q27" s="145" t="inlineStr">
        <is>
          <t>17.7</t>
        </is>
      </c>
      <c r="R27" s="145" t="inlineStr">
        <is>
          <t>2421811</t>
        </is>
      </c>
      <c r="S27" s="145" t="n"/>
      <c r="T27" s="145" t="n"/>
      <c r="U27" s="145" t="inlineStr">
        <is>
          <t>logged — no data found</t>
        </is>
      </c>
      <c r="V27" s="145" t="n"/>
    </row>
    <row r="28">
      <c r="A28" s="145" t="inlineStr">
        <is>
          <t>C</t>
        </is>
      </c>
      <c r="B28" s="146" t="inlineStr">
        <is>
          <t>🥇 no-pull evidence</t>
        </is>
      </c>
      <c r="C28" s="145" t="inlineStr">
        <is>
          <t>Tustin Community Bank</t>
        </is>
      </c>
      <c r="D28" s="145" t="inlineStr">
        <is>
          <t>Bank</t>
        </is>
      </c>
      <c r="E28" s="145" t="inlineStr">
        <is>
          <t>❌ No card (business debit only; indirect auto + CRE lender)</t>
        </is>
      </c>
      <c r="F28" s="145" t="inlineStr">
        <is>
          <t>None (commercial loans secured by business assets/LOC/CRE/term/SBA full-doc)</t>
        </is>
      </c>
      <c r="G28" s="145" t="inlineStr">
        <is>
          <t>—</t>
        </is>
      </c>
      <c r="H28" s="145" t="inlineStr">
        <is>
          <t>N/M</t>
        </is>
      </c>
      <c r="I28" s="145" t="inlineStr">
        <is>
          <t>None</t>
        </is>
      </c>
      <c r="J28" s="145" t="inlineStr">
        <is>
          <t>N/M</t>
        </is>
      </c>
      <c r="K28" s="145" t="inlineStr">
        <is>
          <t>Not mentioned</t>
        </is>
      </c>
      <c r="L28" s="145" t="inlineStr">
        <is>
          <t>Not mentioned</t>
        </is>
      </c>
      <c r="M28" s="145" t="inlineStr">
        <is>
          <t>N/M</t>
        </is>
      </c>
      <c r="N28" s="145" t="inlineStr">
        <is>
          <t>No</t>
        </is>
      </c>
      <c r="O28" s="145" t="inlineStr">
        <is>
          <t>13891 Newport Avenue, Suites 100 &amp; 130, Tustin 92780 (Orange)</t>
        </is>
      </c>
      <c r="P28" s="145" t="inlineStr">
        <is>
          <t>11.1</t>
        </is>
      </c>
      <c r="Q28" s="145" t="inlineStr">
        <is>
          <t>15.8</t>
        </is>
      </c>
      <c r="R28" s="145" t="inlineStr">
        <is>
          <t>63278</t>
        </is>
      </c>
      <c r="S28" s="145" t="n"/>
      <c r="T28" s="145" t="inlineStr">
        <is>
          <t>N/M</t>
        </is>
      </c>
      <c r="U28" s="145" t="inlineStr">
        <is>
          <t>(base-covered)</t>
        </is>
      </c>
      <c r="V28" s="145" t="inlineStr">
        <is>
          <t>tustin.bank/products-services; FDIC cert 32908</t>
        </is>
      </c>
    </row>
    <row r="29">
      <c r="A29" s="145" t="inlineStr">
        <is>
          <t>C</t>
        </is>
      </c>
      <c r="B29" s="146" t="inlineStr">
        <is>
          <t>🥇 no-pull evidence</t>
        </is>
      </c>
      <c r="C29" s="145" t="inlineStr">
        <is>
          <t>First Western Trust Bank</t>
        </is>
      </c>
      <c r="D29" s="145" t="inlineStr">
        <is>
          <t>Bank</t>
        </is>
      </c>
      <c r="E29" s="145" t="n"/>
      <c r="F29" s="145" t="n"/>
      <c r="G29" s="145" t="n"/>
      <c r="H29" s="145" t="n"/>
      <c r="I29" s="145" t="n"/>
      <c r="J29" s="145" t="n"/>
      <c r="K29" s="145" t="inlineStr">
        <is>
          <t>Not mentioned in provided docs</t>
        </is>
      </c>
      <c r="L29" s="145" t="inlineStr">
        <is>
          <t>Not mentioned</t>
        </is>
      </c>
      <c r="M29" s="145" t="n"/>
      <c r="N29" s="145" t="n"/>
      <c r="O29" s="145" t="inlineStr">
        <is>
          <t>1901 Avenue Of The Stars, Ste 200, Los Angeles 90067 (Los Angeles)</t>
        </is>
      </c>
      <c r="P29" s="145" t="inlineStr">
        <is>
          <t>12.1</t>
        </is>
      </c>
      <c r="Q29" s="145" t="inlineStr">
        <is>
          <t>27.2</t>
        </is>
      </c>
      <c r="R29" s="145" t="inlineStr">
        <is>
          <t>0</t>
        </is>
      </c>
      <c r="S29" s="145" t="n"/>
      <c r="T29" s="145" t="n"/>
      <c r="U29" s="145" t="inlineStr">
        <is>
          <t>logged — no data found</t>
        </is>
      </c>
      <c r="V29" s="145" t="n"/>
    </row>
    <row r="30">
      <c r="A30" s="145" t="inlineStr">
        <is>
          <t>C</t>
        </is>
      </c>
      <c r="B30" s="146" t="inlineStr">
        <is>
          <t>🥇 no-pull evidence</t>
        </is>
      </c>
      <c r="C30" s="145" t="inlineStr">
        <is>
          <t>PREMIER AMERICA CU</t>
        </is>
      </c>
      <c r="D30" s="145" t="inlineStr">
        <is>
          <t>Credit Union</t>
        </is>
      </c>
      <c r="E30" s="145" t="n"/>
      <c r="F30" s="145" t="n"/>
      <c r="G30" s="145" t="n"/>
      <c r="H30" s="145" t="n"/>
      <c r="I30" s="145" t="n"/>
      <c r="J30" s="145" t="n"/>
      <c r="K30" s="145" t="inlineStr">
        <is>
          <t>Not mentioned | web: YES [agg, phone-verified by bankbonus — debunks stale 'no-Chex' rows]. Fresh Start Checking $13/mo = second-chance path</t>
        </is>
      </c>
      <c r="L30" s="145" t="inlineStr">
        <is>
          <t>Not mentioned</t>
        </is>
      </c>
      <c r="M30" s="145" t="n"/>
      <c r="N30" s="145" t="n"/>
      <c r="O30" s="145" t="inlineStr">
        <is>
          <t>100 Universal City Plz Bldg 1320-1, Universal City 91608 (Los Angeles)</t>
        </is>
      </c>
      <c r="P30" s="145" t="inlineStr">
        <is>
          <t>14.0</t>
        </is>
      </c>
      <c r="Q30" s="145" t="inlineStr">
        <is>
          <t>25.4</t>
        </is>
      </c>
      <c r="R30" s="145" t="n"/>
      <c r="S30" s="145" t="inlineStr">
        <is>
          <t>3313105523</t>
        </is>
      </c>
      <c r="T30" s="145" t="n"/>
      <c r="U30" s="145" t="inlineStr">
        <is>
          <t>logged — no data found</t>
        </is>
      </c>
      <c r="V30" s="145" t="n"/>
    </row>
    <row r="31">
      <c r="A31" s="145" t="inlineStr">
        <is>
          <t>C</t>
        </is>
      </c>
      <c r="B31" s="145" t="inlineStr">
        <is>
          <t>🥈 unknown/silent</t>
        </is>
      </c>
      <c r="C31" s="145" t="inlineStr">
        <is>
          <t>SOUTHLAND CU</t>
        </is>
      </c>
      <c r="D31" s="145" t="inlineStr">
        <is>
          <t>Credit Union</t>
        </is>
      </c>
      <c r="E31" s="145" t="n"/>
      <c r="F31" s="145" t="n"/>
      <c r="G31" s="145" t="n"/>
      <c r="H31" s="145" t="n"/>
      <c r="I31" s="145" t="n"/>
      <c r="J31" s="145" t="n"/>
      <c r="K31" s="145" t="n"/>
      <c r="L31" s="145" t="n"/>
      <c r="M31" s="145" t="n"/>
      <c r="N31" s="145" t="n"/>
      <c r="O31" s="145" t="inlineStr">
        <is>
          <t>1050 Linden Ave, Long Beach 90813 (Los Angeles)</t>
        </is>
      </c>
      <c r="P31" s="145" t="inlineStr">
        <is>
          <t>1.1</t>
        </is>
      </c>
      <c r="Q31" s="145" t="inlineStr">
        <is>
          <t>23.5</t>
        </is>
      </c>
      <c r="R31" s="145" t="n"/>
      <c r="S31" s="145" t="inlineStr">
        <is>
          <t>1292891510</t>
        </is>
      </c>
      <c r="T31" s="145" t="n"/>
      <c r="U31" s="145" t="inlineStr">
        <is>
          <t>logged — no data found</t>
        </is>
      </c>
      <c r="V31" s="145" t="n"/>
    </row>
    <row r="32">
      <c r="A32" s="145" t="inlineStr">
        <is>
          <t>C</t>
        </is>
      </c>
      <c r="B32" s="145" t="inlineStr">
        <is>
          <t>🥈 unknown/silent</t>
        </is>
      </c>
      <c r="C32" s="145" t="inlineStr">
        <is>
          <t>SELF-HELP CU</t>
        </is>
      </c>
      <c r="D32" s="145" t="inlineStr">
        <is>
          <t>Credit Union</t>
        </is>
      </c>
      <c r="E32" s="145" t="n"/>
      <c r="F32" s="145" t="n"/>
      <c r="G32" s="145" t="n"/>
      <c r="H32" s="145" t="n"/>
      <c r="I32" s="145" t="n"/>
      <c r="J32" s="145" t="n"/>
      <c r="K32" s="145" t="n"/>
      <c r="L32" s="145" t="n"/>
      <c r="M32" s="145" t="n"/>
      <c r="N32" s="145" t="n"/>
      <c r="O32" s="145" t="inlineStr">
        <is>
          <t>1000 N Avalon Blvd, Wilmington 90744 (Los Angeles)</t>
        </is>
      </c>
      <c r="P32" s="145" t="inlineStr">
        <is>
          <t>1.8</t>
        </is>
      </c>
      <c r="Q32" s="145" t="inlineStr">
        <is>
          <t>25.2</t>
        </is>
      </c>
      <c r="R32" s="145" t="n"/>
      <c r="S32" s="145" t="inlineStr">
        <is>
          <t>2405735320</t>
        </is>
      </c>
      <c r="T32" s="145" t="n"/>
      <c r="U32" s="145" t="inlineStr">
        <is>
          <t>$5 open; NO biz card/CA biz loans (screened)</t>
        </is>
      </c>
      <c r="V32" s="145" t="n"/>
    </row>
    <row r="33">
      <c r="A33" s="145" t="inlineStr">
        <is>
          <t>C</t>
        </is>
      </c>
      <c r="B33" s="145" t="inlineStr">
        <is>
          <t>🥈 unknown/silent</t>
        </is>
      </c>
      <c r="C33" s="145" t="inlineStr">
        <is>
          <t>I.L.W.U. CU</t>
        </is>
      </c>
      <c r="D33" s="145" t="inlineStr">
        <is>
          <t>Credit Union</t>
        </is>
      </c>
      <c r="E33" s="145" t="n"/>
      <c r="F33" s="145" t="n"/>
      <c r="G33" s="145" t="n"/>
      <c r="H33" s="145" t="n"/>
      <c r="I33" s="145" t="n"/>
      <c r="J33" s="145" t="n"/>
      <c r="K33" s="145" t="n"/>
      <c r="L33" s="145" t="n"/>
      <c r="M33" s="145" t="n"/>
      <c r="N33" s="145" t="n"/>
      <c r="O33" s="145" t="inlineStr">
        <is>
          <t>1134 N Avalon Blvd, Wilmington 90744 (Los Angeles)</t>
        </is>
      </c>
      <c r="P33" s="145" t="inlineStr">
        <is>
          <t>1.8</t>
        </is>
      </c>
      <c r="Q33" s="145" t="inlineStr">
        <is>
          <t>25.2</t>
        </is>
      </c>
      <c r="R33" s="145" t="n"/>
      <c r="S33" s="145" t="inlineStr">
        <is>
          <t>601926772</t>
        </is>
      </c>
      <c r="T33" s="145" t="n"/>
      <c r="U33" s="145" t="inlineStr">
        <is>
          <t>union; consumer-only</t>
        </is>
      </c>
      <c r="V33" s="145" t="n"/>
    </row>
    <row r="34">
      <c r="A34" s="145" t="inlineStr">
        <is>
          <t>C</t>
        </is>
      </c>
      <c r="B34" s="145" t="inlineStr">
        <is>
          <t>🥈 unknown/silent</t>
        </is>
      </c>
      <c r="C34" s="145" t="inlineStr">
        <is>
          <t>U.S.B. EMPLOYEES CU</t>
        </is>
      </c>
      <c r="D34" s="145" t="inlineStr">
        <is>
          <t>Credit Union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5" t="n"/>
      <c r="N34" s="145" t="n"/>
      <c r="O34" s="145" t="inlineStr">
        <is>
          <t>300 Falcon St, Wilmington 90744 (Los Angeles)</t>
        </is>
      </c>
      <c r="P34" s="145" t="inlineStr">
        <is>
          <t>1.8</t>
        </is>
      </c>
      <c r="Q34" s="145" t="inlineStr">
        <is>
          <t>25.2</t>
        </is>
      </c>
      <c r="R34" s="145" t="n"/>
      <c r="S34" s="145" t="inlineStr">
        <is>
          <t>3207028</t>
        </is>
      </c>
      <c r="T34" s="145" t="n"/>
      <c r="U34" s="145" t="inlineStr">
        <is>
          <t>SEG micro</t>
        </is>
      </c>
      <c r="V34" s="145" t="n"/>
    </row>
    <row r="35">
      <c r="A35" s="145" t="inlineStr">
        <is>
          <t>C</t>
        </is>
      </c>
      <c r="B35" s="145" t="inlineStr">
        <is>
          <t>🥈 unknown/silent</t>
        </is>
      </c>
      <c r="C35" s="145" t="inlineStr">
        <is>
          <t>LBS FINANCIAL CU</t>
        </is>
      </c>
      <c r="D35" s="145" t="inlineStr">
        <is>
          <t>Credit Union</t>
        </is>
      </c>
      <c r="E35" s="145" t="n"/>
      <c r="F35" s="145" t="n"/>
      <c r="G35" s="145" t="n"/>
      <c r="H35" s="145" t="n"/>
      <c r="I35" s="145" t="n"/>
      <c r="J35" s="145" t="n"/>
      <c r="K35" s="145" t="n"/>
      <c r="L35" s="145" t="n"/>
      <c r="M35" s="145" t="n"/>
      <c r="N35" s="145" t="n"/>
      <c r="O35" s="145" t="inlineStr">
        <is>
          <t>4341 E 10th St, Long Beach 90804 (Los Angeles)</t>
        </is>
      </c>
      <c r="P35" s="145" t="inlineStr">
        <is>
          <t>2.0</t>
        </is>
      </c>
      <c r="Q35" s="145" t="inlineStr">
        <is>
          <t>22.2</t>
        </is>
      </c>
      <c r="R35" s="145" t="n"/>
      <c r="S35" s="145" t="inlineStr">
        <is>
          <t>2191340672</t>
        </is>
      </c>
      <c r="T35" s="145" t="n"/>
      <c r="U35" s="145" t="inlineStr">
        <is>
          <t>logged — no data found</t>
        </is>
      </c>
      <c r="V35" s="145" t="n"/>
    </row>
    <row r="36">
      <c r="A36" s="145" t="inlineStr">
        <is>
          <t>C</t>
        </is>
      </c>
      <c r="B36" s="145" t="inlineStr">
        <is>
          <t>🥈 unknown/silent</t>
        </is>
      </c>
      <c r="C36" s="145" t="inlineStr">
        <is>
          <t>First Bank</t>
        </is>
      </c>
      <c r="D36" s="145" t="inlineStr">
        <is>
          <t>Bank</t>
        </is>
      </c>
      <c r="E36" s="145" t="n"/>
      <c r="F36" s="145" t="n"/>
      <c r="G36" s="145" t="n"/>
      <c r="H36" s="145" t="n"/>
      <c r="I36" s="145" t="n"/>
      <c r="J36" s="145" t="n"/>
      <c r="K36" s="145" t="inlineStr">
        <is>
          <t>⚠ DoC has multiple same-name entries ('FirstBank', 'First Bank (Myfirstbank)'=CO, 'First Bank &amp; Trust', 'First Bank Financial Center') — none clearly the Missouri first.bank → treat as Not listed</t>
        </is>
      </c>
      <c r="L36" s="145" t="inlineStr">
        <is>
          <t>Not mentioned</t>
        </is>
      </c>
      <c r="M36" s="145" t="n"/>
      <c r="N36" s="145" t="n"/>
      <c r="O36" s="145" t="inlineStr">
        <is>
          <t>6200 E Pacific Coast Hwy, Long Beach 90803 (Los Angeles)</t>
        </is>
      </c>
      <c r="P36" s="145" t="inlineStr">
        <is>
          <t>2.1</t>
        </is>
      </c>
      <c r="Q36" s="145" t="inlineStr">
        <is>
          <t>22.3</t>
        </is>
      </c>
      <c r="R36" s="145" t="inlineStr">
        <is>
          <t>1947417</t>
        </is>
      </c>
      <c r="S36" s="145" t="n"/>
      <c r="T36" s="145" t="n"/>
      <c r="U36" s="145" t="inlineStr">
        <is>
          <t>logged — no data found</t>
        </is>
      </c>
      <c r="V36" s="145" t="n"/>
    </row>
    <row r="37">
      <c r="A37" s="145" t="inlineStr">
        <is>
          <t>C</t>
        </is>
      </c>
      <c r="B37" s="145" t="inlineStr">
        <is>
          <t>🥈 unknown/silent</t>
        </is>
      </c>
      <c r="C37" s="145" t="inlineStr">
        <is>
          <t>Washington Federal Bank</t>
        </is>
      </c>
      <c r="D37" s="145" t="inlineStr">
        <is>
          <t>Bank</t>
        </is>
      </c>
      <c r="E37" s="145" t="n"/>
      <c r="F37" s="145" t="n"/>
      <c r="G37" s="145" t="n"/>
      <c r="H37" s="145" t="n"/>
      <c r="I37" s="145" t="n"/>
      <c r="J37" s="145" t="n"/>
      <c r="K37" s="145" t="n"/>
      <c r="L37" s="145" t="n"/>
      <c r="M37" s="145" t="n"/>
      <c r="N37" s="145" t="n"/>
      <c r="O37" s="145" t="inlineStr">
        <is>
          <t>5348 E 2nd St, Long Beach 90803 (Los Angeles)</t>
        </is>
      </c>
      <c r="P37" s="145" t="inlineStr">
        <is>
          <t>2.1</t>
        </is>
      </c>
      <c r="Q37" s="145" t="inlineStr">
        <is>
          <t>22.3</t>
        </is>
      </c>
      <c r="R37" s="145" t="inlineStr">
        <is>
          <t>1777498</t>
        </is>
      </c>
      <c r="S37" s="145" t="n"/>
      <c r="T37" s="145" t="n"/>
      <c r="U37" s="145" t="inlineStr">
        <is>
          <t>logged — no data found</t>
        </is>
      </c>
      <c r="V37" s="145" t="n"/>
    </row>
    <row r="38">
      <c r="A38" s="145" t="inlineStr">
        <is>
          <t>C</t>
        </is>
      </c>
      <c r="B38" s="145" t="inlineStr">
        <is>
          <t>🥈 unknown/silent</t>
        </is>
      </c>
      <c r="C38" s="145" t="inlineStr">
        <is>
          <t>LONG BEACH CITY EMPLOYEES CU</t>
        </is>
      </c>
      <c r="D38" s="145" t="inlineStr">
        <is>
          <t>Credit Union</t>
        </is>
      </c>
      <c r="E38" s="145" t="n"/>
      <c r="F38" s="145" t="n"/>
      <c r="G38" s="145" t="n"/>
      <c r="H38" s="145" t="n"/>
      <c r="I38" s="145" t="n"/>
      <c r="J38" s="145" t="n"/>
      <c r="K38" s="145" t="n"/>
      <c r="L38" s="145" t="n"/>
      <c r="M38" s="145" t="n"/>
      <c r="N38" s="145" t="n"/>
      <c r="O38" s="145" t="inlineStr">
        <is>
          <t>2845 Temple Ave, Signal Hill 90755 (Los Angeles)</t>
        </is>
      </c>
      <c r="P38" s="145" t="inlineStr">
        <is>
          <t>2.1</t>
        </is>
      </c>
      <c r="Q38" s="145" t="inlineStr">
        <is>
          <t>22.4</t>
        </is>
      </c>
      <c r="R38" s="145" t="n"/>
      <c r="S38" s="145" t="inlineStr">
        <is>
          <t>279271327</t>
        </is>
      </c>
      <c r="T38" s="145" t="n"/>
      <c r="U38" s="145" t="inlineStr">
        <is>
          <t>SEG city; consumer-only</t>
        </is>
      </c>
      <c r="V38" s="145" t="n"/>
    </row>
    <row r="39">
      <c r="A39" s="145" t="inlineStr">
        <is>
          <t>C</t>
        </is>
      </c>
      <c r="B39" s="145" t="inlineStr">
        <is>
          <t>🥈 unknown/silent</t>
        </is>
      </c>
      <c r="C39" s="145" t="inlineStr">
        <is>
          <t>VA DESERT PACIFIC CU</t>
        </is>
      </c>
      <c r="D39" s="145" t="inlineStr">
        <is>
          <t>Credit Union</t>
        </is>
      </c>
      <c r="E39" s="145" t="n"/>
      <c r="F39" s="145" t="n"/>
      <c r="G39" s="145" t="n"/>
      <c r="H39" s="145" t="n"/>
      <c r="I39" s="145" t="n"/>
      <c r="J39" s="145" t="n"/>
      <c r="K39" s="145" t="n"/>
      <c r="L39" s="145" t="n"/>
      <c r="M39" s="145" t="n"/>
      <c r="N39" s="145" t="n"/>
      <c r="O39" s="145" t="inlineStr">
        <is>
          <t>2845 Temple Ave, Signal Hill 90755 (Los Angeles)</t>
        </is>
      </c>
      <c r="P39" s="145" t="inlineStr">
        <is>
          <t>2.1</t>
        </is>
      </c>
      <c r="Q39" s="145" t="inlineStr">
        <is>
          <t>22.4</t>
        </is>
      </c>
      <c r="R39" s="145" t="n"/>
      <c r="S39" s="145" t="inlineStr">
        <is>
          <t>98985355</t>
        </is>
      </c>
      <c r="T39" s="145" t="n"/>
      <c r="U39" s="145" t="inlineStr">
        <is>
          <t>SEG VA; consumer-only</t>
        </is>
      </c>
      <c r="V39" s="145" t="n"/>
    </row>
    <row r="40">
      <c r="A40" s="145" t="inlineStr">
        <is>
          <t>C</t>
        </is>
      </c>
      <c r="B40" s="145" t="inlineStr">
        <is>
          <t>🥈 unknown/silent</t>
        </is>
      </c>
      <c r="C40" s="145" t="inlineStr">
        <is>
          <t>SCHOOLSFIRST CU</t>
        </is>
      </c>
      <c r="D40" s="145" t="inlineStr">
        <is>
          <t>Credit Union</t>
        </is>
      </c>
      <c r="E40" s="145" t="n"/>
      <c r="F40" s="145" t="n"/>
      <c r="G40" s="145" t="n"/>
      <c r="H40" s="145" t="n"/>
      <c r="I40" s="145" t="n"/>
      <c r="J40" s="145" t="n"/>
      <c r="K40" s="145" t="n"/>
      <c r="L40" s="145" t="n"/>
      <c r="M40" s="145" t="n"/>
      <c r="N40" s="145" t="n"/>
      <c r="O40" s="145" t="inlineStr">
        <is>
          <t>4725 E 2nd St Ste D, Long Beach 90803 (Los Angeles)</t>
        </is>
      </c>
      <c r="P40" s="145" t="inlineStr">
        <is>
          <t>2.1</t>
        </is>
      </c>
      <c r="Q40" s="145" t="inlineStr">
        <is>
          <t>22.3</t>
        </is>
      </c>
      <c r="R40" s="145" t="n"/>
      <c r="S40" s="145" t="inlineStr">
        <is>
          <t>36737428874</t>
        </is>
      </c>
      <c r="T40" s="145" t="n"/>
      <c r="U40" s="145" t="inlineStr">
        <is>
          <t>logged — no data found</t>
        </is>
      </c>
      <c r="V40" s="145" t="n"/>
    </row>
    <row r="41">
      <c r="A41" s="145" t="inlineStr">
        <is>
          <t>C</t>
        </is>
      </c>
      <c r="B41" s="145" t="inlineStr">
        <is>
          <t>🥈 unknown/silent</t>
        </is>
      </c>
      <c r="C41" s="145" t="inlineStr">
        <is>
          <t>WESCOM CENTRAL CU</t>
        </is>
      </c>
      <c r="D41" s="145" t="inlineStr">
        <is>
          <t>Credit Union</t>
        </is>
      </c>
      <c r="E41" s="145" t="n"/>
      <c r="F41" s="145" t="n"/>
      <c r="G41" s="145" t="n"/>
      <c r="H41" s="145" t="n"/>
      <c r="I41" s="145" t="n"/>
      <c r="J41" s="145" t="n"/>
      <c r="K41" s="145" t="n"/>
      <c r="L41" s="145" t="n"/>
      <c r="M41" s="145" t="n"/>
      <c r="N41" s="145" t="n"/>
      <c r="O41" s="145" t="inlineStr">
        <is>
          <t>2600 Cherry Ave, Signal Hill 90755 (Los Angeles)</t>
        </is>
      </c>
      <c r="P41" s="145" t="inlineStr">
        <is>
          <t>2.1</t>
        </is>
      </c>
      <c r="Q41" s="145" t="inlineStr">
        <is>
          <t>22.4</t>
        </is>
      </c>
      <c r="R41" s="145" t="n"/>
      <c r="S41" s="145" t="inlineStr">
        <is>
          <t>6472794298</t>
        </is>
      </c>
      <c r="T41" s="145" t="n"/>
      <c r="U41" s="145" t="inlineStr">
        <is>
          <t>logged — no data found</t>
        </is>
      </c>
      <c r="V41" s="145" t="n"/>
    </row>
    <row r="42">
      <c r="A42" s="145" t="inlineStr">
        <is>
          <t>C</t>
        </is>
      </c>
      <c r="B42" s="145" t="inlineStr">
        <is>
          <t>🥈 unknown/silent</t>
        </is>
      </c>
      <c r="C42" s="145" t="inlineStr">
        <is>
          <t>NUVISION CU</t>
        </is>
      </c>
      <c r="D42" s="145" t="inlineStr">
        <is>
          <t>Credit Union</t>
        </is>
      </c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inlineStr">
        <is>
          <t>6547 E Pacific Coast Hwy Ste H7, Long Beach 90803 (Los Angeles)</t>
        </is>
      </c>
      <c r="P42" s="145" t="inlineStr">
        <is>
          <t>2.1</t>
        </is>
      </c>
      <c r="Q42" s="145" t="inlineStr">
        <is>
          <t>22.3</t>
        </is>
      </c>
      <c r="R42" s="145" t="n"/>
      <c r="S42" s="145" t="inlineStr">
        <is>
          <t>3935777489</t>
        </is>
      </c>
      <c r="T42" s="145" t="n"/>
      <c r="U42" s="145" t="inlineStr">
        <is>
          <t>logged — no data found</t>
        </is>
      </c>
      <c r="V42" s="145" t="n"/>
    </row>
    <row r="43">
      <c r="A43" s="145" t="inlineStr">
        <is>
          <t>C</t>
        </is>
      </c>
      <c r="B43" s="145" t="inlineStr">
        <is>
          <t>🥈 unknown/silent</t>
        </is>
      </c>
      <c r="C43" s="145" t="inlineStr">
        <is>
          <t>BOPTI CU</t>
        </is>
      </c>
      <c r="D43" s="145" t="inlineStr">
        <is>
          <t>Credit Union</t>
        </is>
      </c>
      <c r="E43" s="145" t="n"/>
      <c r="F43" s="145" t="n"/>
      <c r="G43" s="145" t="n"/>
      <c r="H43" s="145" t="n"/>
      <c r="I43" s="145" t="n"/>
      <c r="J43" s="145" t="n"/>
      <c r="K43" s="145" t="n"/>
      <c r="L43" s="145" t="n"/>
      <c r="M43" s="145" t="n"/>
      <c r="N43" s="145" t="n"/>
      <c r="O43" s="145" t="inlineStr">
        <is>
          <t>1451 S Seaside Ave, San Pedro 90731 (Los Angeles)</t>
        </is>
      </c>
      <c r="P43" s="145" t="inlineStr">
        <is>
          <t>2.2</t>
        </is>
      </c>
      <c r="Q43" s="145" t="inlineStr">
        <is>
          <t>26.3</t>
        </is>
      </c>
      <c r="R43" s="145" t="n"/>
      <c r="S43" s="145" t="inlineStr">
        <is>
          <t>64385017</t>
        </is>
      </c>
      <c r="T43" s="145" t="n"/>
      <c r="U43" s="145" t="inlineStr">
        <is>
          <t>SEG prisons; consumer-only</t>
        </is>
      </c>
      <c r="V43" s="145" t="n"/>
    </row>
    <row r="44">
      <c r="A44" s="145" t="inlineStr">
        <is>
          <t>C</t>
        </is>
      </c>
      <c r="B44" s="145" t="inlineStr">
        <is>
          <t>🥈 unknown/silent</t>
        </is>
      </c>
      <c r="C44" s="145" t="inlineStr">
        <is>
          <t>NIKKEI CU</t>
        </is>
      </c>
      <c r="D44" s="145" t="inlineStr">
        <is>
          <t>Credit Union</t>
        </is>
      </c>
      <c r="E44" s="145" t="n"/>
      <c r="F44" s="145" t="n"/>
      <c r="G44" s="145" t="n"/>
      <c r="H44" s="145" t="n"/>
      <c r="I44" s="145" t="n"/>
      <c r="J44" s="145" t="n"/>
      <c r="K44" s="145" t="n"/>
      <c r="L44" s="145" t="n"/>
      <c r="M44" s="145" t="n"/>
      <c r="N44" s="145" t="n"/>
      <c r="O44" s="145" t="inlineStr">
        <is>
          <t>146 W Carson St, Carson 90745 (Los Angeles)</t>
        </is>
      </c>
      <c r="P44" s="145" t="inlineStr">
        <is>
          <t>2.9</t>
        </is>
      </c>
      <c r="Q44" s="145" t="inlineStr">
        <is>
          <t>24.7</t>
        </is>
      </c>
      <c r="R44" s="145" t="n"/>
      <c r="S44" s="145" t="inlineStr">
        <is>
          <t>80585718</t>
        </is>
      </c>
      <c r="T44" s="145" t="n"/>
      <c r="U44" s="145" t="inlineStr">
        <is>
          <t>affinity; consumer-only</t>
        </is>
      </c>
      <c r="V44" s="145" t="n"/>
    </row>
    <row r="45">
      <c r="A45" s="145" t="inlineStr">
        <is>
          <t>C</t>
        </is>
      </c>
      <c r="B45" s="145" t="inlineStr">
        <is>
          <t>🥈 unknown/silent</t>
        </is>
      </c>
      <c r="C45" s="145" t="inlineStr">
        <is>
          <t>LONG BEACH FIREMEN S CU</t>
        </is>
      </c>
      <c r="D45" s="145" t="inlineStr">
        <is>
          <t>Credit Union</t>
        </is>
      </c>
      <c r="E45" s="145" t="n"/>
      <c r="F45" s="145" t="n"/>
      <c r="G45" s="145" t="n"/>
      <c r="H45" s="145" t="n"/>
      <c r="I45" s="145" t="n"/>
      <c r="J45" s="145" t="n"/>
      <c r="K45" s="145" t="n"/>
      <c r="L45" s="145" t="n"/>
      <c r="M45" s="145" t="n"/>
      <c r="N45" s="145" t="n"/>
      <c r="O45" s="145" t="inlineStr">
        <is>
          <t>2245 Argonne Ave, Long Beach 90815 (Los Angeles)</t>
        </is>
      </c>
      <c r="P45" s="145" t="inlineStr">
        <is>
          <t>3.0</t>
        </is>
      </c>
      <c r="Q45" s="145" t="inlineStr">
        <is>
          <t>21.2</t>
        </is>
      </c>
      <c r="R45" s="145" t="n"/>
      <c r="S45" s="145" t="inlineStr">
        <is>
          <t>204273146</t>
        </is>
      </c>
      <c r="T45" s="145" t="n"/>
      <c r="U45" s="145" t="inlineStr">
        <is>
          <t>logged — no data found</t>
        </is>
      </c>
      <c r="V45" s="145" t="n"/>
    </row>
    <row r="46">
      <c r="A46" s="145" t="inlineStr">
        <is>
          <t>C</t>
        </is>
      </c>
      <c r="B46" s="145" t="inlineStr">
        <is>
          <t>🥈 unknown/silent</t>
        </is>
      </c>
      <c r="C46" s="145" t="inlineStr">
        <is>
          <t>ORANGE COUNTY'S CU</t>
        </is>
      </c>
      <c r="D46" s="145" t="inlineStr">
        <is>
          <t>Credit Union</t>
        </is>
      </c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inlineStr">
        <is>
          <t>1802 Ximeno Ave, Long Beach 90815 (Los Angeles)</t>
        </is>
      </c>
      <c r="P46" s="145" t="inlineStr">
        <is>
          <t>3.0</t>
        </is>
      </c>
      <c r="Q46" s="145" t="inlineStr">
        <is>
          <t>21.2</t>
        </is>
      </c>
      <c r="R46" s="145" t="n"/>
      <c r="S46" s="145" t="inlineStr">
        <is>
          <t>3074685797</t>
        </is>
      </c>
      <c r="T46" s="145" t="n"/>
      <c r="U46" s="145" t="inlineStr">
        <is>
          <t>logged — no data found</t>
        </is>
      </c>
      <c r="V46" s="145" t="n"/>
    </row>
    <row r="47">
      <c r="A47" s="145" t="inlineStr">
        <is>
          <t>C</t>
        </is>
      </c>
      <c r="B47" s="145" t="inlineStr">
        <is>
          <t>🥈 unknown/silent</t>
        </is>
      </c>
      <c r="C47" s="145" t="inlineStr">
        <is>
          <t>Malaga Bank F.S.B.</t>
        </is>
      </c>
      <c r="D47" s="145" t="inlineStr">
        <is>
          <t>Bank</t>
        </is>
      </c>
      <c r="E47" s="145" t="inlineStr">
        <is>
          <t>❌ No card (CRE thrift; debit only)</t>
        </is>
      </c>
      <c r="F47" s="145" t="inlineStr">
        <is>
          <t>Secured lending $10K-$2M+ (working capital/equipment/CRE); doc reqs undisclosed; no-doc no</t>
        </is>
      </c>
      <c r="G47" s="145" t="inlineStr">
        <is>
          <t>—</t>
        </is>
      </c>
      <c r="H47" s="145" t="inlineStr">
        <is>
          <t>N/M</t>
        </is>
      </c>
      <c r="I47" s="145" t="inlineStr">
        <is>
          <t>None</t>
        </is>
      </c>
      <c r="J47" s="145" t="inlineStr">
        <is>
          <t>N/M</t>
        </is>
      </c>
      <c r="K47" s="145" t="n"/>
      <c r="L47" s="145" t="n"/>
      <c r="M47" s="145" t="inlineStr">
        <is>
          <t>N/M</t>
        </is>
      </c>
      <c r="N47" s="145" t="inlineStr">
        <is>
          <t>No</t>
        </is>
      </c>
      <c r="O47" s="145" t="inlineStr">
        <is>
          <t>1460 W 25th St, San Pedro 90732 (Los Angeles)</t>
        </is>
      </c>
      <c r="P47" s="145" t="inlineStr">
        <is>
          <t>3.1</t>
        </is>
      </c>
      <c r="Q47" s="145" t="inlineStr">
        <is>
          <t>27.2</t>
        </is>
      </c>
      <c r="R47" s="145" t="inlineStr">
        <is>
          <t>927689</t>
        </is>
      </c>
      <c r="S47" s="145" t="n"/>
      <c r="T47" s="145" t="inlineStr">
        <is>
          <t>N/M</t>
        </is>
      </c>
      <c r="U47" s="145" t="inlineStr">
        <is>
          <t>(base-covered)</t>
        </is>
      </c>
      <c r="V47" s="145" t="inlineStr">
        <is>
          <t>malagabank.com/business-banking-services + /business-loans</t>
        </is>
      </c>
    </row>
    <row r="48">
      <c r="A48" s="145" t="inlineStr">
        <is>
          <t>C</t>
        </is>
      </c>
      <c r="B48" s="145" t="inlineStr">
        <is>
          <t>🥈 unknown/silent</t>
        </is>
      </c>
      <c r="C48" s="145" t="inlineStr">
        <is>
          <t>HONDA CU</t>
        </is>
      </c>
      <c r="D48" s="145" t="inlineStr">
        <is>
          <t>Credit Union</t>
        </is>
      </c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inlineStr">
        <is>
          <t>19701 Hamilton Ave ste 130, Torrance 90502 (Los Angeles)</t>
        </is>
      </c>
      <c r="P48" s="145" t="inlineStr">
        <is>
          <t>3.7</t>
        </is>
      </c>
      <c r="Q48" s="145" t="inlineStr">
        <is>
          <t>25.3</t>
        </is>
      </c>
      <c r="R48" s="145" t="n"/>
      <c r="S48" s="145" t="inlineStr">
        <is>
          <t>1204192574</t>
        </is>
      </c>
      <c r="T48" s="145" t="n"/>
      <c r="U48" s="145" t="inlineStr">
        <is>
          <t>SEG; consumer-only</t>
        </is>
      </c>
      <c r="V48" s="145" t="n"/>
    </row>
    <row r="49">
      <c r="A49" s="145" t="inlineStr">
        <is>
          <t>C</t>
        </is>
      </c>
      <c r="B49" s="145" t="inlineStr">
        <is>
          <t>🥈 unknown/silent</t>
        </is>
      </c>
      <c r="C49" s="145" t="inlineStr">
        <is>
          <t>CALCOM CU</t>
        </is>
      </c>
      <c r="D49" s="145" t="inlineStr">
        <is>
          <t>Credit Union</t>
        </is>
      </c>
      <c r="E49" s="145" t="n"/>
      <c r="F49" s="145" t="n"/>
      <c r="G49" s="145" t="n"/>
      <c r="H49" s="145" t="n"/>
      <c r="I49" s="145" t="n"/>
      <c r="J49" s="145" t="n"/>
      <c r="K49" s="145" t="n"/>
      <c r="L49" s="145" t="n"/>
      <c r="M49" s="145" t="n"/>
      <c r="N49" s="145" t="n"/>
      <c r="O49" s="145" t="inlineStr">
        <is>
          <t>3748 Bayer Ave Ste 104, Long Beach 90808 (Los Angeles)</t>
        </is>
      </c>
      <c r="P49" s="145" t="inlineStr">
        <is>
          <t>3.7</t>
        </is>
      </c>
      <c r="Q49" s="145" t="inlineStr">
        <is>
          <t>20.6</t>
        </is>
      </c>
      <c r="R49" s="145" t="n"/>
      <c r="S49" s="145" t="inlineStr">
        <is>
          <t>82608794</t>
        </is>
      </c>
      <c r="T49" s="145" t="n"/>
      <c r="U49" s="145" t="inlineStr">
        <is>
          <t>open-donation; consumer-only</t>
        </is>
      </c>
      <c r="V49" s="145" t="n"/>
    </row>
    <row r="50">
      <c r="A50" s="145" t="inlineStr">
        <is>
          <t>C</t>
        </is>
      </c>
      <c r="B50" s="145" t="inlineStr">
        <is>
          <t>🥈 unknown/silent</t>
        </is>
      </c>
      <c r="C50" s="145" t="inlineStr">
        <is>
          <t>POSTCITY FINANCIAL CU</t>
        </is>
      </c>
      <c r="D50" s="145" t="inlineStr">
        <is>
          <t>Credit Union</t>
        </is>
      </c>
      <c r="E50" s="145" t="n"/>
      <c r="F50" s="145" t="n"/>
      <c r="G50" s="145" t="n"/>
      <c r="H50" s="145" t="n"/>
      <c r="I50" s="145" t="n"/>
      <c r="J50" s="145" t="n"/>
      <c r="K50" s="145" t="n"/>
      <c r="L50" s="145" t="n"/>
      <c r="M50" s="145" t="n"/>
      <c r="N50" s="145" t="n"/>
      <c r="O50" s="145" t="inlineStr">
        <is>
          <t>3738 Bayer Ave Unit 102, Long Beach 90808 (Los Angeles)</t>
        </is>
      </c>
      <c r="P50" s="145" t="inlineStr">
        <is>
          <t>3.7</t>
        </is>
      </c>
      <c r="Q50" s="145" t="inlineStr">
        <is>
          <t>20.6</t>
        </is>
      </c>
      <c r="R50" s="145" t="n"/>
      <c r="S50" s="145" t="inlineStr">
        <is>
          <t>78185272</t>
        </is>
      </c>
      <c r="T50" s="145" t="n"/>
      <c r="U50" s="145" t="inlineStr">
        <is>
          <t>SEG postal; consumer-only</t>
        </is>
      </c>
      <c r="V50" s="145" t="n"/>
    </row>
    <row r="51">
      <c r="A51" s="145" t="inlineStr">
        <is>
          <t>C</t>
        </is>
      </c>
      <c r="B51" s="145" t="inlineStr">
        <is>
          <t>🥈 unknown/silent</t>
        </is>
      </c>
      <c r="C51" s="145" t="inlineStr">
        <is>
          <t>MATTEL CU</t>
        </is>
      </c>
      <c r="D51" s="145" t="inlineStr">
        <is>
          <t>Credit Union</t>
        </is>
      </c>
      <c r="E51" s="145" t="n"/>
      <c r="F51" s="145" t="n"/>
      <c r="G51" s="145" t="n"/>
      <c r="H51" s="145" t="n"/>
      <c r="I51" s="145" t="n"/>
      <c r="J51" s="145" t="n"/>
      <c r="K51" s="145" t="n"/>
      <c r="L51" s="145" t="n"/>
      <c r="M51" s="145" t="n"/>
      <c r="N51" s="145" t="n"/>
      <c r="O51" s="145" t="inlineStr">
        <is>
          <t>3748 Bayer Avenue, Long Beach 90808 (Los Angeles)</t>
        </is>
      </c>
      <c r="P51" s="145" t="inlineStr">
        <is>
          <t>3.7</t>
        </is>
      </c>
      <c r="Q51" s="145" t="inlineStr">
        <is>
          <t>20.6</t>
        </is>
      </c>
      <c r="R51" s="145" t="n"/>
      <c r="S51" s="145" t="inlineStr">
        <is>
          <t>29130616</t>
        </is>
      </c>
      <c r="T51" s="145" t="n"/>
      <c r="U51" s="145" t="inlineStr">
        <is>
          <t>SEG; consumer-only</t>
        </is>
      </c>
      <c r="V51" s="145" t="n"/>
    </row>
    <row r="52">
      <c r="A52" s="145" t="inlineStr">
        <is>
          <t>C</t>
        </is>
      </c>
      <c r="B52" s="145" t="inlineStr">
        <is>
          <t>🥈 unknown/silent</t>
        </is>
      </c>
      <c r="C52" s="145" t="inlineStr">
        <is>
          <t>NAVY FEDERAL CREDIT UNION</t>
        </is>
      </c>
      <c r="D52" s="145" t="inlineStr">
        <is>
          <t>Credit Union</t>
        </is>
      </c>
      <c r="E52" s="145" t="n"/>
      <c r="F52" s="145" t="n"/>
      <c r="G52" s="145" t="n"/>
      <c r="H52" s="145" t="n"/>
      <c r="I52" s="145" t="n"/>
      <c r="J52" s="145" t="n"/>
      <c r="K52" s="145" t="n"/>
      <c r="L52" s="145" t="n"/>
      <c r="M52" s="145" t="n"/>
      <c r="N52" s="145" t="n"/>
      <c r="O52" s="145" t="inlineStr">
        <is>
          <t>4201 McGowen St ste 270, Long Beach 90808 (Los Angeles)</t>
        </is>
      </c>
      <c r="P52" s="145" t="inlineStr">
        <is>
          <t>3.7</t>
        </is>
      </c>
      <c r="Q52" s="145" t="inlineStr">
        <is>
          <t>20.6</t>
        </is>
      </c>
      <c r="R52" s="145" t="n"/>
      <c r="S52" s="145" t="inlineStr">
        <is>
          <t>203558954708</t>
        </is>
      </c>
      <c r="T52" s="145" t="n"/>
      <c r="U52" s="145" t="inlineStr">
        <is>
          <t>logged — no data found</t>
        </is>
      </c>
      <c r="V52" s="145" t="n"/>
    </row>
    <row r="53">
      <c r="A53" s="145" t="inlineStr">
        <is>
          <t>C</t>
        </is>
      </c>
      <c r="B53" s="145" t="inlineStr">
        <is>
          <t>🥈 unknown/silent</t>
        </is>
      </c>
      <c r="C53" s="145" t="inlineStr">
        <is>
          <t>FINANCIAL PARTNERS CU</t>
        </is>
      </c>
      <c r="D53" s="145" t="inlineStr">
        <is>
          <t>Credit Union</t>
        </is>
      </c>
      <c r="E53" s="145" t="n"/>
      <c r="F53" s="145" t="n"/>
      <c r="G53" s="145" t="n"/>
      <c r="H53" s="145" t="n"/>
      <c r="I53" s="145" t="n"/>
      <c r="J53" s="145" t="n"/>
      <c r="K53" s="145" t="n"/>
      <c r="L53" s="145" t="n"/>
      <c r="M53" s="145" t="n"/>
      <c r="N53" s="145" t="n"/>
      <c r="O53" s="145" t="inlineStr">
        <is>
          <t>4210 McGowen St, Long Beach 90808 (Los Angeles)</t>
        </is>
      </c>
      <c r="P53" s="145" t="inlineStr">
        <is>
          <t>3.7</t>
        </is>
      </c>
      <c r="Q53" s="145" t="inlineStr">
        <is>
          <t>20.6</t>
        </is>
      </c>
      <c r="R53" s="145" t="n"/>
      <c r="S53" s="145" t="inlineStr">
        <is>
          <t>2247378836</t>
        </is>
      </c>
      <c r="T53" s="145" t="n"/>
      <c r="U53" s="145" t="inlineStr">
        <is>
          <t>logged — no data found</t>
        </is>
      </c>
      <c r="V53" s="145" t="n"/>
    </row>
    <row r="54">
      <c r="A54" s="145" t="inlineStr">
        <is>
          <t>C</t>
        </is>
      </c>
      <c r="B54" s="145" t="inlineStr">
        <is>
          <t>🥈 unknown/silent</t>
        </is>
      </c>
      <c r="C54" s="145" t="inlineStr">
        <is>
          <t>FARMERS INSURANCE CU</t>
        </is>
      </c>
      <c r="D54" s="145" t="inlineStr">
        <is>
          <t>Credit Union</t>
        </is>
      </c>
      <c r="E54" s="145" t="n"/>
      <c r="F54" s="145" t="n"/>
      <c r="G54" s="145" t="n"/>
      <c r="H54" s="145" t="n"/>
      <c r="I54" s="145" t="n"/>
      <c r="J54" s="145" t="n"/>
      <c r="K54" s="145" t="n"/>
      <c r="L54" s="145" t="n"/>
      <c r="M54" s="145" t="n"/>
      <c r="N54" s="145" t="n"/>
      <c r="O54" s="145" t="inlineStr">
        <is>
          <t>19191 S Vermont Ave, Torrance 90502 (Los Angeles)</t>
        </is>
      </c>
      <c r="P54" s="145" t="inlineStr">
        <is>
          <t>3.7</t>
        </is>
      </c>
      <c r="Q54" s="145" t="inlineStr">
        <is>
          <t>25.3</t>
        </is>
      </c>
      <c r="R54" s="145" t="n"/>
      <c r="S54" s="145" t="inlineStr">
        <is>
          <t>1366674086</t>
        </is>
      </c>
      <c r="T54" s="145" t="n"/>
      <c r="U54" s="145" t="inlineStr">
        <is>
          <t>logged — no data found</t>
        </is>
      </c>
      <c r="V54" s="145" t="n"/>
    </row>
    <row r="55">
      <c r="A55" s="145" t="inlineStr">
        <is>
          <t>C</t>
        </is>
      </c>
      <c r="B55" s="145" t="inlineStr">
        <is>
          <t>🥈 unknown/silent</t>
        </is>
      </c>
      <c r="C55" s="145" t="inlineStr">
        <is>
          <t>SCHOOLS CU</t>
        </is>
      </c>
      <c r="D55" s="145" t="inlineStr">
        <is>
          <t>Credit Union</t>
        </is>
      </c>
      <c r="E55" s="145" t="n"/>
      <c r="F55" s="145" t="n"/>
      <c r="G55" s="145" t="n"/>
      <c r="H55" s="145" t="n"/>
      <c r="I55" s="145" t="n"/>
      <c r="J55" s="145" t="n"/>
      <c r="K55" s="145" t="n"/>
      <c r="L55" s="145" t="n"/>
      <c r="M55" s="145" t="n"/>
      <c r="N55" s="145" t="n"/>
      <c r="O55" s="145" t="inlineStr">
        <is>
          <t>20101 Hamilton Ave Ste 150, Torrance 90502 (Los Angeles)</t>
        </is>
      </c>
      <c r="P55" s="145" t="inlineStr">
        <is>
          <t>3.7</t>
        </is>
      </c>
      <c r="Q55" s="145" t="inlineStr">
        <is>
          <t>25.3</t>
        </is>
      </c>
      <c r="R55" s="145" t="n"/>
      <c r="S55" s="145" t="inlineStr">
        <is>
          <t>192652276</t>
        </is>
      </c>
      <c r="T55" s="145" t="n"/>
      <c r="U55" s="145" t="inlineStr">
        <is>
          <t>logged — no data found</t>
        </is>
      </c>
      <c r="V55" s="145" t="n"/>
    </row>
    <row r="56">
      <c r="A56" s="145" t="inlineStr">
        <is>
          <t>C</t>
        </is>
      </c>
      <c r="B56" s="145" t="inlineStr">
        <is>
          <t>🥈 unknown/silent</t>
        </is>
      </c>
      <c r="C56" s="145" t="inlineStr">
        <is>
          <t>SEA AIR CU</t>
        </is>
      </c>
      <c r="D56" s="145" t="inlineStr">
        <is>
          <t>Credit Union</t>
        </is>
      </c>
      <c r="E56" s="145" t="n"/>
      <c r="F56" s="145" t="n"/>
      <c r="G56" s="145" t="n"/>
      <c r="H56" s="145" t="n"/>
      <c r="I56" s="145" t="n"/>
      <c r="J56" s="145" t="n"/>
      <c r="K56" s="145" t="n"/>
      <c r="L56" s="145" t="n"/>
      <c r="M56" s="145" t="n"/>
      <c r="N56" s="145" t="n"/>
      <c r="O56" s="145" t="inlineStr">
        <is>
          <t>800 Seal Beach Blvd Bldg 12, Seal Beach 90740 (Orange)</t>
        </is>
      </c>
      <c r="P56" s="145" t="inlineStr">
        <is>
          <t>3.8</t>
        </is>
      </c>
      <c r="Q56" s="145" t="inlineStr">
        <is>
          <t>20.9</t>
        </is>
      </c>
      <c r="R56" s="145" t="n"/>
      <c r="S56" s="145" t="inlineStr">
        <is>
          <t>118185732</t>
        </is>
      </c>
      <c r="T56" s="145" t="n"/>
      <c r="U56" s="145" t="inlineStr">
        <is>
          <t>SEG/geo; biz deposits only</t>
        </is>
      </c>
      <c r="V56" s="145" t="n"/>
    </row>
    <row r="57">
      <c r="A57" s="145" t="inlineStr">
        <is>
          <t>C</t>
        </is>
      </c>
      <c r="B57" s="145" t="inlineStr">
        <is>
          <t>🥈 unknown/silent</t>
        </is>
      </c>
      <c r="C57" s="145" t="inlineStr">
        <is>
          <t>KINECTA CU</t>
        </is>
      </c>
      <c r="D57" s="145" t="inlineStr">
        <is>
          <t>Credit Union</t>
        </is>
      </c>
      <c r="E57" s="145" t="n"/>
      <c r="F57" s="145" t="n"/>
      <c r="G57" s="145" t="n"/>
      <c r="H57" s="145" t="n"/>
      <c r="I57" s="145" t="n"/>
      <c r="J57" s="145" t="n"/>
      <c r="K57" s="145" t="n"/>
      <c r="L57" s="145" t="n"/>
      <c r="M57" s="145" t="n"/>
      <c r="N57" s="145" t="n"/>
      <c r="O57" s="145" t="inlineStr">
        <is>
          <t>4055 Hardwick St, Lakewood 90712 (Los Angeles)</t>
        </is>
      </c>
      <c r="P57" s="145" t="inlineStr">
        <is>
          <t>3.8</t>
        </is>
      </c>
      <c r="Q57" s="145" t="inlineStr">
        <is>
          <t>21.2</t>
        </is>
      </c>
      <c r="R57" s="145" t="n"/>
      <c r="S57" s="145" t="inlineStr">
        <is>
          <t>6443715004</t>
        </is>
      </c>
      <c r="T57" s="145" t="n"/>
      <c r="U57" s="145" t="inlineStr">
        <is>
          <t>logged — no data found</t>
        </is>
      </c>
      <c r="V57" s="145" t="n"/>
    </row>
    <row r="58">
      <c r="A58" s="145" t="inlineStr">
        <is>
          <t>C</t>
        </is>
      </c>
      <c r="B58" s="145" t="inlineStr">
        <is>
          <t>🥈 unknown/silent</t>
        </is>
      </c>
      <c r="C58" s="145" t="inlineStr">
        <is>
          <t>FIRST CITY CU</t>
        </is>
      </c>
      <c r="D58" s="145" t="inlineStr">
        <is>
          <t>Credit Union</t>
        </is>
      </c>
      <c r="E58" s="145" t="n"/>
      <c r="F58" s="145" t="n"/>
      <c r="G58" s="145" t="n"/>
      <c r="H58" s="145" t="n"/>
      <c r="I58" s="145" t="n"/>
      <c r="J58" s="145" t="n"/>
      <c r="K58" s="145" t="n"/>
      <c r="L58" s="145" t="n"/>
      <c r="M58" s="145" t="n"/>
      <c r="N58" s="145" t="n"/>
      <c r="O58" s="145" t="inlineStr">
        <is>
          <t>4107 Candlewood St, Lakewood 90712 (Los Angeles)</t>
        </is>
      </c>
      <c r="P58" s="145" t="inlineStr">
        <is>
          <t>3.8</t>
        </is>
      </c>
      <c r="Q58" s="145" t="inlineStr">
        <is>
          <t>21.2</t>
        </is>
      </c>
      <c r="R58" s="145" t="n"/>
      <c r="S58" s="145" t="inlineStr">
        <is>
          <t>952449258</t>
        </is>
      </c>
      <c r="T58" s="145" t="n"/>
      <c r="U58" s="145" t="inlineStr">
        <is>
          <t>logged — no data found</t>
        </is>
      </c>
      <c r="V58" s="145" t="n"/>
    </row>
    <row r="59">
      <c r="A59" s="145" t="inlineStr">
        <is>
          <t>C</t>
        </is>
      </c>
      <c r="B59" s="145" t="inlineStr">
        <is>
          <t>🥈 unknown/silent</t>
        </is>
      </c>
      <c r="C59" s="145" t="inlineStr">
        <is>
          <t>CALIFORNIA CU</t>
        </is>
      </c>
      <c r="D59" s="145" t="inlineStr">
        <is>
          <t>Credit Union</t>
        </is>
      </c>
      <c r="E59" s="145" t="inlineStr">
        <is>
          <t>❌ No BUSINESS card (consumer Visa only; 'may not be used for business purposes'); SELF-issued</t>
        </is>
      </c>
      <c r="F59" s="145" t="inlineStr">
        <is>
          <t>None (business banking = deposits + business loans; no business card)</t>
        </is>
      </c>
      <c r="G59" s="145" t="inlineStr">
        <is>
          <t>—</t>
        </is>
      </c>
      <c r="H59" s="145" t="inlineStr">
        <is>
          <t>N/M (no business card)</t>
        </is>
      </c>
      <c r="I59" s="145" t="inlineStr">
        <is>
          <t>Self (consumer cards; no business card)</t>
        </is>
      </c>
      <c r="J59" s="145" t="inlineStr">
        <is>
          <t>N/M</t>
        </is>
      </c>
      <c r="K59" s="145" t="n"/>
      <c r="L59" s="145" t="n"/>
      <c r="M59" s="145" t="inlineStr">
        <is>
          <t>Membership required (LA/OC/IE + Lake Havasu AZ + 500 SEGs; OPEN nationwide via complimentary nonprofit association)</t>
        </is>
      </c>
      <c r="N59" s="145" t="inlineStr">
        <is>
          <t>No</t>
        </is>
      </c>
      <c r="O59" s="145" t="inlineStr">
        <is>
          <t>633 E UNIVERSITY DR STE A, CARSON 90746 (Los Angeles)</t>
        </is>
      </c>
      <c r="P59" s="145" t="inlineStr">
        <is>
          <t>4.0</t>
        </is>
      </c>
      <c r="Q59" s="145" t="inlineStr">
        <is>
          <t>23.9</t>
        </is>
      </c>
      <c r="R59" s="145" t="n"/>
      <c r="S59" s="145" t="inlineStr">
        <is>
          <t>5413638046</t>
        </is>
      </c>
      <c r="T59" s="145" t="inlineStr">
        <is>
          <t>Consumer-only: Platinum Rewards, Topaz (0% 9mo on BT only), Share Secured. No business card.</t>
        </is>
      </c>
      <c r="U59" s="145" t="inlineStr">
        <is>
          <t>(base-covered)</t>
        </is>
      </c>
      <c r="V59" s="145" t="inlineStr">
        <is>
          <t>cusocal.org/cards/credit-card + cardholder agreement (consumer-only, self-issued); /business-banking (no card)</t>
        </is>
      </c>
    </row>
    <row r="60">
      <c r="A60" s="145" t="inlineStr">
        <is>
          <t>C</t>
        </is>
      </c>
      <c r="B60" s="145" t="inlineStr">
        <is>
          <t>🥈 unknown/silent</t>
        </is>
      </c>
      <c r="C60" s="145" t="inlineStr">
        <is>
          <t>Woori America Bank</t>
        </is>
      </c>
      <c r="D60" s="145" t="inlineStr">
        <is>
          <t>Bank</t>
        </is>
      </c>
      <c r="E60" s="145" t="n"/>
      <c r="F60" s="145" t="n"/>
      <c r="G60" s="145" t="n"/>
      <c r="H60" s="145" t="n"/>
      <c r="I60" s="145" t="n"/>
      <c r="J60" s="145" t="n"/>
      <c r="K60" s="145" t="n"/>
      <c r="L60" s="145" t="n"/>
      <c r="M60" s="145" t="n"/>
      <c r="N60" s="145" t="n"/>
      <c r="O60" s="145" t="inlineStr">
        <is>
          <t>2390 Crenshaw Blvd, Torrance 90501 (Los Angeles)</t>
        </is>
      </c>
      <c r="P60" s="145" t="inlineStr">
        <is>
          <t>4.2</t>
        </is>
      </c>
      <c r="Q60" s="145" t="inlineStr">
        <is>
          <t>25.9</t>
        </is>
      </c>
      <c r="R60" s="145" t="inlineStr">
        <is>
          <t>572636</t>
        </is>
      </c>
      <c r="S60" s="145" t="n"/>
      <c r="T60" s="145" t="n"/>
      <c r="U60" s="145" t="inlineStr">
        <is>
          <t>logged — no data found</t>
        </is>
      </c>
      <c r="V60" s="145" t="n"/>
    </row>
    <row r="61">
      <c r="A61" s="145" t="inlineStr">
        <is>
          <t>C</t>
        </is>
      </c>
      <c r="B61" s="145" t="inlineStr">
        <is>
          <t>🥈 unknown/silent</t>
        </is>
      </c>
      <c r="C61" s="145" t="inlineStr">
        <is>
          <t>Shinhan Bank America</t>
        </is>
      </c>
      <c r="D61" s="145" t="inlineStr">
        <is>
          <t>Bank</t>
        </is>
      </c>
      <c r="E61" s="145" t="n"/>
      <c r="F61" s="145" t="n"/>
      <c r="G61" s="145" t="n"/>
      <c r="H61" s="145" t="n"/>
      <c r="I61" s="145" t="n"/>
      <c r="J61" s="145" t="n"/>
      <c r="K61" s="145" t="n"/>
      <c r="L61" s="145" t="n"/>
      <c r="M61" s="145" t="n"/>
      <c r="N61" s="145" t="n"/>
      <c r="O61" s="145" t="inlineStr">
        <is>
          <t>22501 Crenshaw Boulevard, Suite 400 &amp; 500, Torrance 90501 (Los Angeles)</t>
        </is>
      </c>
      <c r="P61" s="145" t="inlineStr">
        <is>
          <t>4.2</t>
        </is>
      </c>
      <c r="Q61" s="145" t="inlineStr">
        <is>
          <t>25.9</t>
        </is>
      </c>
      <c r="R61" s="145" t="inlineStr">
        <is>
          <t>368944</t>
        </is>
      </c>
      <c r="S61" s="145" t="n"/>
      <c r="T61" s="145" t="n"/>
      <c r="U61" s="145" t="inlineStr">
        <is>
          <t>logged — no data found</t>
        </is>
      </c>
      <c r="V61" s="145" t="n"/>
    </row>
    <row r="62">
      <c r="A62" s="145" t="inlineStr">
        <is>
          <t>C</t>
        </is>
      </c>
      <c r="B62" s="145" t="inlineStr">
        <is>
          <t>🥈 unknown/silent</t>
        </is>
      </c>
      <c r="C62" s="145" t="inlineStr">
        <is>
          <t>TORRANCE COMMUNITY CU</t>
        </is>
      </c>
      <c r="D62" s="145" t="inlineStr">
        <is>
          <t>Credit Union</t>
        </is>
      </c>
      <c r="E62" s="145" t="n"/>
      <c r="F62" s="145" t="n"/>
      <c r="G62" s="145" t="n"/>
      <c r="H62" s="145" t="n"/>
      <c r="I62" s="145" t="n"/>
      <c r="J62" s="145" t="n"/>
      <c r="K62" s="145" t="n"/>
      <c r="L62" s="145" t="n"/>
      <c r="M62" s="145" t="n"/>
      <c r="N62" s="145" t="n"/>
      <c r="O62" s="145" t="inlineStr">
        <is>
          <t>1511 Cravens Ave, Torrance 90501 (Los Angeles)</t>
        </is>
      </c>
      <c r="P62" s="145" t="inlineStr">
        <is>
          <t>4.2</t>
        </is>
      </c>
      <c r="Q62" s="145" t="inlineStr">
        <is>
          <t>25.9</t>
        </is>
      </c>
      <c r="R62" s="145" t="n"/>
      <c r="S62" s="145" t="inlineStr">
        <is>
          <t>160034712</t>
        </is>
      </c>
      <c r="T62" s="145" t="n"/>
      <c r="U62" s="145" t="inlineStr">
        <is>
          <t>open; consumer-only</t>
        </is>
      </c>
      <c r="V62" s="145" t="n"/>
    </row>
    <row r="63">
      <c r="A63" s="145" t="inlineStr">
        <is>
          <t>C</t>
        </is>
      </c>
      <c r="B63" s="145" t="inlineStr">
        <is>
          <t>🥈 unknown/silent</t>
        </is>
      </c>
      <c r="C63" s="145" t="inlineStr">
        <is>
          <t>PARISHIONERS CU</t>
        </is>
      </c>
      <c r="D63" s="145" t="inlineStr">
        <is>
          <t>Credit Union</t>
        </is>
      </c>
      <c r="E63" s="145" t="n"/>
      <c r="F63" s="145" t="n"/>
      <c r="G63" s="145" t="n"/>
      <c r="H63" s="145" t="n"/>
      <c r="I63" s="145" t="n"/>
      <c r="J63" s="145" t="n"/>
      <c r="K63" s="145" t="n"/>
      <c r="L63" s="145" t="n"/>
      <c r="M63" s="145" t="n"/>
      <c r="N63" s="145" t="n"/>
      <c r="O63" s="145" t="inlineStr">
        <is>
          <t>2355 Crenshaw Blvd Ste 100, Torrance 90501 (Los Angeles)</t>
        </is>
      </c>
      <c r="P63" s="145" t="inlineStr">
        <is>
          <t>4.2</t>
        </is>
      </c>
      <c r="Q63" s="145" t="inlineStr">
        <is>
          <t>25.9</t>
        </is>
      </c>
      <c r="R63" s="145" t="n"/>
      <c r="S63" s="145" t="inlineStr">
        <is>
          <t>67162263</t>
        </is>
      </c>
      <c r="T63" s="145" t="n"/>
      <c r="U63" s="145" t="inlineStr">
        <is>
          <t>faith; biz checking only</t>
        </is>
      </c>
      <c r="V63" s="145" t="n"/>
    </row>
    <row r="64">
      <c r="A64" s="145" t="inlineStr">
        <is>
          <t>C</t>
        </is>
      </c>
      <c r="B64" s="145" t="inlineStr">
        <is>
          <t>🥈 unknown/silent</t>
        </is>
      </c>
      <c r="C64" s="145" t="inlineStr">
        <is>
          <t>Industrial and Commercial Bank of China USA, National Association</t>
        </is>
      </c>
      <c r="D64" s="145" t="inlineStr">
        <is>
          <t>Bank</t>
        </is>
      </c>
      <c r="E64" s="145" t="inlineStr">
        <is>
          <t>N — 4 CONSUMER cards only (UnionPay/Visa); existing-customer gate</t>
        </is>
      </c>
      <c r="F64" s="145" t="inlineStr">
        <is>
          <t>No packaged product (C&amp;I/trade RM lane)</t>
        </is>
      </c>
      <c r="G64" s="145" t="inlineStr">
        <is>
          <t>N/M</t>
        </is>
      </c>
      <c r="H64" s="145" t="inlineStr">
        <is>
          <t>None</t>
        </is>
      </c>
      <c r="I64" s="145" t="inlineStr">
        <is>
          <t>Self (consumer only)</t>
        </is>
      </c>
      <c r="J64" s="145" t="inlineStr">
        <is>
          <t>N/M</t>
        </is>
      </c>
      <c r="K64" s="145" t="inlineStr">
        <is>
          <t>N/M</t>
        </is>
      </c>
      <c r="L64" s="145" t="inlineStr">
        <is>
          <t>N/M</t>
        </is>
      </c>
      <c r="M64" s="145" t="inlineStr">
        <is>
          <t>YES — 'only existing ICBC USA customers eligible'; new customers must open deposit acct first (website verbatim)</t>
        </is>
      </c>
      <c r="N64" s="145" t="inlineStr">
        <is>
          <t>Email Cardinfo@icbc-us.com / branch</t>
        </is>
      </c>
      <c r="O64" s="145" t="inlineStr">
        <is>
          <t>23133 Hawthorne Blvd, Ste 100, Torrance 90505 (Los Angeles)</t>
        </is>
      </c>
      <c r="P64" s="145" t="inlineStr">
        <is>
          <t>4.5</t>
        </is>
      </c>
      <c r="Q64" s="145" t="inlineStr">
        <is>
          <t>27.1</t>
        </is>
      </c>
      <c r="R64" s="145" t="inlineStr">
        <is>
          <t>433614</t>
        </is>
      </c>
      <c r="S64" s="145" t="n"/>
      <c r="T64" s="145" t="inlineStr">
        <is>
          <t>None found</t>
        </is>
      </c>
      <c r="U64" s="145" t="inlineStr">
        <is>
          <t>DEAD</t>
        </is>
      </c>
      <c r="V64" s="145" t="inlineStr">
        <is>
          <t>https://www.icbc-us.com/en/column/1438058492123824159.html</t>
        </is>
      </c>
    </row>
    <row r="65">
      <c r="A65" s="145" t="inlineStr">
        <is>
          <t>C</t>
        </is>
      </c>
      <c r="B65" s="145" t="inlineStr">
        <is>
          <t>🥈 unknown/silent</t>
        </is>
      </c>
      <c r="C65" s="145" t="inlineStr">
        <is>
          <t>US Metro Bank</t>
        </is>
      </c>
      <c r="D65" s="145" t="inlineStr">
        <is>
          <t>Bank</t>
        </is>
      </c>
      <c r="E65" s="145" t="inlineStr">
        <is>
          <t>❌ No card (debit only)</t>
        </is>
      </c>
      <c r="F65" s="145" t="inlineStr">
        <is>
          <t>Business LOC + Term Loans 'simple documentation' (no stated no-tax-return policy); SBA PLP</t>
        </is>
      </c>
      <c r="G65" s="145" t="inlineStr">
        <is>
          <t>—</t>
        </is>
      </c>
      <c r="H65" s="145" t="inlineStr">
        <is>
          <t>N/M</t>
        </is>
      </c>
      <c r="I65" s="145" t="inlineStr">
        <is>
          <t>None</t>
        </is>
      </c>
      <c r="J65" s="145" t="inlineStr">
        <is>
          <t>N/M</t>
        </is>
      </c>
      <c r="K65" s="145" t="n"/>
      <c r="L65" s="145" t="n"/>
      <c r="M65" s="145" t="inlineStr">
        <is>
          <t>N/M</t>
        </is>
      </c>
      <c r="N65" s="145" t="inlineStr">
        <is>
          <t>No</t>
        </is>
      </c>
      <c r="O65" s="145" t="inlineStr">
        <is>
          <t>2742 Sepulveda Blvd, Torrance 90505 (Los Angeles)</t>
        </is>
      </c>
      <c r="P65" s="145" t="inlineStr">
        <is>
          <t>4.5</t>
        </is>
      </c>
      <c r="Q65" s="145" t="inlineStr">
        <is>
          <t>27.1</t>
        </is>
      </c>
      <c r="R65" s="145" t="inlineStr">
        <is>
          <t>1125216</t>
        </is>
      </c>
      <c r="S65" s="145" t="n"/>
      <c r="T65" s="145" t="inlineStr">
        <is>
          <t>N/M</t>
        </is>
      </c>
      <c r="U65" s="145" t="inlineStr">
        <is>
          <t>(base-covered)</t>
        </is>
      </c>
      <c r="V65" s="145" t="inlineStr">
        <is>
          <t>usmetrobank.com/banking-services + /business-loans; consumerfinance.gov (no agreement)</t>
        </is>
      </c>
    </row>
    <row r="66">
      <c r="A66" s="145" t="inlineStr">
        <is>
          <t>C</t>
        </is>
      </c>
      <c r="B66" s="145" t="inlineStr">
        <is>
          <t>🥈 unknown/silent</t>
        </is>
      </c>
      <c r="C66" s="145" t="inlineStr">
        <is>
          <t>MID-CITIES CU</t>
        </is>
      </c>
      <c r="D66" s="145" t="inlineStr">
        <is>
          <t>Credit Union</t>
        </is>
      </c>
      <c r="E66" s="145" t="n"/>
      <c r="F66" s="145" t="n"/>
      <c r="G66" s="145" t="n"/>
      <c r="H66" s="145" t="n"/>
      <c r="I66" s="145" t="n"/>
      <c r="J66" s="145" t="n"/>
      <c r="K66" s="145" t="n"/>
      <c r="L66" s="145" t="n"/>
      <c r="M66" s="145" t="n"/>
      <c r="N66" s="145" t="n"/>
      <c r="O66" s="145" t="inlineStr">
        <is>
          <t>325 S Santa Fe Ave, Compton 90221 (Los Angeles)</t>
        </is>
      </c>
      <c r="P66" s="145" t="inlineStr">
        <is>
          <t>4.6</t>
        </is>
      </c>
      <c r="Q66" s="145" t="inlineStr">
        <is>
          <t>22.3</t>
        </is>
      </c>
      <c r="R66" s="145" t="n"/>
      <c r="S66" s="145" t="inlineStr">
        <is>
          <t>16279430</t>
        </is>
      </c>
      <c r="T66" s="145" t="n"/>
      <c r="U66" s="145" t="inlineStr">
        <is>
          <t>open Compton-area; consumer-only</t>
        </is>
      </c>
      <c r="V66" s="145" t="n"/>
    </row>
    <row r="67">
      <c r="A67" s="145" t="inlineStr">
        <is>
          <t>C</t>
        </is>
      </c>
      <c r="B67" s="145" t="inlineStr">
        <is>
          <t>🥈 unknown/silent</t>
        </is>
      </c>
      <c r="C67" s="145" t="inlineStr">
        <is>
          <t>NORTHROP GRUMMAN CU</t>
        </is>
      </c>
      <c r="D67" s="145" t="inlineStr">
        <is>
          <t>Credit Union</t>
        </is>
      </c>
      <c r="E67" s="145" t="n"/>
      <c r="F67" s="145" t="n"/>
      <c r="G67" s="145" t="n"/>
      <c r="H67" s="145" t="n"/>
      <c r="I67" s="145" t="n"/>
      <c r="J67" s="145" t="n"/>
      <c r="K67" s="145" t="n"/>
      <c r="L67" s="145" t="n"/>
      <c r="M67" s="145" t="n"/>
      <c r="N67" s="145" t="n"/>
      <c r="O67" s="145" t="inlineStr">
        <is>
          <t>879 W 190th St, Gardena 90248 (Los Angeles)</t>
        </is>
      </c>
      <c r="P67" s="145" t="inlineStr">
        <is>
          <t>4.9</t>
        </is>
      </c>
      <c r="Q67" s="145" t="inlineStr">
        <is>
          <t>24.5</t>
        </is>
      </c>
      <c r="R67" s="145" t="n"/>
      <c r="S67" s="145" t="inlineStr">
        <is>
          <t>1653497637</t>
        </is>
      </c>
      <c r="T67" s="145" t="n"/>
      <c r="U67" s="145" t="inlineStr">
        <is>
          <t>SEG; consumer-only</t>
        </is>
      </c>
      <c r="V67" s="145" t="n"/>
    </row>
    <row r="68">
      <c r="A68" s="145" t="inlineStr">
        <is>
          <t>C</t>
        </is>
      </c>
      <c r="B68" s="145" t="inlineStr">
        <is>
          <t>🥈 unknown/silent</t>
        </is>
      </c>
      <c r="C68" s="145" t="inlineStr">
        <is>
          <t>LOS ANGELES CU</t>
        </is>
      </c>
      <c r="D68" s="145" t="inlineStr">
        <is>
          <t>Credit Union</t>
        </is>
      </c>
      <c r="E68" s="145" t="n"/>
      <c r="F68" s="145" t="n"/>
      <c r="G68" s="145" t="n"/>
      <c r="H68" s="145" t="n"/>
      <c r="I68" s="145" t="n"/>
      <c r="J68" s="145" t="n"/>
      <c r="K68" s="145" t="n"/>
      <c r="L68" s="145" t="n"/>
      <c r="M68" s="145" t="n"/>
      <c r="N68" s="145" t="n"/>
      <c r="O68" s="145" t="inlineStr">
        <is>
          <t>1352 W Artesia Blvd, Gardena 90248 (Los Angeles)</t>
        </is>
      </c>
      <c r="P68" s="145" t="inlineStr">
        <is>
          <t>4.9</t>
        </is>
      </c>
      <c r="Q68" s="145" t="inlineStr">
        <is>
          <t>24.5</t>
        </is>
      </c>
      <c r="R68" s="145" t="n"/>
      <c r="S68" s="145" t="inlineStr">
        <is>
          <t>1278292282</t>
        </is>
      </c>
      <c r="T68" s="145" t="n"/>
      <c r="U68" s="145" t="inlineStr">
        <is>
          <t>logged — no data found</t>
        </is>
      </c>
      <c r="V68" s="145" t="n"/>
    </row>
    <row r="69">
      <c r="A69" s="145" t="inlineStr">
        <is>
          <t>C</t>
        </is>
      </c>
      <c r="B69" s="145" t="inlineStr">
        <is>
          <t>🥈 unknown/silent</t>
        </is>
      </c>
      <c r="C69" s="145" t="inlineStr">
        <is>
          <t>First General Bank</t>
        </is>
      </c>
      <c r="D69" s="145" t="inlineStr">
        <is>
          <t>Bank</t>
        </is>
      </c>
      <c r="E69" s="145" t="inlineStr">
        <is>
          <t>⚠️ 'Business Credit Cards' listed (no detail); issuer/terms N/M; no online apply</t>
        </is>
      </c>
      <c r="F69" s="145" t="inlineStr">
        <is>
          <t>None (commercial/SBA/trade finance full-doc)</t>
        </is>
      </c>
      <c r="G69" s="145" t="inlineStr">
        <is>
          <t>N/M (no bank-specific data point found)</t>
        </is>
      </c>
      <c r="H69" s="145" t="inlineStr">
        <is>
          <t>N/M (nothing published)</t>
        </is>
      </c>
      <c r="I69" s="145" t="inlineStr">
        <is>
          <t>Unknown (not disclosed; no portal; likely agent-issued)</t>
        </is>
      </c>
      <c r="J69" s="145" t="inlineStr">
        <is>
          <t>N/M</t>
        </is>
      </c>
      <c r="K69" s="145" t="n"/>
      <c r="L69" s="145" t="n"/>
      <c r="M69" s="145" t="inlineStr">
        <is>
          <t>Likely Yes (relationship)</t>
        </is>
      </c>
      <c r="N69" s="145" t="inlineStr">
        <is>
          <t>In-person</t>
        </is>
      </c>
      <c r="O69" s="145" t="inlineStr">
        <is>
          <t>17808 Pioneer Blvd, Ste 108, Artesia 90701 (Los Angeles)</t>
        </is>
      </c>
      <c r="P69" s="145" t="inlineStr">
        <is>
          <t>5.4</t>
        </is>
      </c>
      <c r="Q69" s="145" t="inlineStr">
        <is>
          <t>19.2</t>
        </is>
      </c>
      <c r="R69" s="145" t="inlineStr">
        <is>
          <t>824031</t>
        </is>
      </c>
      <c r="S69" s="145" t="n"/>
      <c r="T69" s="145" t="inlineStr">
        <is>
          <t>N/M (no forum data)</t>
        </is>
      </c>
      <c r="U69" s="145" t="inlineStr">
        <is>
          <t>(base-covered)</t>
        </is>
      </c>
      <c r="V69" s="145" t="inlineStr">
        <is>
          <t>fgbusa.com/products-and-services/others; fgbusa.com/about/bank-profile; FDIC cert 58060</t>
        </is>
      </c>
    </row>
    <row r="70">
      <c r="A70" s="145" t="inlineStr">
        <is>
          <t>C</t>
        </is>
      </c>
      <c r="B70" s="145" t="inlineStr">
        <is>
          <t>🥈 unknown/silent</t>
        </is>
      </c>
      <c r="C70" s="145" t="inlineStr">
        <is>
          <t>OneUnited Bank</t>
        </is>
      </c>
      <c r="D70" s="145" t="inlineStr">
        <is>
          <t>Bank</t>
        </is>
      </c>
      <c r="E70" s="145" t="inlineStr">
        <is>
          <t>N — only UNITY Visa SECURED consumer card</t>
        </is>
      </c>
      <c r="F70" s="145" t="inlineStr">
        <is>
          <t>N in-house — referral to Lendistry ($50K-$5M, FULL-DOC fintech)</t>
        </is>
      </c>
      <c r="G70" s="145" t="inlineStr">
        <is>
          <t>n/a</t>
        </is>
      </c>
      <c r="H70" s="145" t="inlineStr">
        <is>
          <t>None</t>
        </is>
      </c>
      <c r="I70" s="145" t="inlineStr">
        <is>
          <t>n/a</t>
        </is>
      </c>
      <c r="J70" s="145" t="inlineStr">
        <is>
          <t>N/M</t>
        </is>
      </c>
      <c r="K70" s="145" t="inlineStr">
        <is>
          <t>USES Chex — own U2 second-chance product 'for persons with ChexSystems records' (website verbatim)</t>
        </is>
      </c>
      <c r="L70" s="145" t="inlineStr">
        <is>
          <t>N/M</t>
        </is>
      </c>
      <c r="M70" s="145" t="inlineStr">
        <is>
          <t>Business accounts = BRANCH-ONLY opening</t>
        </is>
      </c>
      <c r="N70" s="145" t="inlineStr">
        <is>
          <t>Branch (business)</t>
        </is>
      </c>
      <c r="O70" s="145" t="inlineStr">
        <is>
          <t>1495 N Wilmington Ave, Compton 90222 (Los Angeles)</t>
        </is>
      </c>
      <c r="P70" s="145" t="inlineStr">
        <is>
          <t>5.6</t>
        </is>
      </c>
      <c r="Q70" s="145" t="inlineStr">
        <is>
          <t>22.9</t>
        </is>
      </c>
      <c r="R70" s="145" t="inlineStr">
        <is>
          <t>476360</t>
        </is>
      </c>
      <c r="S70" s="145" t="n"/>
      <c r="T70" s="145" t="inlineStr">
        <is>
          <t>None (consumer UNITY DPs irrelevant)</t>
        </is>
      </c>
      <c r="U70" s="145" t="inlineStr">
        <is>
          <t>DEAD</t>
        </is>
      </c>
      <c r="V70" s="145" t="inlineStr">
        <is>
          <t>https://www.oneunited.com/business-deposit-products/</t>
        </is>
      </c>
    </row>
    <row r="71">
      <c r="A71" s="145" t="inlineStr">
        <is>
          <t>C</t>
        </is>
      </c>
      <c r="B71" s="145" t="inlineStr">
        <is>
          <t>🥈 unknown/silent</t>
        </is>
      </c>
      <c r="C71" s="145" t="inlineStr">
        <is>
          <t>Enterprise Bank &amp; Trust</t>
        </is>
      </c>
      <c r="D71" s="145" t="inlineStr">
        <is>
          <t>Bank</t>
        </is>
      </c>
      <c r="E71" s="145" t="n"/>
      <c r="F71" s="145" t="n"/>
      <c r="G71" s="145" t="n"/>
      <c r="H71" s="145" t="n"/>
      <c r="I71" s="145" t="n"/>
      <c r="J71" s="145" t="n"/>
      <c r="K71" s="145" t="n"/>
      <c r="L71" s="145" t="n"/>
      <c r="M71" s="145" t="n"/>
      <c r="N71" s="145" t="n"/>
      <c r="O71" s="145" t="inlineStr">
        <is>
          <t>12845 Towne Center Dr, Cerritos 90703 (Los Angeles)</t>
        </is>
      </c>
      <c r="P71" s="145" t="inlineStr">
        <is>
          <t>5.6</t>
        </is>
      </c>
      <c r="Q71" s="145" t="inlineStr">
        <is>
          <t>18.9</t>
        </is>
      </c>
      <c r="R71" s="145" t="inlineStr">
        <is>
          <t>971965</t>
        </is>
      </c>
      <c r="S71" s="145" t="n"/>
      <c r="T71" s="145" t="n"/>
      <c r="U71" s="145" t="inlineStr">
        <is>
          <t>logged — no data found</t>
        </is>
      </c>
      <c r="V71" s="145" t="n"/>
    </row>
    <row r="72">
      <c r="A72" s="145" t="inlineStr">
        <is>
          <t>C</t>
        </is>
      </c>
      <c r="B72" s="145" t="inlineStr">
        <is>
          <t>🥈 unknown/silent</t>
        </is>
      </c>
      <c r="C72" s="145" t="inlineStr">
        <is>
          <t>Wallis Bank</t>
        </is>
      </c>
      <c r="D72" s="145" t="inlineStr">
        <is>
          <t>Bank</t>
        </is>
      </c>
      <c r="E72" s="145" t="n"/>
      <c r="F72" s="145" t="n"/>
      <c r="G72" s="145" t="n"/>
      <c r="H72" s="145" t="n"/>
      <c r="I72" s="145" t="n"/>
      <c r="J72" s="145" t="n"/>
      <c r="K72" s="145" t="n"/>
      <c r="L72" s="145" t="n"/>
      <c r="M72" s="145" t="n"/>
      <c r="N72" s="145" t="n"/>
      <c r="O72" s="145" t="inlineStr">
        <is>
          <t>11900 South St, Cerritos 90703 (Los Angeles)</t>
        </is>
      </c>
      <c r="P72" s="145" t="inlineStr">
        <is>
          <t>5.6</t>
        </is>
      </c>
      <c r="Q72" s="145" t="inlineStr">
        <is>
          <t>18.9</t>
        </is>
      </c>
      <c r="R72" s="145" t="inlineStr">
        <is>
          <t>108598</t>
        </is>
      </c>
      <c r="S72" s="145" t="n"/>
      <c r="T72" s="145" t="n"/>
      <c r="U72" s="145" t="inlineStr">
        <is>
          <t>logged — no data found</t>
        </is>
      </c>
      <c r="V72" s="145" t="n"/>
    </row>
    <row r="73">
      <c r="A73" s="145" t="inlineStr">
        <is>
          <t>C</t>
        </is>
      </c>
      <c r="B73" s="145" t="inlineStr">
        <is>
          <t>🥈 unknown/silent</t>
        </is>
      </c>
      <c r="C73" s="145" t="inlineStr">
        <is>
          <t>POPA CU</t>
        </is>
      </c>
      <c r="D73" s="145" t="inlineStr">
        <is>
          <t>Credit Union</t>
        </is>
      </c>
      <c r="E73" s="145" t="n"/>
      <c r="F73" s="145" t="n"/>
      <c r="G73" s="145" t="n"/>
      <c r="H73" s="145" t="n"/>
      <c r="I73" s="145" t="n"/>
      <c r="J73" s="145" t="n"/>
      <c r="K73" s="145" t="n"/>
      <c r="L73" s="145" t="n"/>
      <c r="M73" s="145" t="n"/>
      <c r="N73" s="145" t="n"/>
      <c r="O73" s="145" t="inlineStr">
        <is>
          <t>13304 Alondra Blvd, Cerritos 90703 (Los Angeles)</t>
        </is>
      </c>
      <c r="P73" s="145" t="inlineStr">
        <is>
          <t>5.6</t>
        </is>
      </c>
      <c r="Q73" s="145" t="inlineStr">
        <is>
          <t>18.9</t>
        </is>
      </c>
      <c r="R73" s="145" t="n"/>
      <c r="S73" s="145" t="inlineStr">
        <is>
          <t>399419595</t>
        </is>
      </c>
      <c r="T73" s="145" t="n"/>
      <c r="U73" s="145" t="inlineStr">
        <is>
          <t>SEG; consumer-only</t>
        </is>
      </c>
      <c r="V73" s="145" t="n"/>
    </row>
    <row r="74">
      <c r="A74" s="145" t="inlineStr">
        <is>
          <t>C</t>
        </is>
      </c>
      <c r="B74" s="145" t="inlineStr">
        <is>
          <t>🥈 unknown/silent</t>
        </is>
      </c>
      <c r="C74" s="145" t="inlineStr">
        <is>
          <t>TIB National Association</t>
        </is>
      </c>
      <c r="D74" s="145" t="inlineStr">
        <is>
          <t>Bank</t>
        </is>
      </c>
      <c r="E74" s="145" t="n"/>
      <c r="F74" s="145" t="n"/>
      <c r="G74" s="145" t="n"/>
      <c r="H74" s="145" t="n"/>
      <c r="I74" s="145" t="n"/>
      <c r="J74" s="145" t="n"/>
      <c r="K74" s="145" t="n"/>
      <c r="L74" s="145" t="n"/>
      <c r="M74" s="145" t="n"/>
      <c r="N74" s="145" t="n"/>
      <c r="O74" s="145" t="inlineStr">
        <is>
          <t>17011 Beach Blvd, Ste 900 Ofc 3, Huntington Beach 92647 (Orange)</t>
        </is>
      </c>
      <c r="P74" s="145" t="inlineStr">
        <is>
          <t>5.8</t>
        </is>
      </c>
      <c r="Q74" s="145" t="inlineStr">
        <is>
          <t>20.0</t>
        </is>
      </c>
      <c r="R74" s="145" t="inlineStr">
        <is>
          <t>174070</t>
        </is>
      </c>
      <c r="S74" s="145" t="n"/>
      <c r="T74" s="145" t="n"/>
      <c r="U74" s="145" t="inlineStr">
        <is>
          <t>logged — no data found</t>
        </is>
      </c>
      <c r="V74" s="145" t="n"/>
    </row>
    <row r="75">
      <c r="A75" s="145" t="inlineStr">
        <is>
          <t>C</t>
        </is>
      </c>
      <c r="B75" s="145" t="inlineStr">
        <is>
          <t>🥈 unknown/silent</t>
        </is>
      </c>
      <c r="C75" s="145" t="inlineStr">
        <is>
          <t>California International Bank, N.A.</t>
        </is>
      </c>
      <c r="D75" s="145" t="inlineStr">
        <is>
          <t>Bank</t>
        </is>
      </c>
      <c r="E75" s="145" t="inlineStr">
        <is>
          <t>❌ No card (commercial/SBA bank; ATM/debit only)</t>
        </is>
      </c>
      <c r="F75" s="145" t="inlineStr">
        <is>
          <t>None (working capital/asset-based/expansion/CRE + SBA full-doc)</t>
        </is>
      </c>
      <c r="G75" s="145" t="inlineStr">
        <is>
          <t>—</t>
        </is>
      </c>
      <c r="H75" s="145" t="inlineStr">
        <is>
          <t>N/M</t>
        </is>
      </c>
      <c r="I75" s="145" t="inlineStr">
        <is>
          <t>None</t>
        </is>
      </c>
      <c r="J75" s="145" t="inlineStr">
        <is>
          <t>N/M</t>
        </is>
      </c>
      <c r="K75" s="145" t="n"/>
      <c r="L75" s="145" t="n"/>
      <c r="M75" s="145" t="inlineStr">
        <is>
          <t>N/M</t>
        </is>
      </c>
      <c r="N75" s="145" t="inlineStr">
        <is>
          <t>No</t>
        </is>
      </c>
      <c r="O75" s="145" t="inlineStr">
        <is>
          <t>15606 Brookhurst St, Westminster 92683 (Orange)</t>
        </is>
      </c>
      <c r="P75" s="145" t="inlineStr">
        <is>
          <t>6.1</t>
        </is>
      </c>
      <c r="Q75" s="145" t="inlineStr">
        <is>
          <t>19.1</t>
        </is>
      </c>
      <c r="R75" s="145" t="inlineStr">
        <is>
          <t>62775</t>
        </is>
      </c>
      <c r="S75" s="145" t="n"/>
      <c r="T75" s="145" t="inlineStr">
        <is>
          <t>N/M</t>
        </is>
      </c>
      <c r="U75" s="145" t="inlineStr">
        <is>
          <t>(base-covered)</t>
        </is>
      </c>
      <c r="V75" s="145" t="inlineStr">
        <is>
          <t>cali.bank (product pages); FDIC cert 57974</t>
        </is>
      </c>
    </row>
    <row r="76">
      <c r="A76" s="145" t="inlineStr">
        <is>
          <t>C</t>
        </is>
      </c>
      <c r="B76" s="145" t="inlineStr">
        <is>
          <t>🥈 unknown/silent</t>
        </is>
      </c>
      <c r="C76" s="145" t="inlineStr">
        <is>
          <t>HUNTINGTON BEACH CU</t>
        </is>
      </c>
      <c r="D76" s="145" t="inlineStr">
        <is>
          <t>Credit Union</t>
        </is>
      </c>
      <c r="E76" s="145" t="n"/>
      <c r="F76" s="145" t="n"/>
      <c r="G76" s="145" t="n"/>
      <c r="H76" s="145" t="n"/>
      <c r="I76" s="145" t="n"/>
      <c r="J76" s="145" t="n"/>
      <c r="K76" s="145" t="n"/>
      <c r="L76" s="145" t="n"/>
      <c r="M76" s="145" t="n"/>
      <c r="N76" s="145" t="n"/>
      <c r="O76" s="145" t="inlineStr">
        <is>
          <t>2000 Main St # B272, Huntington Beach 92648 (Orange)</t>
        </is>
      </c>
      <c r="P76" s="145" t="inlineStr">
        <is>
          <t>6.1</t>
        </is>
      </c>
      <c r="Q76" s="145" t="inlineStr">
        <is>
          <t>21.1</t>
        </is>
      </c>
      <c r="R76" s="145" t="n"/>
      <c r="S76" s="145" t="inlineStr">
        <is>
          <t>55824368</t>
        </is>
      </c>
      <c r="T76" s="145" t="n"/>
      <c r="U76" s="145" t="inlineStr">
        <is>
          <t>open HB; consumer-only</t>
        </is>
      </c>
      <c r="V76" s="145" t="n"/>
    </row>
    <row r="77">
      <c r="A77" s="145" t="inlineStr">
        <is>
          <t>C</t>
        </is>
      </c>
      <c r="B77" s="145" t="inlineStr">
        <is>
          <t>🥈 unknown/silent</t>
        </is>
      </c>
      <c r="C77" s="145" t="inlineStr">
        <is>
          <t>RANCHO CU</t>
        </is>
      </c>
      <c r="D77" s="145" t="inlineStr">
        <is>
          <t>Credit Union</t>
        </is>
      </c>
      <c r="E77" s="145" t="n"/>
      <c r="F77" s="145" t="n"/>
      <c r="G77" s="145" t="n"/>
      <c r="H77" s="145" t="n"/>
      <c r="I77" s="145" t="n"/>
      <c r="J77" s="145" t="n"/>
      <c r="K77" s="145" t="n"/>
      <c r="L77" s="145" t="n"/>
      <c r="M77" s="145" t="n"/>
      <c r="N77" s="145" t="n"/>
      <c r="O77" s="145" t="inlineStr">
        <is>
          <t>12620 Erickson Ave Ste H, Downey 90242 (Los Angeles)</t>
        </is>
      </c>
      <c r="P77" s="145" t="inlineStr">
        <is>
          <t>6.2</t>
        </is>
      </c>
      <c r="Q77" s="145" t="inlineStr">
        <is>
          <t>20.2</t>
        </is>
      </c>
      <c r="R77" s="145" t="n"/>
      <c r="S77" s="145" t="inlineStr">
        <is>
          <t>110306322</t>
        </is>
      </c>
      <c r="T77" s="145" t="n"/>
      <c r="U77" s="145" t="inlineStr">
        <is>
          <t>SEG; consumer-only</t>
        </is>
      </c>
      <c r="V77" s="145" t="n"/>
    </row>
    <row r="78">
      <c r="A78" s="145" t="inlineStr">
        <is>
          <t>C</t>
        </is>
      </c>
      <c r="B78" s="145" t="inlineStr">
        <is>
          <t>🥈 unknown/silent</t>
        </is>
      </c>
      <c r="C78" s="145" t="inlineStr">
        <is>
          <t>DOWNEY CU</t>
        </is>
      </c>
      <c r="D78" s="145" t="inlineStr">
        <is>
          <t>Credit Union</t>
        </is>
      </c>
      <c r="E78" s="145" t="n"/>
      <c r="F78" s="145" t="n"/>
      <c r="G78" s="145" t="n"/>
      <c r="H78" s="145" t="n"/>
      <c r="I78" s="145" t="n"/>
      <c r="J78" s="145" t="n"/>
      <c r="K78" s="145" t="n"/>
      <c r="L78" s="145" t="n"/>
      <c r="M78" s="145" t="n"/>
      <c r="N78" s="145" t="n"/>
      <c r="O78" s="145" t="inlineStr">
        <is>
          <t>8237 3rd St, Downey 90241 (Los Angeles)</t>
        </is>
      </c>
      <c r="P78" s="145" t="inlineStr">
        <is>
          <t>6.9</t>
        </is>
      </c>
      <c r="Q78" s="145" t="inlineStr">
        <is>
          <t>19.7</t>
        </is>
      </c>
      <c r="R78" s="145" t="n"/>
      <c r="S78" s="145" t="inlineStr">
        <is>
          <t>331199402</t>
        </is>
      </c>
      <c r="T78" s="145" t="n"/>
      <c r="U78" s="145" t="inlineStr">
        <is>
          <t>consumer-only (screened)</t>
        </is>
      </c>
      <c r="V78" s="145" t="n"/>
    </row>
    <row r="79">
      <c r="A79" s="145" t="inlineStr">
        <is>
          <t>C</t>
        </is>
      </c>
      <c r="B79" s="145" t="inlineStr">
        <is>
          <t>🥈 unknown/silent</t>
        </is>
      </c>
      <c r="C79" s="145" t="inlineStr">
        <is>
          <t>SKYONE CU</t>
        </is>
      </c>
      <c r="D79" s="145" t="inlineStr">
        <is>
          <t>Credit Union</t>
        </is>
      </c>
      <c r="E79" s="145" t="n"/>
      <c r="F79" s="145" t="n"/>
      <c r="G79" s="145" t="n"/>
      <c r="H79" s="145" t="n"/>
      <c r="I79" s="145" t="n"/>
      <c r="J79" s="145" t="n"/>
      <c r="K79" s="145" t="n"/>
      <c r="L79" s="145" t="n"/>
      <c r="M79" s="145" t="n"/>
      <c r="N79" s="145" t="n"/>
      <c r="O79" s="145" t="inlineStr">
        <is>
          <t>14600 Aviation Blvd, Hawthorne 90250 (Los Angeles)</t>
        </is>
      </c>
      <c r="P79" s="145" t="inlineStr">
        <is>
          <t>7.0</t>
        </is>
      </c>
      <c r="Q79" s="145" t="inlineStr">
        <is>
          <t>26.1</t>
        </is>
      </c>
      <c r="R79" s="145" t="n"/>
      <c r="S79" s="145" t="inlineStr">
        <is>
          <t>875824070</t>
        </is>
      </c>
      <c r="T79" s="145" t="n"/>
      <c r="U79" s="145" t="inlineStr">
        <is>
          <t>logged — no data found</t>
        </is>
      </c>
      <c r="V79" s="145" t="n"/>
    </row>
    <row r="80">
      <c r="A80" s="145" t="inlineStr">
        <is>
          <t>C</t>
        </is>
      </c>
      <c r="B80" s="145" t="inlineStr">
        <is>
          <t>🥈 unknown/silent</t>
        </is>
      </c>
      <c r="C80" s="145" t="inlineStr">
        <is>
          <t>CENTER CITY COMMUNITY CU</t>
        </is>
      </c>
      <c r="D80" s="145" t="inlineStr">
        <is>
          <t>Credit Union</t>
        </is>
      </c>
      <c r="E80" s="145" t="n"/>
      <c r="F80" s="145" t="n"/>
      <c r="G80" s="145" t="n"/>
      <c r="H80" s="145" t="n"/>
      <c r="I80" s="145" t="n"/>
      <c r="J80" s="145" t="n"/>
      <c r="K80" s="145" t="n"/>
      <c r="L80" s="145" t="n"/>
      <c r="M80" s="145" t="n"/>
      <c r="N80" s="145" t="n"/>
      <c r="O80" s="145" t="inlineStr">
        <is>
          <t>6281 Beach Blvd Ste 87, Buena Park 90621 (Orange)</t>
        </is>
      </c>
      <c r="P80" s="145" t="inlineStr">
        <is>
          <t>7.5</t>
        </is>
      </c>
      <c r="Q80" s="145" t="inlineStr">
        <is>
          <t>16.8</t>
        </is>
      </c>
      <c r="R80" s="145" t="n"/>
      <c r="S80" s="145" t="inlineStr">
        <is>
          <t>25266816</t>
        </is>
      </c>
      <c r="T80" s="145" t="n"/>
      <c r="U80" s="145" t="inlineStr">
        <is>
          <t>open Buena Park micro</t>
        </is>
      </c>
      <c r="V80" s="145" t="n"/>
    </row>
    <row r="81">
      <c r="A81" s="145" t="inlineStr">
        <is>
          <t>C</t>
        </is>
      </c>
      <c r="B81" s="145" t="inlineStr">
        <is>
          <t>🥈 unknown/silent</t>
        </is>
      </c>
      <c r="C81" s="145" t="inlineStr">
        <is>
          <t>FOUNTAIN VALLEY CU</t>
        </is>
      </c>
      <c r="D81" s="145" t="inlineStr">
        <is>
          <t>Credit Union</t>
        </is>
      </c>
      <c r="E81" s="145" t="n"/>
      <c r="F81" s="145" t="n"/>
      <c r="G81" s="145" t="n"/>
      <c r="H81" s="145" t="n"/>
      <c r="I81" s="145" t="n"/>
      <c r="J81" s="145" t="n"/>
      <c r="K81" s="145" t="n"/>
      <c r="L81" s="145" t="n"/>
      <c r="M81" s="145" t="n"/>
      <c r="N81" s="145" t="n"/>
      <c r="O81" s="145" t="inlineStr">
        <is>
          <t>10200 Slater Ave, Fountain Valley 92708 (Orange)</t>
        </is>
      </c>
      <c r="P81" s="145" t="inlineStr">
        <is>
          <t>7.5</t>
        </is>
      </c>
      <c r="Q81" s="145" t="inlineStr">
        <is>
          <t>19.1</t>
        </is>
      </c>
      <c r="R81" s="145" t="n"/>
      <c r="S81" s="145" t="inlineStr">
        <is>
          <t>1964804</t>
        </is>
      </c>
      <c r="T81" s="145" t="n"/>
      <c r="U81" s="145" t="inlineStr">
        <is>
          <t>micro 172-member</t>
        </is>
      </c>
      <c r="V81" s="145" t="n"/>
    </row>
    <row r="82">
      <c r="A82" s="145" t="inlineStr">
        <is>
          <t>C</t>
        </is>
      </c>
      <c r="B82" s="145" t="inlineStr">
        <is>
          <t>🥈 unknown/silent</t>
        </is>
      </c>
      <c r="C82" s="145" t="inlineStr">
        <is>
          <t>PASADENA CU</t>
        </is>
      </c>
      <c r="D82" s="145" t="inlineStr">
        <is>
          <t>Credit Union</t>
        </is>
      </c>
      <c r="E82" s="145" t="n"/>
      <c r="F82" s="145" t="n"/>
      <c r="G82" s="145" t="n"/>
      <c r="H82" s="145" t="n"/>
      <c r="I82" s="145" t="n"/>
      <c r="J82" s="145" t="n"/>
      <c r="K82" s="145" t="n"/>
      <c r="L82" s="145" t="n"/>
      <c r="M82" s="145" t="n"/>
      <c r="N82" s="145" t="n"/>
      <c r="O82" s="145" t="inlineStr">
        <is>
          <t>6840 Eastern Ave Ste B, Bell Gardens 90201 (Los Angeles)</t>
        </is>
      </c>
      <c r="P82" s="145" t="inlineStr">
        <is>
          <t>7.6</t>
        </is>
      </c>
      <c r="Q82" s="145" t="inlineStr">
        <is>
          <t>20.6</t>
        </is>
      </c>
      <c r="R82" s="145" t="n"/>
      <c r="S82" s="145" t="inlineStr">
        <is>
          <t>381308071</t>
        </is>
      </c>
      <c r="T82" s="145" t="n"/>
      <c r="U82" s="145" t="inlineStr">
        <is>
          <t>logged — no data found</t>
        </is>
      </c>
      <c r="V82" s="145" t="n"/>
    </row>
    <row r="83">
      <c r="A83" s="145" t="inlineStr">
        <is>
          <t>C</t>
        </is>
      </c>
      <c r="B83" s="145" t="inlineStr">
        <is>
          <t>🥈 unknown/silent</t>
        </is>
      </c>
      <c r="C83" s="145" t="inlineStr">
        <is>
          <t>AMERICAN AIRLINES CU</t>
        </is>
      </c>
      <c r="D83" s="145" t="inlineStr">
        <is>
          <t>Credit Union</t>
        </is>
      </c>
      <c r="E83" s="145" t="n"/>
      <c r="F83" s="145" t="n"/>
      <c r="G83" s="145" t="n"/>
      <c r="H83" s="145" t="n"/>
      <c r="I83" s="145" t="n"/>
      <c r="J83" s="145" t="n"/>
      <c r="K83" s="145" t="n"/>
      <c r="L83" s="145" t="n"/>
      <c r="M83" s="145" t="n"/>
      <c r="N83" s="145" t="n"/>
      <c r="O83" s="145" t="inlineStr">
        <is>
          <t>300 Continental Blvd, El Segundo 90245 (Los Angeles)</t>
        </is>
      </c>
      <c r="P83" s="145" t="inlineStr">
        <is>
          <t>8.0</t>
        </is>
      </c>
      <c r="Q83" s="145" t="inlineStr">
        <is>
          <t>27.5</t>
        </is>
      </c>
      <c r="R83" s="145" t="n"/>
      <c r="S83" s="145" t="inlineStr">
        <is>
          <t>9448440753</t>
        </is>
      </c>
      <c r="T83" s="145" t="n"/>
      <c r="U83" s="145" t="inlineStr">
        <is>
          <t>SEG air-transport; HAS biz Visa — FOM-gated SKIP</t>
        </is>
      </c>
      <c r="V83" s="145" t="n"/>
    </row>
    <row r="84">
      <c r="A84" s="145" t="inlineStr">
        <is>
          <t>C</t>
        </is>
      </c>
      <c r="B84" s="145" t="inlineStr">
        <is>
          <t>🥈 unknown/silent</t>
        </is>
      </c>
      <c r="C84" s="145" t="inlineStr">
        <is>
          <t>CHEVRON CU</t>
        </is>
      </c>
      <c r="D84" s="145" t="inlineStr">
        <is>
          <t>Credit Union</t>
        </is>
      </c>
      <c r="E84" s="145" t="n"/>
      <c r="F84" s="145" t="n"/>
      <c r="G84" s="145" t="n"/>
      <c r="H84" s="145" t="n"/>
      <c r="I84" s="145" t="n"/>
      <c r="J84" s="145" t="n"/>
      <c r="K84" s="145" t="n"/>
      <c r="L84" s="145" t="n"/>
      <c r="M84" s="145" t="n"/>
      <c r="N84" s="145" t="n"/>
      <c r="O84" s="145" t="inlineStr">
        <is>
          <t>324 W El Segundo Blvd, El Segundo 90245 (Los Angeles)</t>
        </is>
      </c>
      <c r="P84" s="145" t="inlineStr">
        <is>
          <t>8.0</t>
        </is>
      </c>
      <c r="Q84" s="145" t="inlineStr">
        <is>
          <t>27.5</t>
        </is>
      </c>
      <c r="R84" s="145" t="n"/>
      <c r="S84" s="145" t="inlineStr">
        <is>
          <t>5440106627</t>
        </is>
      </c>
      <c r="T84" s="145" t="n"/>
      <c r="U84" s="145" t="inlineStr">
        <is>
          <t>SEG Chevron; consumer-only</t>
        </is>
      </c>
      <c r="V84" s="145" t="n"/>
    </row>
    <row r="85">
      <c r="A85" s="145" t="inlineStr">
        <is>
          <t>C</t>
        </is>
      </c>
      <c r="B85" s="145" t="inlineStr">
        <is>
          <t>🥈 unknown/silent</t>
        </is>
      </c>
      <c r="C85" s="145" t="inlineStr">
        <is>
          <t>FEDEX EMPLOYEES CREDIT ASSOCIATION</t>
        </is>
      </c>
      <c r="D85" s="145" t="inlineStr">
        <is>
          <t>Credit Union</t>
        </is>
      </c>
      <c r="E85" s="145" t="n"/>
      <c r="F85" s="145" t="n"/>
      <c r="G85" s="145" t="n"/>
      <c r="H85" s="145" t="n"/>
      <c r="I85" s="145" t="n"/>
      <c r="J85" s="145" t="n"/>
      <c r="K85" s="145" t="n"/>
      <c r="L85" s="145" t="n"/>
      <c r="M85" s="145" t="n"/>
      <c r="N85" s="145" t="n"/>
      <c r="O85" s="145" t="inlineStr">
        <is>
          <t>2333 Utah Ave, El Segundo 90245 (Los Angeles)</t>
        </is>
      </c>
      <c r="P85" s="145" t="inlineStr">
        <is>
          <t>8.0</t>
        </is>
      </c>
      <c r="Q85" s="145" t="inlineStr">
        <is>
          <t>27.5</t>
        </is>
      </c>
      <c r="R85" s="145" t="n"/>
      <c r="S85" s="145" t="inlineStr">
        <is>
          <t>641452230</t>
        </is>
      </c>
      <c r="T85" s="145" t="n"/>
      <c r="U85" s="145" t="inlineStr">
        <is>
          <t>SEG FedEx</t>
        </is>
      </c>
      <c r="V85" s="145" t="n"/>
    </row>
    <row r="86">
      <c r="A86" s="145" t="inlineStr">
        <is>
          <t>C</t>
        </is>
      </c>
      <c r="B86" s="145" t="inlineStr">
        <is>
          <t>🥈 unknown/silent</t>
        </is>
      </c>
      <c r="C86" s="145" t="inlineStr">
        <is>
          <t>AEROSPACE CU</t>
        </is>
      </c>
      <c r="D86" s="145" t="inlineStr">
        <is>
          <t>Credit Union</t>
        </is>
      </c>
      <c r="E86" s="145" t="n"/>
      <c r="F86" s="145" t="n"/>
      <c r="G86" s="145" t="n"/>
      <c r="H86" s="145" t="n"/>
      <c r="I86" s="145" t="n"/>
      <c r="J86" s="145" t="n"/>
      <c r="K86" s="145" t="n"/>
      <c r="L86" s="145" t="n"/>
      <c r="M86" s="145" t="n"/>
      <c r="N86" s="145" t="n"/>
      <c r="O86" s="145" t="inlineStr">
        <is>
          <t>2310 E El Segundo Blvd, El Segundo 90245 (Los Angeles)</t>
        </is>
      </c>
      <c r="P86" s="145" t="inlineStr">
        <is>
          <t>8.0</t>
        </is>
      </c>
      <c r="Q86" s="145" t="inlineStr">
        <is>
          <t>27.5</t>
        </is>
      </c>
      <c r="R86" s="145" t="n"/>
      <c r="S86" s="145" t="inlineStr">
        <is>
          <t>422785090</t>
        </is>
      </c>
      <c r="T86" s="145" t="n"/>
      <c r="U86" s="145" t="inlineStr">
        <is>
          <t>SEG; consumer-only</t>
        </is>
      </c>
      <c r="V86" s="145" t="n"/>
    </row>
    <row r="87">
      <c r="A87" s="145" t="inlineStr">
        <is>
          <t>C</t>
        </is>
      </c>
      <c r="B87" s="145" t="inlineStr">
        <is>
          <t>🥈 unknown/silent</t>
        </is>
      </c>
      <c r="C87" s="145" t="inlineStr">
        <is>
          <t>EAGLE COMMUNITY CU</t>
        </is>
      </c>
      <c r="D87" s="145" t="inlineStr">
        <is>
          <t>Credit Union</t>
        </is>
      </c>
      <c r="E87" s="145" t="n"/>
      <c r="F87" s="145" t="n"/>
      <c r="G87" s="145" t="n"/>
      <c r="H87" s="145" t="n"/>
      <c r="I87" s="145" t="n"/>
      <c r="J87" s="145" t="n"/>
      <c r="K87" s="145" t="n"/>
      <c r="L87" s="145" t="n"/>
      <c r="M87" s="145" t="n"/>
      <c r="N87" s="145" t="n"/>
      <c r="O87" s="145" t="inlineStr">
        <is>
          <t>12934 Harbor Blvd, Garden Grove 92840 (Orange)</t>
        </is>
      </c>
      <c r="P87" s="145" t="inlineStr">
        <is>
          <t>8.0</t>
        </is>
      </c>
      <c r="Q87" s="145" t="inlineStr">
        <is>
          <t>16.9</t>
        </is>
      </c>
      <c r="R87" s="145" t="n"/>
      <c r="S87" s="145" t="inlineStr">
        <is>
          <t>411440538</t>
        </is>
      </c>
      <c r="T87" s="145" t="n"/>
      <c r="U87" s="145" t="inlineStr">
        <is>
          <t>logged — no data found</t>
        </is>
      </c>
      <c r="V87" s="145" t="n"/>
    </row>
    <row r="88">
      <c r="A88" s="145" t="inlineStr">
        <is>
          <t>C</t>
        </is>
      </c>
      <c r="B88" s="145" t="inlineStr">
        <is>
          <t>🥈 unknown/silent</t>
        </is>
      </c>
      <c r="C88" s="145" t="inlineStr">
        <is>
          <t>City First Bank, National Association</t>
        </is>
      </c>
      <c r="D88" s="145" t="inlineStr">
        <is>
          <t>Bank</t>
        </is>
      </c>
      <c r="E88" s="145" t="n"/>
      <c r="F88" s="145" t="n"/>
      <c r="G88" s="145" t="n"/>
      <c r="H88" s="145" t="n"/>
      <c r="I88" s="145" t="n"/>
      <c r="J88" s="145" t="n"/>
      <c r="K88" s="145" t="inlineStr">
        <is>
          <t>⚠ DoC has multiple same-name entries ('FirstBank', 'First Bank (Myfirstbank)'=CO, 'First Bank &amp; Trust', 'First Bank Financial Center') — none clearly the Missouri first.bank → treat as Not listed</t>
        </is>
      </c>
      <c r="L88" s="145" t="inlineStr">
        <is>
          <t>Not mentioned</t>
        </is>
      </c>
      <c r="M88" s="145" t="n"/>
      <c r="N88" s="145" t="n"/>
      <c r="O88" s="145" t="inlineStr">
        <is>
          <t>170 N Market St, Inglewood 90301 (Los Angeles)</t>
        </is>
      </c>
      <c r="P88" s="145" t="inlineStr">
        <is>
          <t>8.3</t>
        </is>
      </c>
      <c r="Q88" s="145" t="inlineStr">
        <is>
          <t>26.0</t>
        </is>
      </c>
      <c r="R88" s="145" t="inlineStr">
        <is>
          <t>254982</t>
        </is>
      </c>
      <c r="S88" s="145" t="n"/>
      <c r="T88" s="145" t="n"/>
      <c r="U88" s="145" t="inlineStr">
        <is>
          <t>logged — no data found</t>
        </is>
      </c>
      <c r="V88" s="145" t="n"/>
    </row>
    <row r="89">
      <c r="A89" s="145" t="inlineStr">
        <is>
          <t>C</t>
        </is>
      </c>
      <c r="B89" s="145" t="inlineStr">
        <is>
          <t>🥈 unknown/silent</t>
        </is>
      </c>
      <c r="C89" s="145" t="inlineStr">
        <is>
          <t>PARTNERS CU</t>
        </is>
      </c>
      <c r="D89" s="145" t="inlineStr">
        <is>
          <t>Credit Union</t>
        </is>
      </c>
      <c r="E89" s="145" t="n"/>
      <c r="F89" s="145" t="n"/>
      <c r="G89" s="145" t="n"/>
      <c r="H89" s="145" t="n"/>
      <c r="I89" s="145" t="n"/>
      <c r="J89" s="145" t="n"/>
      <c r="K89" s="145" t="n"/>
      <c r="L89" s="145" t="n"/>
      <c r="M89" s="145" t="n"/>
      <c r="N89" s="145" t="n"/>
      <c r="O89" s="145" t="inlineStr">
        <is>
          <t>700 W Ball Rd, Anaheim 92802 (Orange)</t>
        </is>
      </c>
      <c r="P89" s="145" t="inlineStr">
        <is>
          <t>8.4</t>
        </is>
      </c>
      <c r="Q89" s="145" t="inlineStr">
        <is>
          <t>16.3</t>
        </is>
      </c>
      <c r="R89" s="145" t="n"/>
      <c r="S89" s="145" t="inlineStr">
        <is>
          <t>2799229823</t>
        </is>
      </c>
      <c r="T89" s="145" t="n"/>
      <c r="U89" s="145" t="inlineStr">
        <is>
          <t>logged — no data found</t>
        </is>
      </c>
      <c r="V89" s="145" t="n"/>
    </row>
    <row r="90">
      <c r="A90" s="145" t="inlineStr">
        <is>
          <t>C</t>
        </is>
      </c>
      <c r="B90" s="145" t="inlineStr">
        <is>
          <t>🥈 unknown/silent</t>
        </is>
      </c>
      <c r="C90" s="145" t="inlineStr">
        <is>
          <t>L. A. ELECTRICAL WORKERS CREDIT UN.</t>
        </is>
      </c>
      <c r="D90" s="145" t="inlineStr">
        <is>
          <t>Credit Union</t>
        </is>
      </c>
      <c r="E90" s="145" t="n"/>
      <c r="F90" s="145" t="n"/>
      <c r="G90" s="145" t="n"/>
      <c r="H90" s="145" t="n"/>
      <c r="I90" s="145" t="n"/>
      <c r="J90" s="145" t="n"/>
      <c r="K90" s="145" t="n"/>
      <c r="L90" s="145" t="n"/>
      <c r="M90" s="145" t="n"/>
      <c r="N90" s="145" t="n"/>
      <c r="O90" s="145" t="inlineStr">
        <is>
          <t>6023 GARFIELD AVE, COMMERCE 90040 (Los Angeles)</t>
        </is>
      </c>
      <c r="P90" s="145" t="inlineStr">
        <is>
          <t>8.6</t>
        </is>
      </c>
      <c r="Q90" s="145" t="inlineStr">
        <is>
          <t>19.9</t>
        </is>
      </c>
      <c r="R90" s="145" t="n"/>
      <c r="S90" s="145" t="inlineStr">
        <is>
          <t>53963437</t>
        </is>
      </c>
      <c r="T90" s="145" t="n"/>
      <c r="U90" s="145" t="inlineStr">
        <is>
          <t>union IBEW-11</t>
        </is>
      </c>
      <c r="V90" s="145" t="n"/>
    </row>
    <row r="91">
      <c r="A91" s="145" t="inlineStr">
        <is>
          <t>C</t>
        </is>
      </c>
      <c r="B91" s="145" t="inlineStr">
        <is>
          <t>🥈 unknown/silent</t>
        </is>
      </c>
      <c r="C91" s="145" t="inlineStr">
        <is>
          <t>FOX CU</t>
        </is>
      </c>
      <c r="D91" s="145" t="inlineStr">
        <is>
          <t>Credit Union</t>
        </is>
      </c>
      <c r="E91" s="145" t="n"/>
      <c r="F91" s="145" t="n"/>
      <c r="G91" s="145" t="n"/>
      <c r="H91" s="145" t="n"/>
      <c r="I91" s="145" t="n"/>
      <c r="J91" s="145" t="n"/>
      <c r="K91" s="145" t="n"/>
      <c r="L91" s="145" t="n"/>
      <c r="M91" s="145" t="n"/>
      <c r="N91" s="145" t="n"/>
      <c r="O91" s="145" t="inlineStr">
        <is>
          <t>6277 E Slauson Ave, Commerce 90040 (Los Angeles)</t>
        </is>
      </c>
      <c r="P91" s="145" t="inlineStr">
        <is>
          <t>8.6</t>
        </is>
      </c>
      <c r="Q91" s="145" t="inlineStr">
        <is>
          <t>19.9</t>
        </is>
      </c>
      <c r="R91" s="145" t="n"/>
      <c r="S91" s="145" t="inlineStr">
        <is>
          <t>38149010</t>
        </is>
      </c>
      <c r="T91" s="145" t="n"/>
      <c r="U91" s="145" t="inlineStr">
        <is>
          <t>SEG Fox; consumer-only</t>
        </is>
      </c>
      <c r="V91" s="145" t="n"/>
    </row>
    <row r="92">
      <c r="A92" s="145" t="inlineStr">
        <is>
          <t>C</t>
        </is>
      </c>
      <c r="B92" s="145" t="inlineStr">
        <is>
          <t>🥈 unknown/silent</t>
        </is>
      </c>
      <c r="C92" s="145" t="inlineStr">
        <is>
          <t>COMUNIDAD LATINA CU</t>
        </is>
      </c>
      <c r="D92" s="145" t="inlineStr">
        <is>
          <t>Credit Union</t>
        </is>
      </c>
      <c r="E92" s="145" t="n"/>
      <c r="F92" s="145" t="n"/>
      <c r="G92" s="145" t="n"/>
      <c r="H92" s="145" t="n"/>
      <c r="I92" s="145" t="n"/>
      <c r="J92" s="145" t="n"/>
      <c r="K92" s="145" t="n"/>
      <c r="L92" s="145" t="n"/>
      <c r="M92" s="145" t="n"/>
      <c r="N92" s="145" t="n"/>
      <c r="O92" s="145" t="inlineStr">
        <is>
          <t>1325 W WARNER AVE, SANTA ANA 92704 (Orange)</t>
        </is>
      </c>
      <c r="P92" s="145" t="inlineStr">
        <is>
          <t>8.7</t>
        </is>
      </c>
      <c r="Q92" s="145" t="inlineStr">
        <is>
          <t>17.9</t>
        </is>
      </c>
      <c r="R92" s="145" t="n"/>
      <c r="S92" s="145" t="inlineStr">
        <is>
          <t>11186420</t>
        </is>
      </c>
      <c r="T92" s="145" t="n"/>
      <c r="U92" s="145" t="inlineStr">
        <is>
          <t>open micro CDFI; consumer-only</t>
        </is>
      </c>
      <c r="V92" s="145" t="n"/>
    </row>
    <row r="93">
      <c r="A93" s="145" t="inlineStr">
        <is>
          <t>C</t>
        </is>
      </c>
      <c r="B93" s="145" t="inlineStr">
        <is>
          <t>🥈 unknown/silent</t>
        </is>
      </c>
      <c r="C93" s="145" t="inlineStr">
        <is>
          <t>Wilmington Trust, National Association</t>
        </is>
      </c>
      <c r="D93" s="145" t="inlineStr">
        <is>
          <t>Bank</t>
        </is>
      </c>
      <c r="E93" s="145" t="n"/>
      <c r="F93" s="145" t="n"/>
      <c r="G93" s="145" t="n"/>
      <c r="H93" s="145" t="n"/>
      <c r="I93" s="145" t="n"/>
      <c r="J93" s="145" t="n"/>
      <c r="K93" s="145" t="n"/>
      <c r="L93" s="145" t="n"/>
      <c r="M93" s="145" t="n"/>
      <c r="N93" s="145" t="n"/>
      <c r="O93" s="145" t="inlineStr">
        <is>
          <t>650 Town Center Dr, Costa Mesa 92626 (Orange)</t>
        </is>
      </c>
      <c r="P93" s="145" t="inlineStr">
        <is>
          <t>8.9</t>
        </is>
      </c>
      <c r="Q93" s="145" t="inlineStr">
        <is>
          <t>19.0</t>
        </is>
      </c>
      <c r="R93" s="145" t="inlineStr">
        <is>
          <t>0</t>
        </is>
      </c>
      <c r="S93" s="145" t="n"/>
      <c r="T93" s="145" t="n"/>
      <c r="U93" s="145" t="inlineStr">
        <is>
          <t>logged — no data found</t>
        </is>
      </c>
      <c r="V93" s="145" t="n"/>
    </row>
    <row r="94">
      <c r="A94" s="145" t="inlineStr">
        <is>
          <t>C</t>
        </is>
      </c>
      <c r="B94" s="145" t="inlineStr">
        <is>
          <t>🥈 unknown/silent</t>
        </is>
      </c>
      <c r="C94" s="145" t="inlineStr">
        <is>
          <t>Commercial Bank of California</t>
        </is>
      </c>
      <c r="D94" s="145" t="inlineStr">
        <is>
          <t>Bank</t>
        </is>
      </c>
      <c r="E94" s="145" t="inlineStr">
        <is>
          <t>❌ No card (merchant acquirer, not issuer)</t>
        </is>
      </c>
      <c r="F94" s="145" t="inlineStr">
        <is>
          <t>None (working-capital/ABL LOC, term, SBA PLP, USDA, equipment - underwritten)</t>
        </is>
      </c>
      <c r="G94" s="145" t="inlineStr">
        <is>
          <t>—</t>
        </is>
      </c>
      <c r="H94" s="145" t="inlineStr">
        <is>
          <t>N/M</t>
        </is>
      </c>
      <c r="I94" s="145" t="inlineStr">
        <is>
          <t>None (card acceptance, not issuance)</t>
        </is>
      </c>
      <c r="J94" s="145" t="inlineStr">
        <is>
          <t>N/M</t>
        </is>
      </c>
      <c r="K94" s="145" t="n"/>
      <c r="L94" s="145" t="n"/>
      <c r="M94" s="145" t="inlineStr">
        <is>
          <t>N/M</t>
        </is>
      </c>
      <c r="N94" s="145" t="inlineStr">
        <is>
          <t>No</t>
        </is>
      </c>
      <c r="O94" s="145" t="inlineStr">
        <is>
          <t>575 Anton Blvd, Ste 140, Costa Mesa 92626 (Orange)</t>
        </is>
      </c>
      <c r="P94" s="145" t="inlineStr">
        <is>
          <t>8.9</t>
        </is>
      </c>
      <c r="Q94" s="145" t="inlineStr">
        <is>
          <t>19.0</t>
        </is>
      </c>
      <c r="R94" s="145" t="inlineStr">
        <is>
          <t>2291372</t>
        </is>
      </c>
      <c r="S94" s="145" t="n"/>
      <c r="T94" s="145" t="inlineStr">
        <is>
          <t>N/M</t>
        </is>
      </c>
      <c r="U94" s="145" t="inlineStr">
        <is>
          <t>(base-covered)</t>
        </is>
      </c>
      <c r="V94" s="145" t="inlineStr">
        <is>
          <t>cbcal.com/business-lending + /payment-processing + /locations; FDIC cert 57417</t>
        </is>
      </c>
    </row>
    <row r="95">
      <c r="A95" s="145" t="inlineStr">
        <is>
          <t>C</t>
        </is>
      </c>
      <c r="B95" s="145" t="inlineStr">
        <is>
          <t>🥈 unknown/silent</t>
        </is>
      </c>
      <c r="C95" s="145" t="inlineStr">
        <is>
          <t>SAN DIEGO COUNTY CU</t>
        </is>
      </c>
      <c r="D95" s="145" t="inlineStr">
        <is>
          <t>Credit Union</t>
        </is>
      </c>
      <c r="E95" s="145" t="n"/>
      <c r="F95" s="145" t="n"/>
      <c r="G95" s="145" t="n"/>
      <c r="H95" s="145" t="n"/>
      <c r="I95" s="145" t="n"/>
      <c r="J95" s="145" t="n"/>
      <c r="K95" s="145" t="n"/>
      <c r="L95" s="145" t="n"/>
      <c r="M95" s="145" t="n"/>
      <c r="N95" s="145" t="n"/>
      <c r="O95" s="145" t="inlineStr">
        <is>
          <t>2300 Harbor Blvd Ste A1, Costa Mesa 92626 (Orange)</t>
        </is>
      </c>
      <c r="P95" s="145" t="inlineStr">
        <is>
          <t>8.9</t>
        </is>
      </c>
      <c r="Q95" s="145" t="inlineStr">
        <is>
          <t>19.0</t>
        </is>
      </c>
      <c r="R95" s="145" t="n"/>
      <c r="S95" s="145" t="inlineStr">
        <is>
          <t>9382858048</t>
        </is>
      </c>
      <c r="T95" s="145" t="n"/>
      <c r="U95" s="145" t="inlineStr">
        <is>
          <t>logged — no data found</t>
        </is>
      </c>
      <c r="V95" s="145" t="n"/>
    </row>
    <row r="96">
      <c r="A96" s="145" t="inlineStr">
        <is>
          <t>C</t>
        </is>
      </c>
      <c r="B96" s="145" t="inlineStr">
        <is>
          <t>🥈 unknown/silent</t>
        </is>
      </c>
      <c r="C96" s="145" t="inlineStr">
        <is>
          <t>LOS ANGELES POLICE CU</t>
        </is>
      </c>
      <c r="D96" s="145" t="inlineStr">
        <is>
          <t>Credit Union</t>
        </is>
      </c>
      <c r="E96" s="145" t="n"/>
      <c r="F96" s="145" t="n"/>
      <c r="G96" s="145" t="n"/>
      <c r="H96" s="145" t="n"/>
      <c r="I96" s="145" t="n"/>
      <c r="J96" s="145" t="n"/>
      <c r="K96" s="145" t="n"/>
      <c r="L96" s="145" t="n"/>
      <c r="M96" s="145" t="n"/>
      <c r="N96" s="145" t="n"/>
      <c r="O96" s="145" t="inlineStr">
        <is>
          <t>5651 W Manchester Ave, Los Angeles 90045 (Los Angeles)</t>
        </is>
      </c>
      <c r="P96" s="145" t="inlineStr">
        <is>
          <t>8.9</t>
        </is>
      </c>
      <c r="Q96" s="145" t="inlineStr">
        <is>
          <t>27.7</t>
        </is>
      </c>
      <c r="R96" s="145" t="n"/>
      <c r="S96" s="145" t="inlineStr">
        <is>
          <t>1402266653</t>
        </is>
      </c>
      <c r="T96" s="145" t="n"/>
      <c r="U96" s="145" t="inlineStr">
        <is>
          <t>logged — no data found</t>
        </is>
      </c>
      <c r="V96" s="145" t="n"/>
    </row>
    <row r="97">
      <c r="A97" s="145" t="inlineStr">
        <is>
          <t>C</t>
        </is>
      </c>
      <c r="B97" s="145" t="inlineStr">
        <is>
          <t>🥈 unknown/silent</t>
        </is>
      </c>
      <c r="C97" s="145" t="inlineStr">
        <is>
          <t>WATER AND POWER COMMUNITY CU</t>
        </is>
      </c>
      <c r="D97" s="145" t="inlineStr">
        <is>
          <t>Credit Union</t>
        </is>
      </c>
      <c r="E97" s="145" t="n"/>
      <c r="F97" s="145" t="n"/>
      <c r="G97" s="145" t="n"/>
      <c r="H97" s="145" t="n"/>
      <c r="I97" s="145" t="n"/>
      <c r="J97" s="145" t="n"/>
      <c r="K97" s="145" t="n"/>
      <c r="L97" s="145" t="n"/>
      <c r="M97" s="145" t="n"/>
      <c r="N97" s="145" t="n"/>
      <c r="O97" s="145" t="inlineStr">
        <is>
          <t>8800 S Sepulveda Blvd, Westchester 90045 (Los Angeles)</t>
        </is>
      </c>
      <c r="P97" s="145" t="inlineStr">
        <is>
          <t>8.9</t>
        </is>
      </c>
      <c r="Q97" s="145" t="inlineStr">
        <is>
          <t>27.7</t>
        </is>
      </c>
      <c r="R97" s="145" t="n"/>
      <c r="S97" s="145" t="inlineStr">
        <is>
          <t>990764424</t>
        </is>
      </c>
      <c r="T97" s="145" t="n"/>
      <c r="U97" s="145" t="inlineStr">
        <is>
          <t>logged — no data found</t>
        </is>
      </c>
      <c r="V97" s="145" t="n"/>
    </row>
    <row r="98">
      <c r="A98" s="145" t="inlineStr">
        <is>
          <t>C</t>
        </is>
      </c>
      <c r="B98" s="145" t="inlineStr">
        <is>
          <t>🥈 unknown/silent</t>
        </is>
      </c>
      <c r="C98" s="145" t="inlineStr">
        <is>
          <t>Bank of Whittier, National Association</t>
        </is>
      </c>
      <c r="D98" s="145" t="inlineStr">
        <is>
          <t>Bank</t>
        </is>
      </c>
      <c r="E98" s="145" t="n"/>
      <c r="F98" s="145" t="n"/>
      <c r="G98" s="145" t="n"/>
      <c r="H98" s="145" t="n"/>
      <c r="I98" s="145" t="n"/>
      <c r="J98" s="145" t="n"/>
      <c r="K98" s="145" t="n"/>
      <c r="L98" s="145" t="n"/>
      <c r="M98" s="145" t="n"/>
      <c r="N98" s="145" t="n"/>
      <c r="O98" s="145" t="inlineStr">
        <is>
          <t>15141 Whittier Blvd, Whittier 90603 (Los Angeles)</t>
        </is>
      </c>
      <c r="P98" s="145" t="inlineStr">
        <is>
          <t>9.1</t>
        </is>
      </c>
      <c r="Q98" s="145" t="inlineStr">
        <is>
          <t>15.9</t>
        </is>
      </c>
      <c r="R98" s="145" t="inlineStr">
        <is>
          <t>128556</t>
        </is>
      </c>
      <c r="S98" s="145" t="n"/>
      <c r="T98" s="145" t="n"/>
      <c r="U98" s="145" t="inlineStr">
        <is>
          <t>logged — no data found</t>
        </is>
      </c>
      <c r="V98" s="145" t="n"/>
    </row>
    <row r="99">
      <c r="A99" s="145" t="inlineStr">
        <is>
          <t>C</t>
        </is>
      </c>
      <c r="B99" s="145" t="inlineStr">
        <is>
          <t>🥈 unknown/silent</t>
        </is>
      </c>
      <c r="C99" s="145" t="inlineStr">
        <is>
          <t>CAMINO CU</t>
        </is>
      </c>
      <c r="D99" s="145" t="inlineStr">
        <is>
          <t>Credit Union</t>
        </is>
      </c>
      <c r="E99" s="145" t="n"/>
      <c r="F99" s="145" t="n"/>
      <c r="G99" s="145" t="n"/>
      <c r="H99" s="145" t="n"/>
      <c r="I99" s="145" t="n"/>
      <c r="J99" s="145" t="n"/>
      <c r="K99" s="145" t="n"/>
      <c r="L99" s="145" t="n"/>
      <c r="M99" s="145" t="n"/>
      <c r="N99" s="145" t="n"/>
      <c r="O99" s="145" t="inlineStr">
        <is>
          <t>520 N Taylor Ave, Montebello 90640 (Los Angeles)</t>
        </is>
      </c>
      <c r="P99" s="145" t="inlineStr">
        <is>
          <t>9.5</t>
        </is>
      </c>
      <c r="Q99" s="145" t="inlineStr">
        <is>
          <t>18.7</t>
        </is>
      </c>
      <c r="R99" s="145" t="n"/>
      <c r="S99" s="145" t="inlineStr">
        <is>
          <t>179244240</t>
        </is>
      </c>
      <c r="T99" s="145" t="n"/>
      <c r="U99" s="145" t="inlineStr">
        <is>
          <t>logged — no data found</t>
        </is>
      </c>
      <c r="V99" s="145" t="n"/>
    </row>
    <row r="100">
      <c r="A100" s="145" t="inlineStr">
        <is>
          <t>C</t>
        </is>
      </c>
      <c r="B100" s="145" t="inlineStr">
        <is>
          <t>🥈 unknown/silent</t>
        </is>
      </c>
      <c r="C100" s="145" t="inlineStr">
        <is>
          <t>MidFirst Bank</t>
        </is>
      </c>
      <c r="D100" s="145" t="inlineStr">
        <is>
          <t>Bank</t>
        </is>
      </c>
      <c r="E100" s="145" t="n"/>
      <c r="F100" s="145" t="n"/>
      <c r="G100" s="145" t="n"/>
      <c r="H100" s="145" t="n"/>
      <c r="I100" s="145" t="n"/>
      <c r="J100" s="145" t="n"/>
      <c r="K100" s="145" t="inlineStr">
        <is>
          <t>⚠ DoC has multiple same-name entries ('FirstBank', 'First Bank (Myfirstbank)'=CO, 'First Bank &amp; Trust', 'First Bank Financial Center') — none clearly the Missouri first.bank → treat as Not listed</t>
        </is>
      </c>
      <c r="L100" s="145" t="inlineStr">
        <is>
          <t>Not mentioned</t>
        </is>
      </c>
      <c r="M100" s="145" t="n"/>
      <c r="N100" s="145" t="n"/>
      <c r="O100" s="145" t="inlineStr">
        <is>
          <t>1320 E 7th St, Ste 220, Los Angeles 90021 (Los Angeles)</t>
        </is>
      </c>
      <c r="P100" s="145" t="inlineStr">
        <is>
          <t>9.6</t>
        </is>
      </c>
      <c r="Q100" s="145" t="inlineStr">
        <is>
          <t>22.2</t>
        </is>
      </c>
      <c r="R100" s="145" t="inlineStr">
        <is>
          <t>2125789</t>
        </is>
      </c>
      <c r="S100" s="145" t="n"/>
      <c r="T100" s="145" t="n"/>
      <c r="U100" s="145" t="inlineStr">
        <is>
          <t>logged — no data found</t>
        </is>
      </c>
      <c r="V100" s="145" t="n"/>
    </row>
    <row r="101">
      <c r="A101" s="145" t="inlineStr">
        <is>
          <t>C</t>
        </is>
      </c>
      <c r="B101" s="145" t="inlineStr">
        <is>
          <t>🥈 unknown/silent</t>
        </is>
      </c>
      <c r="C101" s="145" t="inlineStr">
        <is>
          <t>OPERATING ENGINEERS LOCAL UNION #3 CU</t>
        </is>
      </c>
      <c r="D101" s="145" t="inlineStr">
        <is>
          <t>Credit Union</t>
        </is>
      </c>
      <c r="E101" s="145" t="n"/>
      <c r="F101" s="145" t="n"/>
      <c r="G101" s="145" t="n"/>
      <c r="H101" s="145" t="n"/>
      <c r="I101" s="145" t="n"/>
      <c r="J101" s="145" t="n"/>
      <c r="K101" s="145" t="n"/>
      <c r="L101" s="145" t="n"/>
      <c r="M101" s="145" t="n"/>
      <c r="N101" s="145" t="n"/>
      <c r="O101" s="145" t="inlineStr">
        <is>
          <t>1918 W Chapman Ave Ste 203, Orange 92868 (Orange)</t>
        </is>
      </c>
      <c r="P101" s="145" t="inlineStr">
        <is>
          <t>9.6</t>
        </is>
      </c>
      <c r="Q101" s="145" t="inlineStr">
        <is>
          <t>15.7</t>
        </is>
      </c>
      <c r="R101" s="145" t="n"/>
      <c r="S101" s="145" t="inlineStr">
        <is>
          <t>1650775391</t>
        </is>
      </c>
      <c r="T101" s="145" t="n"/>
      <c r="U101" s="145" t="inlineStr">
        <is>
          <t>union-gated</t>
        </is>
      </c>
      <c r="V101" s="145" t="n"/>
    </row>
    <row r="102">
      <c r="A102" s="145" t="inlineStr">
        <is>
          <t>C</t>
        </is>
      </c>
      <c r="B102" s="145" t="inlineStr">
        <is>
          <t>🥈 unknown/silent</t>
        </is>
      </c>
      <c r="C102" s="145" t="inlineStr">
        <is>
          <t>UNION YES CU</t>
        </is>
      </c>
      <c r="D102" s="145" t="inlineStr">
        <is>
          <t>Credit Union</t>
        </is>
      </c>
      <c r="E102" s="145" t="n"/>
      <c r="F102" s="145" t="n"/>
      <c r="G102" s="145" t="n"/>
      <c r="H102" s="145" t="n"/>
      <c r="I102" s="145" t="n"/>
      <c r="J102" s="145" t="n"/>
      <c r="K102" s="145" t="n"/>
      <c r="L102" s="145" t="n"/>
      <c r="M102" s="145" t="n"/>
      <c r="N102" s="145" t="n"/>
      <c r="O102" s="145" t="inlineStr">
        <is>
          <t>1918 W CHAPMAN AVE STE 100, ORANGE 92868 (Orange)</t>
        </is>
      </c>
      <c r="P102" s="145" t="inlineStr">
        <is>
          <t>9.6</t>
        </is>
      </c>
      <c r="Q102" s="145" t="inlineStr">
        <is>
          <t>15.7</t>
        </is>
      </c>
      <c r="R102" s="145" t="n"/>
      <c r="S102" s="145" t="inlineStr">
        <is>
          <t>96920624</t>
        </is>
      </c>
      <c r="T102" s="145" t="n"/>
      <c r="U102" s="145" t="inlineStr">
        <is>
          <t>union-gated</t>
        </is>
      </c>
      <c r="V102" s="145" t="n"/>
    </row>
    <row r="103">
      <c r="A103" s="145" t="inlineStr">
        <is>
          <t>C</t>
        </is>
      </c>
      <c r="B103" s="145" t="inlineStr">
        <is>
          <t>🥈 unknown/silent</t>
        </is>
      </c>
      <c r="C103" s="145" t="inlineStr">
        <is>
          <t>USC CU</t>
        </is>
      </c>
      <c r="D103" s="145" t="inlineStr">
        <is>
          <t>Credit Union</t>
        </is>
      </c>
      <c r="E103" s="145" t="n"/>
      <c r="F103" s="145" t="n"/>
      <c r="G103" s="145" t="n"/>
      <c r="H103" s="145" t="n"/>
      <c r="I103" s="145" t="n"/>
      <c r="J103" s="145" t="n"/>
      <c r="K103" s="145" t="n"/>
      <c r="L103" s="145" t="n"/>
      <c r="M103" s="145" t="n"/>
      <c r="N103" s="145" t="n"/>
      <c r="O103" s="145" t="inlineStr">
        <is>
          <t>3720 S Flower St FL 4, Los Angeles 90089 (Los Angeles)</t>
        </is>
      </c>
      <c r="P103" s="145" t="inlineStr">
        <is>
          <t>9.6</t>
        </is>
      </c>
      <c r="Q103" s="145" t="inlineStr">
        <is>
          <t>23.6</t>
        </is>
      </c>
      <c r="R103" s="145" t="n"/>
      <c r="S103" s="145" t="inlineStr">
        <is>
          <t>719189202</t>
        </is>
      </c>
      <c r="T103" s="145" t="n"/>
      <c r="U103" s="145" t="inlineStr">
        <is>
          <t>logged — no data found</t>
        </is>
      </c>
      <c r="V103" s="145" t="n"/>
    </row>
    <row r="104">
      <c r="A104" s="145" t="inlineStr">
        <is>
          <t>C</t>
        </is>
      </c>
      <c r="B104" s="145" t="inlineStr">
        <is>
          <t>🥈 unknown/silent</t>
        </is>
      </c>
      <c r="C104" s="145" t="inlineStr">
        <is>
          <t>First American Trust, FSB</t>
        </is>
      </c>
      <c r="D104" s="145" t="inlineStr">
        <is>
          <t>Bank</t>
        </is>
      </c>
      <c r="E104" s="145" t="inlineStr">
        <is>
          <t>❌ No card (trust/escrow bank)</t>
        </is>
      </c>
      <c r="F104" s="145" t="inlineStr">
        <is>
          <t>None ('does not originate any real estate, commercial, or personal loans')</t>
        </is>
      </c>
      <c r="G104" s="145" t="inlineStr">
        <is>
          <t>—</t>
        </is>
      </c>
      <c r="H104" s="145" t="inlineStr">
        <is>
          <t>N/M</t>
        </is>
      </c>
      <c r="I104" s="145" t="inlineStr">
        <is>
          <t>None</t>
        </is>
      </c>
      <c r="J104" s="145" t="inlineStr">
        <is>
          <t>N/M</t>
        </is>
      </c>
      <c r="K104" s="145" t="n"/>
      <c r="L104" s="145" t="n"/>
      <c r="M104" s="145" t="inlineStr">
        <is>
          <t>N/M (deposits restricted to title/escrow/wealth)</t>
        </is>
      </c>
      <c r="N104" s="145" t="inlineStr">
        <is>
          <t>No</t>
        </is>
      </c>
      <c r="O104" s="145" t="inlineStr">
        <is>
          <t>5 First American Way, Fl 3, Santa Ana 92707 (Orange)</t>
        </is>
      </c>
      <c r="P104" s="145" t="inlineStr">
        <is>
          <t>9.8</t>
        </is>
      </c>
      <c r="Q104" s="145" t="inlineStr">
        <is>
          <t>17.5</t>
        </is>
      </c>
      <c r="R104" s="145" t="inlineStr">
        <is>
          <t>5548035</t>
        </is>
      </c>
      <c r="S104" s="145" t="n"/>
      <c r="T104" s="145" t="inlineStr">
        <is>
          <t>N/M</t>
        </is>
      </c>
      <c r="U104" s="145" t="inlineStr">
        <is>
          <t>(base-covered)</t>
        </is>
      </c>
      <c r="V104" s="145" t="inlineStr">
        <is>
          <t>firstamtrust.com/about-us + /banking-services; FDIC cert 26312</t>
        </is>
      </c>
    </row>
    <row r="105">
      <c r="A105" s="145" t="inlineStr">
        <is>
          <t>C</t>
        </is>
      </c>
      <c r="B105" s="145" t="inlineStr">
        <is>
          <t>🥈 unknown/silent</t>
        </is>
      </c>
      <c r="C105" s="145" t="inlineStr">
        <is>
          <t>TRUGROCER CU</t>
        </is>
      </c>
      <c r="D105" s="145" t="inlineStr">
        <is>
          <t>Credit Union</t>
        </is>
      </c>
      <c r="E105" s="145" t="n"/>
      <c r="F105" s="145" t="n"/>
      <c r="G105" s="145" t="n"/>
      <c r="H105" s="145" t="n"/>
      <c r="I105" s="145" t="n"/>
      <c r="J105" s="145" t="n"/>
      <c r="K105" s="145" t="n"/>
      <c r="L105" s="145" t="n"/>
      <c r="M105" s="145" t="n"/>
      <c r="N105" s="145" t="n"/>
      <c r="O105" s="145" t="inlineStr">
        <is>
          <t>341 Imperial Hwy, Fullerton 92835 (Orange)</t>
        </is>
      </c>
      <c r="P105" s="145" t="inlineStr">
        <is>
          <t>9.8</t>
        </is>
      </c>
      <c r="Q105" s="145" t="inlineStr">
        <is>
          <t>14.4</t>
        </is>
      </c>
      <c r="R105" s="145" t="n"/>
      <c r="S105" s="145" t="inlineStr">
        <is>
          <t>319382979</t>
        </is>
      </c>
      <c r="T105" s="145" t="n"/>
      <c r="U105" s="145" t="inlineStr">
        <is>
          <t>SEG grocery; consumer-only</t>
        </is>
      </c>
      <c r="V105" s="145" t="n"/>
    </row>
    <row r="106">
      <c r="A106" s="145" t="inlineStr">
        <is>
          <t>C</t>
        </is>
      </c>
      <c r="B106" s="145" t="inlineStr">
        <is>
          <t>🥈 unknown/silent</t>
        </is>
      </c>
      <c r="C106" s="145" t="inlineStr">
        <is>
          <t>SANTA ANA CU</t>
        </is>
      </c>
      <c r="D106" s="145" t="inlineStr">
        <is>
          <t>Credit Union</t>
        </is>
      </c>
      <c r="E106" s="145" t="n"/>
      <c r="F106" s="145" t="n"/>
      <c r="G106" s="145" t="n"/>
      <c r="H106" s="145" t="n"/>
      <c r="I106" s="145" t="n"/>
      <c r="J106" s="145" t="n"/>
      <c r="K106" s="145" t="n"/>
      <c r="L106" s="145" t="n"/>
      <c r="M106" s="145" t="n"/>
      <c r="N106" s="145" t="n"/>
      <c r="O106" s="145" t="inlineStr">
        <is>
          <t>800 W Santa Ana Blvd, Santa Ana 92701 (Orange)</t>
        </is>
      </c>
      <c r="P106" s="145" t="inlineStr">
        <is>
          <t>10.0</t>
        </is>
      </c>
      <c r="Q106" s="145" t="inlineStr">
        <is>
          <t>16.3</t>
        </is>
      </c>
      <c r="R106" s="145" t="n"/>
      <c r="S106" s="145" t="inlineStr">
        <is>
          <t>112515965</t>
        </is>
      </c>
      <c r="T106" s="145" t="n"/>
      <c r="U106" s="145" t="inlineStr">
        <is>
          <t>OPEN ITIN; consumer-only</t>
        </is>
      </c>
      <c r="V106" s="145" t="n"/>
    </row>
    <row r="107">
      <c r="A107" s="145" t="inlineStr">
        <is>
          <t>C</t>
        </is>
      </c>
      <c r="B107" s="145" t="inlineStr">
        <is>
          <t>🥈 unknown/silent</t>
        </is>
      </c>
      <c r="C107" s="145" t="inlineStr">
        <is>
          <t>JACOM CU</t>
        </is>
      </c>
      <c r="D107" s="145" t="inlineStr">
        <is>
          <t>Credit Union</t>
        </is>
      </c>
      <c r="E107" s="145" t="n"/>
      <c r="F107" s="145" t="n"/>
      <c r="G107" s="145" t="n"/>
      <c r="H107" s="145" t="n"/>
      <c r="I107" s="145" t="n"/>
      <c r="J107" s="145" t="n"/>
      <c r="K107" s="145" t="n"/>
      <c r="L107" s="145" t="n"/>
      <c r="M107" s="145" t="n"/>
      <c r="N107" s="145" t="n"/>
      <c r="O107" s="145" t="inlineStr">
        <is>
          <t>3037 w jefferson blvd, los angeles 90018 (Los Angeles)</t>
        </is>
      </c>
      <c r="P107" s="145" t="inlineStr">
        <is>
          <t>10.1</t>
        </is>
      </c>
      <c r="Q107" s="145" t="inlineStr">
        <is>
          <t>24.5</t>
        </is>
      </c>
      <c r="R107" s="145" t="n"/>
      <c r="S107" s="145" t="inlineStr">
        <is>
          <t>54866027</t>
        </is>
      </c>
      <c r="T107" s="145" t="n"/>
      <c r="U107" s="145" t="inlineStr">
        <is>
          <t>affinity; consumer-only</t>
        </is>
      </c>
      <c r="V107" s="145" t="n"/>
    </row>
    <row r="108">
      <c r="A108" s="145" t="inlineStr">
        <is>
          <t>C</t>
        </is>
      </c>
      <c r="B108" s="145" t="inlineStr">
        <is>
          <t>🥈 unknown/silent</t>
        </is>
      </c>
      <c r="C108" s="145" t="inlineStr">
        <is>
          <t>L.A. HEALTHCARE CU</t>
        </is>
      </c>
      <c r="D108" s="145" t="inlineStr">
        <is>
          <t>Credit Union</t>
        </is>
      </c>
      <c r="E108" s="145" t="n"/>
      <c r="F108" s="145" t="n"/>
      <c r="G108" s="145" t="n"/>
      <c r="H108" s="145" t="n"/>
      <c r="I108" s="145" t="n"/>
      <c r="J108" s="145" t="n"/>
      <c r="K108" s="145" t="n"/>
      <c r="L108" s="145" t="n"/>
      <c r="M108" s="145" t="n"/>
      <c r="N108" s="145" t="n"/>
      <c r="O108" s="145" t="inlineStr">
        <is>
          <t>320 W 15th St Ste 128, Los Angeles 90015 (Los Angeles)</t>
        </is>
      </c>
      <c r="P108" s="145" t="inlineStr">
        <is>
          <t>10.1</t>
        </is>
      </c>
      <c r="Q108" s="145" t="inlineStr">
        <is>
          <t>23.0</t>
        </is>
      </c>
      <c r="R108" s="145" t="n"/>
      <c r="S108" s="145" t="inlineStr">
        <is>
          <t>14970369</t>
        </is>
      </c>
      <c r="T108" s="145" t="n"/>
      <c r="U108" s="145" t="inlineStr">
        <is>
          <t>SEG hospitals; consumer-only</t>
        </is>
      </c>
      <c r="V108" s="145" t="n"/>
    </row>
    <row r="109">
      <c r="A109" s="145" t="inlineStr">
        <is>
          <t>C</t>
        </is>
      </c>
      <c r="B109" s="145" t="inlineStr">
        <is>
          <t>🥈 unknown/silent</t>
        </is>
      </c>
      <c r="C109" s="145" t="inlineStr">
        <is>
          <t>F &amp; A CU</t>
        </is>
      </c>
      <c r="D109" s="145" t="inlineStr">
        <is>
          <t>Credit Union</t>
        </is>
      </c>
      <c r="E109" s="145" t="n"/>
      <c r="F109" s="145" t="n"/>
      <c r="G109" s="145" t="n"/>
      <c r="H109" s="145" t="n"/>
      <c r="I109" s="145" t="n"/>
      <c r="J109" s="145" t="n"/>
      <c r="K109" s="145" t="n"/>
      <c r="L109" s="145" t="n"/>
      <c r="M109" s="145" t="n"/>
      <c r="N109" s="145" t="n"/>
      <c r="O109" s="145" t="inlineStr">
        <is>
          <t>13303 Hadley St, Whittier 90601 (Los Angeles)</t>
        </is>
      </c>
      <c r="P109" s="145" t="inlineStr">
        <is>
          <t>10.2</t>
        </is>
      </c>
      <c r="Q109" s="145" t="inlineStr">
        <is>
          <t>16.4</t>
        </is>
      </c>
      <c r="R109" s="145" t="n"/>
      <c r="S109" s="145" t="inlineStr">
        <is>
          <t>3056609908</t>
        </is>
      </c>
      <c r="T109" s="145" t="n"/>
      <c r="U109" s="145" t="inlineStr">
        <is>
          <t>logged — no data found</t>
        </is>
      </c>
      <c r="V109" s="145" t="n"/>
    </row>
    <row r="110">
      <c r="A110" s="145" t="inlineStr">
        <is>
          <t>C</t>
        </is>
      </c>
      <c r="B110" s="145" t="inlineStr">
        <is>
          <t>🥈 unknown/silent</t>
        </is>
      </c>
      <c r="C110" s="145" t="inlineStr">
        <is>
          <t>The Northern Trust Company</t>
        </is>
      </c>
      <c r="D110" s="145" t="inlineStr">
        <is>
          <t>Bank</t>
        </is>
      </c>
      <c r="E110" s="145" t="n"/>
      <c r="F110" s="145" t="n"/>
      <c r="G110" s="145" t="n"/>
      <c r="H110" s="145" t="n"/>
      <c r="I110" s="145" t="n"/>
      <c r="J110" s="145" t="n"/>
      <c r="K110" s="145" t="n"/>
      <c r="L110" s="145" t="n"/>
      <c r="M110" s="145" t="n"/>
      <c r="N110" s="145" t="n"/>
      <c r="O110" s="145" t="inlineStr">
        <is>
          <t>660 Newport Center Dr, Ste 1100, Newport Beach 92660 (Orange)</t>
        </is>
      </c>
      <c r="P110" s="145" t="inlineStr">
        <is>
          <t>10.4</t>
        </is>
      </c>
      <c r="Q110" s="145" t="inlineStr">
        <is>
          <t>19.6</t>
        </is>
      </c>
      <c r="R110" s="145" t="inlineStr">
        <is>
          <t>1137498</t>
        </is>
      </c>
      <c r="S110" s="145" t="n"/>
      <c r="T110" s="145" t="n"/>
      <c r="U110" s="145" t="inlineStr">
        <is>
          <t>logged — no data found</t>
        </is>
      </c>
      <c r="V110" s="145" t="n"/>
    </row>
    <row r="111">
      <c r="A111" s="145" t="inlineStr">
        <is>
          <t>C</t>
        </is>
      </c>
      <c r="B111" s="145" t="inlineStr">
        <is>
          <t>🥈 unknown/silent</t>
        </is>
      </c>
      <c r="C111" s="145" t="inlineStr">
        <is>
          <t>BNY Mellon, National Association</t>
        </is>
      </c>
      <c r="D111" s="145" t="inlineStr">
        <is>
          <t>Bank</t>
        </is>
      </c>
      <c r="E111" s="145" t="n"/>
      <c r="F111" s="145" t="n"/>
      <c r="G111" s="145" t="n"/>
      <c r="H111" s="145" t="n"/>
      <c r="I111" s="145" t="n"/>
      <c r="J111" s="145" t="n"/>
      <c r="K111" s="145" t="n"/>
      <c r="L111" s="145" t="n"/>
      <c r="M111" s="145" t="n"/>
      <c r="N111" s="145" t="n"/>
      <c r="O111" s="145" t="inlineStr">
        <is>
          <t>1600 Newport Center Dr, Ste 200, Newport Beach 92660 (Orange)</t>
        </is>
      </c>
      <c r="P111" s="145" t="inlineStr">
        <is>
          <t>10.4</t>
        </is>
      </c>
      <c r="Q111" s="145" t="inlineStr">
        <is>
          <t>19.6</t>
        </is>
      </c>
      <c r="R111" s="145" t="inlineStr">
        <is>
          <t>0</t>
        </is>
      </c>
      <c r="S111" s="145" t="n"/>
      <c r="T111" s="145" t="n"/>
      <c r="U111" s="145" t="inlineStr">
        <is>
          <t>logged — no data found</t>
        </is>
      </c>
      <c r="V111" s="145" t="n"/>
    </row>
    <row r="112">
      <c r="A112" s="145" t="inlineStr">
        <is>
          <t>C</t>
        </is>
      </c>
      <c r="B112" s="145" t="inlineStr">
        <is>
          <t>🥈 unknown/silent</t>
        </is>
      </c>
      <c r="C112" s="145" t="inlineStr">
        <is>
          <t>CIBC National Trust Company</t>
        </is>
      </c>
      <c r="D112" s="145" t="inlineStr">
        <is>
          <t>Bank</t>
        </is>
      </c>
      <c r="E112" s="145" t="n"/>
      <c r="F112" s="145" t="n"/>
      <c r="G112" s="145" t="n"/>
      <c r="H112" s="145" t="n"/>
      <c r="I112" s="145" t="n"/>
      <c r="J112" s="145" t="n"/>
      <c r="K112" s="145" t="n"/>
      <c r="L112" s="145" t="n"/>
      <c r="M112" s="145" t="n"/>
      <c r="N112" s="145" t="n"/>
      <c r="O112" s="145" t="inlineStr">
        <is>
          <t>520 Newport Center Dr, Ste 700, Newport Beach 92660 (Orange)</t>
        </is>
      </c>
      <c r="P112" s="145" t="inlineStr">
        <is>
          <t>10.4</t>
        </is>
      </c>
      <c r="Q112" s="145" t="inlineStr">
        <is>
          <t>19.6</t>
        </is>
      </c>
      <c r="R112" s="145" t="inlineStr">
        <is>
          <t>0</t>
        </is>
      </c>
      <c r="S112" s="145" t="n"/>
      <c r="T112" s="145" t="n"/>
      <c r="U112" s="145" t="inlineStr">
        <is>
          <t>logged — no data found</t>
        </is>
      </c>
      <c r="V112" s="145" t="n"/>
    </row>
    <row r="113">
      <c r="A113" s="145" t="inlineStr">
        <is>
          <t>C</t>
        </is>
      </c>
      <c r="B113" s="145" t="inlineStr">
        <is>
          <t>🥈 unknown/silent</t>
        </is>
      </c>
      <c r="C113" s="145" t="inlineStr">
        <is>
          <t>Genesis Bank</t>
        </is>
      </c>
      <c r="D113" s="145" t="inlineStr">
        <is>
          <t>Bank</t>
        </is>
      </c>
      <c r="E113" s="145" t="inlineStr">
        <is>
          <t>⚠️ One unnamed business card (relationship-only); issuer/terms N/M; no online apply</t>
        </is>
      </c>
      <c r="F113" s="145" t="inlineStr">
        <is>
          <t>None (LOC/term/SBA/owner-occ CRE/equipment full-doc)</t>
        </is>
      </c>
      <c r="G113" s="145" t="inlineStr">
        <is>
          <t>N/M (no bank-specific data point found)</t>
        </is>
      </c>
      <c r="H113" s="145" t="inlineStr">
        <is>
          <t>N/M (RM-underwritten)</t>
        </is>
      </c>
      <c r="I113" s="145" t="inlineStr">
        <is>
          <t>Unknown (not named; likely agent-issued)</t>
        </is>
      </c>
      <c r="J113" s="145" t="inlineStr">
        <is>
          <t>N/M</t>
        </is>
      </c>
      <c r="K113" s="145" t="n"/>
      <c r="L113" s="145" t="n"/>
      <c r="M113" s="145" t="inlineStr">
        <is>
          <t>Likely Yes (relationship)</t>
        </is>
      </c>
      <c r="N113" s="145" t="inlineStr">
        <is>
          <t>In-person</t>
        </is>
      </c>
      <c r="O113" s="145" t="inlineStr">
        <is>
          <t>4675 Macarthur Ct, Ste 1600, Newport Beach 92660 (Orange)</t>
        </is>
      </c>
      <c r="P113" s="145" t="inlineStr">
        <is>
          <t>10.4</t>
        </is>
      </c>
      <c r="Q113" s="145" t="inlineStr">
        <is>
          <t>19.6</t>
        </is>
      </c>
      <c r="R113" s="145" t="inlineStr">
        <is>
          <t>429619</t>
        </is>
      </c>
      <c r="S113" s="145" t="n"/>
      <c r="T113" s="145" t="inlineStr">
        <is>
          <t>N/M (no forum data; not the unrelated Concora/'Genesis FS' subprime issuer)</t>
        </is>
      </c>
      <c r="U113" s="145" t="inlineStr">
        <is>
          <t>(base-covered)</t>
        </is>
      </c>
      <c r="V113" s="145" t="inlineStr">
        <is>
          <t>mygenesisbank.com/commercial-banking/business-loans/loan-products; FDIC cert 59245</t>
        </is>
      </c>
    </row>
    <row r="114">
      <c r="A114" s="145" t="inlineStr">
        <is>
          <t>C</t>
        </is>
      </c>
      <c r="B114" s="145" t="inlineStr">
        <is>
          <t>🥈 unknown/silent</t>
        </is>
      </c>
      <c r="C114" s="145" t="inlineStr">
        <is>
          <t>American Business Bank</t>
        </is>
      </c>
      <c r="D114" s="145" t="inlineStr">
        <is>
          <t>Bank</t>
        </is>
      </c>
      <c r="E114" s="145" t="inlineStr">
        <is>
          <t>⚠️ Commercial — 'Corporate Cards'; issuer/terms N/M</t>
        </is>
      </c>
      <c r="F114" s="145" t="inlineStr">
        <is>
          <t>ABL (AR/inventory/equipment) asset-based — lighter on income docs but NOT stated no-doc</t>
        </is>
      </c>
      <c r="G114" s="145" t="inlineStr">
        <is>
          <t>—</t>
        </is>
      </c>
      <c r="H114" s="145" t="inlineStr">
        <is>
          <t>PG likely; 2yr tax returns for loans (3rd-party review)</t>
        </is>
      </c>
      <c r="I114" s="145" t="inlineStr">
        <is>
          <t>Unknown (not disclosed)</t>
        </is>
      </c>
      <c r="J114" s="145" t="inlineStr">
        <is>
          <t>N/M</t>
        </is>
      </c>
      <c r="K114" s="145" t="n"/>
      <c r="L114" s="145" t="n"/>
      <c r="M114" s="145" t="inlineStr">
        <is>
          <t>Likely Yes (relationship bank)</t>
        </is>
      </c>
      <c r="N114" s="145" t="inlineStr">
        <is>
          <t>In-person</t>
        </is>
      </c>
      <c r="O114" s="145" t="inlineStr">
        <is>
          <t>400 S Hope St, Ste 300, Los Angeles 90071 (Los Angeles)</t>
        </is>
      </c>
      <c r="P114" s="145" t="inlineStr">
        <is>
          <t>10.5</t>
        </is>
      </c>
      <c r="Q114" s="145" t="inlineStr">
        <is>
          <t>22.6</t>
        </is>
      </c>
      <c r="R114" s="145" t="inlineStr">
        <is>
          <t>3872215</t>
        </is>
      </c>
      <c r="S114" s="145" t="n"/>
      <c r="T114" s="145" t="inlineStr">
        <is>
          <t>N/M (no forum data; relationship product)</t>
        </is>
      </c>
      <c r="U114" s="145" t="inlineStr">
        <is>
          <t>(base-covered)</t>
        </is>
      </c>
      <c r="V114" s="145" t="inlineStr">
        <is>
          <t>americanbb.bank/services/relationship-banking/credit-services; usbanklocations.com</t>
        </is>
      </c>
    </row>
    <row r="115">
      <c r="A115" s="145" t="inlineStr">
        <is>
          <t>C</t>
        </is>
      </c>
      <c r="B115" s="145" t="inlineStr">
        <is>
          <t>🥈 unknown/silent</t>
        </is>
      </c>
      <c r="C115" s="145" t="inlineStr">
        <is>
          <t>Mizrahi Tefahot Bank, Ltd.</t>
        </is>
      </c>
      <c r="D115" s="145" t="inlineStr">
        <is>
          <t>Bank</t>
        </is>
      </c>
      <c r="E115" s="145" t="inlineStr">
        <is>
          <t>❌ No card (foreign-bank US branch)</t>
        </is>
      </c>
      <c r="F115" s="145" t="inlineStr">
        <is>
          <t>None (venture debt/LOC/term fully underwritten)</t>
        </is>
      </c>
      <c r="G115" s="145" t="inlineStr">
        <is>
          <t>—</t>
        </is>
      </c>
      <c r="H115" s="145" t="inlineStr">
        <is>
          <t>N/M (commercial loans full underwriting)</t>
        </is>
      </c>
      <c r="I115" s="145" t="inlineStr">
        <is>
          <t>None</t>
        </is>
      </c>
      <c r="J115" s="145" t="inlineStr">
        <is>
          <t>N/M</t>
        </is>
      </c>
      <c r="K115" s="145" t="n"/>
      <c r="L115" s="145" t="n"/>
      <c r="M115" s="145" t="inlineStr">
        <is>
          <t>N/M (commercial-only deposits)</t>
        </is>
      </c>
      <c r="N115" s="145" t="inlineStr">
        <is>
          <t>No</t>
        </is>
      </c>
      <c r="O115" s="145" t="inlineStr">
        <is>
          <t>633 W 5th St, Los Angeles 90071 (Los Angeles)</t>
        </is>
      </c>
      <c r="P115" s="145" t="inlineStr">
        <is>
          <t>10.5</t>
        </is>
      </c>
      <c r="Q115" s="145" t="inlineStr">
        <is>
          <t>22.6</t>
        </is>
      </c>
      <c r="R115" s="145" t="inlineStr">
        <is>
          <t>3309713</t>
        </is>
      </c>
      <c r="S115" s="145" t="n"/>
      <c r="T115" s="145" t="inlineStr">
        <is>
          <t>N/M</t>
        </is>
      </c>
      <c r="U115" s="145" t="inlineStr">
        <is>
          <t>(base-covered)</t>
        </is>
      </c>
      <c r="V115" s="145" t="inlineStr">
        <is>
          <t>umtbusa.com; dfpi.ca.gov; FDIC cert 33661</t>
        </is>
      </c>
    </row>
    <row r="116">
      <c r="A116" s="145" t="inlineStr">
        <is>
          <t>C</t>
        </is>
      </c>
      <c r="B116" s="145" t="inlineStr">
        <is>
          <t>🥈 unknown/silent</t>
        </is>
      </c>
      <c r="C116" s="145" t="inlineStr">
        <is>
          <t>The Bank of New York Mellon Trust Company, National Association</t>
        </is>
      </c>
      <c r="D116" s="145" t="inlineStr">
        <is>
          <t>Bank</t>
        </is>
      </c>
      <c r="E116" s="145" t="n"/>
      <c r="F116" s="145" t="n"/>
      <c r="G116" s="145" t="n"/>
      <c r="H116" s="145" t="n"/>
      <c r="I116" s="145" t="n"/>
      <c r="J116" s="145" t="n"/>
      <c r="K116" s="145" t="n"/>
      <c r="L116" s="145" t="n"/>
      <c r="M116" s="145" t="n"/>
      <c r="N116" s="145" t="n"/>
      <c r="O116" s="145" t="inlineStr">
        <is>
          <t>333 S Hope St, Ste 2525, Los Angeles 90071 (Los Angeles)</t>
        </is>
      </c>
      <c r="P116" s="145" t="inlineStr">
        <is>
          <t>10.5</t>
        </is>
      </c>
      <c r="Q116" s="145" t="inlineStr">
        <is>
          <t>22.6</t>
        </is>
      </c>
      <c r="R116" s="145" t="inlineStr">
        <is>
          <t>797</t>
        </is>
      </c>
      <c r="S116" s="145" t="n"/>
      <c r="T116" s="145" t="n"/>
      <c r="U116" s="145" t="inlineStr">
        <is>
          <t>logged — no data found</t>
        </is>
      </c>
      <c r="V116" s="145" t="n"/>
    </row>
    <row r="117">
      <c r="A117" s="145" t="inlineStr">
        <is>
          <t>C</t>
        </is>
      </c>
      <c r="B117" s="145" t="inlineStr">
        <is>
          <t>🥈 unknown/silent</t>
        </is>
      </c>
      <c r="C117" s="145" t="inlineStr">
        <is>
          <t>POLAM CU</t>
        </is>
      </c>
      <c r="D117" s="145" t="inlineStr">
        <is>
          <t>Credit Union</t>
        </is>
      </c>
      <c r="E117" s="145" t="n"/>
      <c r="F117" s="145" t="n"/>
      <c r="G117" s="145" t="n"/>
      <c r="H117" s="145" t="n"/>
      <c r="I117" s="145" t="n"/>
      <c r="J117" s="145" t="n"/>
      <c r="K117" s="145" t="n"/>
      <c r="L117" s="145" t="n"/>
      <c r="M117" s="145" t="n"/>
      <c r="N117" s="145" t="n"/>
      <c r="O117" s="145" t="inlineStr">
        <is>
          <t>1700 N TUSTIN ST, ORANGE 92865 (Orange)</t>
        </is>
      </c>
      <c r="P117" s="145" t="inlineStr">
        <is>
          <t>10.5</t>
        </is>
      </c>
      <c r="Q117" s="145" t="inlineStr">
        <is>
          <t>14.3</t>
        </is>
      </c>
      <c r="R117" s="145" t="n"/>
      <c r="S117" s="145" t="inlineStr">
        <is>
          <t>73432824</t>
        </is>
      </c>
      <c r="T117" s="145" t="n"/>
      <c r="U117" s="145" t="inlineStr">
        <is>
          <t>logged — no data found</t>
        </is>
      </c>
      <c r="V117" s="145" t="n"/>
    </row>
    <row r="118">
      <c r="A118" s="145" t="inlineStr">
        <is>
          <t>C</t>
        </is>
      </c>
      <c r="B118" s="145" t="inlineStr">
        <is>
          <t>🥈 unknown/silent</t>
        </is>
      </c>
      <c r="C118" s="145" t="inlineStr">
        <is>
          <t>Eastern International Bank</t>
        </is>
      </c>
      <c r="D118" s="145" t="inlineStr">
        <is>
          <t>Bank</t>
        </is>
      </c>
      <c r="E118" s="145" t="inlineStr">
        <is>
          <t>❌ No card (CRE lender; Visa debit only)</t>
        </is>
      </c>
      <c r="F118" s="145" t="inlineStr">
        <is>
          <t>None (CRE: apartments/office/retail/industrial/hospitality/mixed-use full-doc)</t>
        </is>
      </c>
      <c r="G118" s="145" t="inlineStr">
        <is>
          <t>—</t>
        </is>
      </c>
      <c r="H118" s="145" t="inlineStr">
        <is>
          <t>N/M</t>
        </is>
      </c>
      <c r="I118" s="145" t="inlineStr">
        <is>
          <t>None</t>
        </is>
      </c>
      <c r="J118" s="145" t="inlineStr">
        <is>
          <t>N/M</t>
        </is>
      </c>
      <c r="K118" s="145" t="n"/>
      <c r="L118" s="145" t="n"/>
      <c r="M118" s="145" t="inlineStr">
        <is>
          <t>N/M</t>
        </is>
      </c>
      <c r="N118" s="145" t="inlineStr">
        <is>
          <t>No</t>
        </is>
      </c>
      <c r="O118" s="145" t="inlineStr">
        <is>
          <t>757 W Garvey Ave, Monterey Park 91754 (Los Angeles)</t>
        </is>
      </c>
      <c r="P118" s="145" t="inlineStr">
        <is>
          <t>10.6</t>
        </is>
      </c>
      <c r="Q118" s="145" t="inlineStr">
        <is>
          <t>19.4</t>
        </is>
      </c>
      <c r="R118" s="145" t="inlineStr">
        <is>
          <t>91688</t>
        </is>
      </c>
      <c r="S118" s="145" t="n"/>
      <c r="T118" s="145" t="inlineStr">
        <is>
          <t>N/M</t>
        </is>
      </c>
      <c r="U118" s="145" t="inlineStr">
        <is>
          <t>(base-covered)</t>
        </is>
      </c>
      <c r="V118" s="145" t="inlineStr">
        <is>
          <t>eibankca.com (home, About-Us); FDIC cert 32277</t>
        </is>
      </c>
    </row>
    <row r="119">
      <c r="A119" s="145" t="inlineStr">
        <is>
          <t>C</t>
        </is>
      </c>
      <c r="B119" s="145" t="inlineStr">
        <is>
          <t>🥈 unknown/silent</t>
        </is>
      </c>
      <c r="C119" s="145" t="inlineStr">
        <is>
          <t>GLENDALE CU</t>
        </is>
      </c>
      <c r="D119" s="145" t="inlineStr">
        <is>
          <t>Credit Union</t>
        </is>
      </c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inlineStr">
        <is>
          <t>9770 Culver Blvd, Culver City 90232 (Los Angeles)</t>
        </is>
      </c>
      <c r="P119" s="145" t="inlineStr">
        <is>
          <t>10.7</t>
        </is>
      </c>
      <c r="Q119" s="145" t="inlineStr">
        <is>
          <t>26.6</t>
        </is>
      </c>
      <c r="R119" s="145" t="n"/>
      <c r="S119" s="145" t="inlineStr">
        <is>
          <t>102411161</t>
        </is>
      </c>
      <c r="T119" s="145" t="n"/>
      <c r="U119" s="145" t="inlineStr">
        <is>
          <t>SEG city; consumer-only</t>
        </is>
      </c>
      <c r="V119" s="145" t="n"/>
    </row>
    <row r="120">
      <c r="A120" s="145" t="inlineStr">
        <is>
          <t>C</t>
        </is>
      </c>
      <c r="B120" s="145" t="inlineStr">
        <is>
          <t>🥈 unknown/silent</t>
        </is>
      </c>
      <c r="C120" s="145" t="inlineStr">
        <is>
          <t>FIRST ENTERTAINMENT CU</t>
        </is>
      </c>
      <c r="D120" s="145" t="inlineStr">
        <is>
          <t>Credit Union</t>
        </is>
      </c>
      <c r="E120" s="145" t="n"/>
      <c r="F120" s="145" t="n"/>
      <c r="G120" s="145" t="n"/>
      <c r="H120" s="145" t="n"/>
      <c r="I120" s="145" t="n"/>
      <c r="J120" s="145" t="n"/>
      <c r="K120" s="145" t="n"/>
      <c r="L120" s="145" t="n"/>
      <c r="M120" s="145" t="n"/>
      <c r="N120" s="145" t="n"/>
      <c r="O120" s="145" t="inlineStr">
        <is>
          <t>11052 Washington Blvd, Culver City 90232 (Los Angeles)</t>
        </is>
      </c>
      <c r="P120" s="145" t="inlineStr">
        <is>
          <t>10.7</t>
        </is>
      </c>
      <c r="Q120" s="145" t="inlineStr">
        <is>
          <t>26.6</t>
        </is>
      </c>
      <c r="R120" s="145" t="n"/>
      <c r="S120" s="145" t="inlineStr">
        <is>
          <t>2122095658</t>
        </is>
      </c>
      <c r="T120" s="145" t="n"/>
      <c r="U120" s="145" t="inlineStr">
        <is>
          <t>logged — no data found</t>
        </is>
      </c>
      <c r="V120" s="145" t="n"/>
    </row>
    <row r="121">
      <c r="A121" s="145" t="inlineStr">
        <is>
          <t>C</t>
        </is>
      </c>
      <c r="B121" s="145" t="inlineStr">
        <is>
          <t>🥈 unknown/silent</t>
        </is>
      </c>
      <c r="C121" s="145" t="inlineStr">
        <is>
          <t>MARYKNOLL OF L A CU</t>
        </is>
      </c>
      <c r="D121" s="145" t="inlineStr">
        <is>
          <t>Credit Union</t>
        </is>
      </c>
      <c r="E121" s="145" t="n"/>
      <c r="F121" s="145" t="n"/>
      <c r="G121" s="145" t="n"/>
      <c r="H121" s="145" t="n"/>
      <c r="I121" s="145" t="n"/>
      <c r="J121" s="145" t="n"/>
      <c r="K121" s="145" t="n"/>
      <c r="L121" s="145" t="n"/>
      <c r="M121" s="145" t="n"/>
      <c r="N121" s="145" t="n"/>
      <c r="O121" s="145" t="inlineStr">
        <is>
          <t>222 S Hewitt St, Los Angeles 90012 (Los Angeles)</t>
        </is>
      </c>
      <c r="P121" s="145" t="inlineStr">
        <is>
          <t>10.9</t>
        </is>
      </c>
      <c r="Q121" s="145" t="inlineStr">
        <is>
          <t>22.1</t>
        </is>
      </c>
      <c r="R121" s="145" t="n"/>
      <c r="S121" s="145" t="inlineStr">
        <is>
          <t>1151903</t>
        </is>
      </c>
      <c r="T121" s="145" t="n"/>
      <c r="U121" s="145" t="inlineStr">
        <is>
          <t>faith micro</t>
        </is>
      </c>
      <c r="V121" s="145" t="n"/>
    </row>
    <row r="122">
      <c r="A122" s="145" t="inlineStr">
        <is>
          <t>C</t>
        </is>
      </c>
      <c r="B122" s="145" t="inlineStr">
        <is>
          <t>🥈 unknown/silent</t>
        </is>
      </c>
      <c r="C122" s="145" t="inlineStr">
        <is>
          <t>LOS ANGELES LEE CU</t>
        </is>
      </c>
      <c r="D122" s="145" t="inlineStr">
        <is>
          <t>Credit Union</t>
        </is>
      </c>
      <c r="E122" s="145" t="n"/>
      <c r="F122" s="145" t="n"/>
      <c r="G122" s="145" t="n"/>
      <c r="H122" s="145" t="n"/>
      <c r="I122" s="145" t="n"/>
      <c r="J122" s="145" t="n"/>
      <c r="K122" s="145" t="n"/>
      <c r="L122" s="145" t="n"/>
      <c r="M122" s="145" t="n"/>
      <c r="N122" s="145" t="n"/>
      <c r="O122" s="145" t="inlineStr">
        <is>
          <t>964 N Hill St, Los Angeles 90012 (Los Angeles)</t>
        </is>
      </c>
      <c r="P122" s="145" t="inlineStr">
        <is>
          <t>10.9</t>
        </is>
      </c>
      <c r="Q122" s="145" t="inlineStr">
        <is>
          <t>22.1</t>
        </is>
      </c>
      <c r="R122" s="145" t="n"/>
      <c r="S122" s="145" t="inlineStr">
        <is>
          <t>644510</t>
        </is>
      </c>
      <c r="T122" s="145" t="n"/>
      <c r="U122" s="145" t="inlineStr">
        <is>
          <t>logged — no data found</t>
        </is>
      </c>
      <c r="V122" s="145" t="n"/>
    </row>
    <row r="123">
      <c r="A123" s="145" t="inlineStr">
        <is>
          <t>C</t>
        </is>
      </c>
      <c r="B123" s="145" t="inlineStr">
        <is>
          <t>🥈 unknown/silent</t>
        </is>
      </c>
      <c r="C123" s="145" t="inlineStr">
        <is>
          <t>First IC Bank</t>
        </is>
      </c>
      <c r="D123" s="145" t="inlineStr">
        <is>
          <t>Bank</t>
        </is>
      </c>
      <c r="E123" s="145" t="inlineStr">
        <is>
          <t>ENTITY GONE — merged into METRO CITY BANK eff. 2025-12-01 (PR confirmed; domain 302-redirects). Metro City: NO biz card, no packaged LOC (SBA/mortgage shop)</t>
        </is>
      </c>
      <c r="F123" s="145" t="inlineStr">
        <is>
          <t>N (successor)</t>
        </is>
      </c>
      <c r="G123" s="145" t="inlineStr">
        <is>
          <t>n/a</t>
        </is>
      </c>
      <c r="H123" s="145" t="inlineStr">
        <is>
          <t>n/a</t>
        </is>
      </c>
      <c r="I123" s="145" t="inlineStr">
        <is>
          <t>n/a</t>
        </is>
      </c>
      <c r="J123" s="145" t="inlineStr">
        <is>
          <t>N/M</t>
        </is>
      </c>
      <c r="K123" s="145" t="inlineStr">
        <is>
          <t>N/M</t>
        </is>
      </c>
      <c r="L123" s="145" t="inlineStr">
        <is>
          <t>N/M</t>
        </is>
      </c>
      <c r="M123" s="145" t="inlineStr">
        <is>
          <t>n/a</t>
        </is>
      </c>
      <c r="N123" s="145" t="inlineStr">
        <is>
          <t>n/a</t>
        </is>
      </c>
      <c r="O123" s="145" t="inlineStr">
        <is>
          <t>3345 Wilshire Blvd Ste 10, Los Angeles 90010 (Los Angeles)</t>
        </is>
      </c>
      <c r="P123" s="145" t="inlineStr">
        <is>
          <t>11.0</t>
        </is>
      </c>
      <c r="Q123" s="145" t="inlineStr">
        <is>
          <t>23.9</t>
        </is>
      </c>
      <c r="R123" s="145" t="inlineStr">
        <is>
          <t>31528</t>
        </is>
      </c>
      <c r="S123" s="145" t="n"/>
      <c r="T123" s="145" t="inlineStr">
        <is>
          <t>None</t>
        </is>
      </c>
      <c r="U123" s="145" t="inlineStr">
        <is>
          <t>DEAD — re-key master row to Metro City Bank</t>
        </is>
      </c>
      <c r="V123" s="145" t="inlineStr">
        <is>
          <t>https://www.prnewswire.com/news-releases/metrocity-bankshares-inc-completes-acquisition-of-first-ic-corporation-302629723.html</t>
        </is>
      </c>
    </row>
    <row r="124">
      <c r="A124" s="145" t="inlineStr">
        <is>
          <t>C</t>
        </is>
      </c>
      <c r="B124" s="145" t="inlineStr">
        <is>
          <t>🥈 unknown/silent</t>
        </is>
      </c>
      <c r="C124" s="145" t="inlineStr">
        <is>
          <t>Commerce West Bank</t>
        </is>
      </c>
      <c r="D124" s="145" t="inlineStr">
        <is>
          <t>Bank</t>
        </is>
      </c>
      <c r="E124" s="145" t="n"/>
      <c r="F124" s="145" t="n"/>
      <c r="G124" s="145" t="n"/>
      <c r="H124" s="145" t="n"/>
      <c r="I124" s="145" t="n"/>
      <c r="J124" s="145" t="n"/>
      <c r="K124" s="145" t="n"/>
      <c r="L124" s="145" t="n"/>
      <c r="M124" s="145" t="n"/>
      <c r="N124" s="145" t="n"/>
      <c r="O124" s="145" t="inlineStr">
        <is>
          <t>2445 Mccabe Way, Irvine 92614 (Orange)</t>
        </is>
      </c>
      <c r="P124" s="145" t="inlineStr">
        <is>
          <t>11.0</t>
        </is>
      </c>
      <c r="Q124" s="145" t="inlineStr">
        <is>
          <t>17.7</t>
        </is>
      </c>
      <c r="R124" s="145" t="inlineStr">
        <is>
          <t>1033703</t>
        </is>
      </c>
      <c r="S124" s="145" t="n"/>
      <c r="T124" s="145" t="n"/>
      <c r="U124" s="145" t="inlineStr">
        <is>
          <t>logged — no data found</t>
        </is>
      </c>
      <c r="V124" s="145" t="n"/>
    </row>
    <row r="125">
      <c r="A125" s="145" t="inlineStr">
        <is>
          <t>C</t>
        </is>
      </c>
      <c r="B125" s="145" t="inlineStr">
        <is>
          <t>🥈 unknown/silent</t>
        </is>
      </c>
      <c r="C125" s="145" t="inlineStr">
        <is>
          <t>Liberty Bank, National Association</t>
        </is>
      </c>
      <c r="D125" s="145" t="inlineStr">
        <is>
          <t>Bank</t>
        </is>
      </c>
      <c r="E125" s="145" t="n"/>
      <c r="F125" s="145" t="n"/>
      <c r="G125" s="145" t="n"/>
      <c r="H125" s="145" t="n"/>
      <c r="I125" s="145" t="n"/>
      <c r="J125" s="145" t="n"/>
      <c r="K125" s="145" t="n"/>
      <c r="L125" s="145" t="n"/>
      <c r="M125" s="145" t="n"/>
      <c r="N125" s="145" t="n"/>
      <c r="O125" s="145" t="inlineStr">
        <is>
          <t>2 Park Plz, Ste 550, Irvine 92614 (Orange)</t>
        </is>
      </c>
      <c r="P125" s="145" t="inlineStr">
        <is>
          <t>11.0</t>
        </is>
      </c>
      <c r="Q125" s="145" t="inlineStr">
        <is>
          <t>17.7</t>
        </is>
      </c>
      <c r="R125" s="145" t="inlineStr">
        <is>
          <t>179703</t>
        </is>
      </c>
      <c r="S125" s="145" t="n"/>
      <c r="T125" s="145" t="n"/>
      <c r="U125" s="145" t="inlineStr">
        <is>
          <t>logged — no data found</t>
        </is>
      </c>
      <c r="V125" s="145" t="n"/>
    </row>
    <row r="126">
      <c r="A126" s="145" t="inlineStr">
        <is>
          <t>C</t>
        </is>
      </c>
      <c r="B126" s="145" t="inlineStr">
        <is>
          <t>🥈 unknown/silent</t>
        </is>
      </c>
      <c r="C126" s="145" t="inlineStr">
        <is>
          <t>HANIN CU</t>
        </is>
      </c>
      <c r="D126" s="145" t="inlineStr">
        <is>
          <t>Credit Union</t>
        </is>
      </c>
      <c r="E126" s="145" t="n"/>
      <c r="F126" s="145" t="n"/>
      <c r="G126" s="145" t="n"/>
      <c r="H126" s="145" t="n"/>
      <c r="I126" s="145" t="n"/>
      <c r="J126" s="145" t="n"/>
      <c r="K126" s="145" t="n"/>
      <c r="L126" s="145" t="n"/>
      <c r="M126" s="145" t="n"/>
      <c r="N126" s="145" t="n"/>
      <c r="O126" s="145" t="inlineStr">
        <is>
          <t>3500 W 6th St, Los Angeles 90020 (Los Angeles)</t>
        </is>
      </c>
      <c r="P126" s="145" t="inlineStr">
        <is>
          <t>11.3</t>
        </is>
      </c>
      <c r="Q126" s="145" t="inlineStr">
        <is>
          <t>24.2</t>
        </is>
      </c>
      <c r="R126" s="145" t="n"/>
      <c r="S126" s="145" t="inlineStr">
        <is>
          <t>31725210</t>
        </is>
      </c>
      <c r="T126" s="145" t="n"/>
      <c r="U126" s="145" t="inlineStr">
        <is>
          <t>affinity Korean; consumer-only</t>
        </is>
      </c>
      <c r="V126" s="145" t="n"/>
    </row>
    <row r="127">
      <c r="A127" s="145" t="inlineStr">
        <is>
          <t>C</t>
        </is>
      </c>
      <c r="B127" s="145" t="inlineStr">
        <is>
          <t>🥈 unknown/silent</t>
        </is>
      </c>
      <c r="C127" s="145" t="inlineStr">
        <is>
          <t>EPISCOPAL COMMUNITY CU</t>
        </is>
      </c>
      <c r="D127" s="145" t="inlineStr">
        <is>
          <t>Credit Union</t>
        </is>
      </c>
      <c r="E127" s="145" t="n"/>
      <c r="F127" s="145" t="n"/>
      <c r="G127" s="145" t="n"/>
      <c r="H127" s="145" t="n"/>
      <c r="I127" s="145" t="n"/>
      <c r="J127" s="145" t="n"/>
      <c r="K127" s="145" t="n"/>
      <c r="L127" s="145" t="n"/>
      <c r="M127" s="145" t="n"/>
      <c r="N127" s="145" t="n"/>
      <c r="O127" s="145" t="inlineStr">
        <is>
          <t>840 Echo Park Ave, Los Angeles 90026 (Los Angeles)</t>
        </is>
      </c>
      <c r="P127" s="145" t="inlineStr">
        <is>
          <t>11.4</t>
        </is>
      </c>
      <c r="Q127" s="145" t="inlineStr">
        <is>
          <t>22.9</t>
        </is>
      </c>
      <c r="R127" s="145" t="n"/>
      <c r="S127" s="145" t="inlineStr">
        <is>
          <t>6625294</t>
        </is>
      </c>
      <c r="T127" s="145" t="n"/>
      <c r="U127" s="145" t="inlineStr">
        <is>
          <t>faith micro</t>
        </is>
      </c>
      <c r="V127" s="145" t="n"/>
    </row>
    <row r="128">
      <c r="A128" s="145" t="inlineStr">
        <is>
          <t>C</t>
        </is>
      </c>
      <c r="B128" s="145" t="inlineStr">
        <is>
          <t>🥈 unknown/silent</t>
        </is>
      </c>
      <c r="C128" s="145" t="inlineStr">
        <is>
          <t>New OMNI Bank, National Association</t>
        </is>
      </c>
      <c r="D128" s="145" t="inlineStr">
        <is>
          <t>Bank</t>
        </is>
      </c>
      <c r="E128" s="145" t="n"/>
      <c r="F128" s="145" t="n"/>
      <c r="G128" s="145" t="n"/>
      <c r="H128" s="145" t="n"/>
      <c r="I128" s="145" t="n"/>
      <c r="J128" s="145" t="n"/>
      <c r="K128" s="145" t="n"/>
      <c r="L128" s="145" t="n"/>
      <c r="M128" s="145" t="n"/>
      <c r="N128" s="145" t="n"/>
      <c r="O128" s="145" t="inlineStr">
        <is>
          <t>1661 Nogales St, Rowland Heights 91748 (Los Angeles)</t>
        </is>
      </c>
      <c r="P128" s="145" t="inlineStr">
        <is>
          <t>11.7</t>
        </is>
      </c>
      <c r="Q128" s="145" t="inlineStr">
        <is>
          <t>13.1</t>
        </is>
      </c>
      <c r="R128" s="145" t="inlineStr">
        <is>
          <t>373768</t>
        </is>
      </c>
      <c r="S128" s="145" t="n"/>
      <c r="T128" s="145" t="n"/>
      <c r="U128" s="145" t="inlineStr">
        <is>
          <t>logged — no data found</t>
        </is>
      </c>
      <c r="V128" s="145" t="n"/>
    </row>
    <row r="129">
      <c r="A129" s="145" t="inlineStr">
        <is>
          <t>C</t>
        </is>
      </c>
      <c r="B129" s="145" t="inlineStr">
        <is>
          <t>🥈 unknown/silent</t>
        </is>
      </c>
      <c r="C129" s="145" t="inlineStr">
        <is>
          <t>Pacific Alliance Bank</t>
        </is>
      </c>
      <c r="D129" s="145" t="inlineStr">
        <is>
          <t>Bank</t>
        </is>
      </c>
      <c r="E129" s="145" t="inlineStr">
        <is>
          <t>❌ No card (commercial/SBA lender; Visa debit only)</t>
        </is>
      </c>
      <c r="F129" s="145" t="inlineStr">
        <is>
          <t>None (SBA 7(a)/504/CRE/construction/term/LOC full-doc)</t>
        </is>
      </c>
      <c r="G129" s="145" t="inlineStr">
        <is>
          <t>—</t>
        </is>
      </c>
      <c r="H129" s="145" t="inlineStr">
        <is>
          <t>N/M</t>
        </is>
      </c>
      <c r="I129" s="145" t="inlineStr">
        <is>
          <t>None</t>
        </is>
      </c>
      <c r="J129" s="145" t="inlineStr">
        <is>
          <t>N/M</t>
        </is>
      </c>
      <c r="K129" s="145" t="n"/>
      <c r="L129" s="145" t="n"/>
      <c r="M129" s="145" t="inlineStr">
        <is>
          <t>N/M</t>
        </is>
      </c>
      <c r="N129" s="145" t="inlineStr">
        <is>
          <t>No</t>
        </is>
      </c>
      <c r="O129" s="145" t="inlineStr">
        <is>
          <t>18906 Gale Ave, Rowland Heights 91748 (Los Angeles)</t>
        </is>
      </c>
      <c r="P129" s="145" t="inlineStr">
        <is>
          <t>11.7</t>
        </is>
      </c>
      <c r="Q129" s="145" t="inlineStr">
        <is>
          <t>13.1</t>
        </is>
      </c>
      <c r="R129" s="145" t="inlineStr">
        <is>
          <t>348048</t>
        </is>
      </c>
      <c r="S129" s="145" t="n"/>
      <c r="T129" s="145" t="inlineStr">
        <is>
          <t>N/M</t>
        </is>
      </c>
      <c r="U129" s="145" t="inlineStr">
        <is>
          <t>(base-covered)</t>
        </is>
      </c>
      <c r="V129" s="145" t="inlineStr">
        <is>
          <t>pacificalliancebank.com (Commercial-Loans, Other-Services); FDIC cert 58234</t>
        </is>
      </c>
    </row>
    <row r="130">
      <c r="A130" s="145" t="inlineStr">
        <is>
          <t>C</t>
        </is>
      </c>
      <c r="B130" s="145" t="inlineStr">
        <is>
          <t>🥈 unknown/silent</t>
        </is>
      </c>
      <c r="C130" s="145" t="inlineStr">
        <is>
          <t>Asian Pacific National Bank</t>
        </is>
      </c>
      <c r="D130" s="145" t="inlineStr">
        <is>
          <t>Bank</t>
        </is>
      </c>
      <c r="E130" s="145" t="inlineStr">
        <is>
          <t>❌ No card (commercial bank; debit/prepaid only)</t>
        </is>
      </c>
      <c r="F130" s="145" t="inlineStr">
        <is>
          <t>None (business loans/LOC/CRE/construction/SBA/hotel-motel/warehouse full-doc)</t>
        </is>
      </c>
      <c r="G130" s="145" t="inlineStr">
        <is>
          <t>—</t>
        </is>
      </c>
      <c r="H130" s="145" t="inlineStr">
        <is>
          <t>N/M</t>
        </is>
      </c>
      <c r="I130" s="145" t="inlineStr">
        <is>
          <t>None</t>
        </is>
      </c>
      <c r="J130" s="145" t="inlineStr">
        <is>
          <t>N/M</t>
        </is>
      </c>
      <c r="K130" s="145" t="n"/>
      <c r="L130" s="145" t="n"/>
      <c r="M130" s="145" t="inlineStr">
        <is>
          <t>N/M</t>
        </is>
      </c>
      <c r="N130" s="145" t="inlineStr">
        <is>
          <t>No</t>
        </is>
      </c>
      <c r="O130" s="145" t="inlineStr">
        <is>
          <t>1719 Fullerton Rd, Unit B, Rowland Heights 91748 (Los Angeles)</t>
        </is>
      </c>
      <c r="P130" s="145" t="inlineStr">
        <is>
          <t>11.7</t>
        </is>
      </c>
      <c r="Q130" s="145" t="inlineStr">
        <is>
          <t>13.1</t>
        </is>
      </c>
      <c r="R130" s="145" t="inlineStr">
        <is>
          <t>44160</t>
        </is>
      </c>
      <c r="S130" s="145" t="n"/>
      <c r="T130" s="145" t="inlineStr">
        <is>
          <t>N/M (smallest CA-HQ'd bank by assets)</t>
        </is>
      </c>
      <c r="U130" s="145" t="inlineStr">
        <is>
          <t>(base-covered)</t>
        </is>
      </c>
      <c r="V130" s="145" t="inlineStr">
        <is>
          <t>asianpacificbank.com (Business-Banking, Banking-Services); occ.treas.gov (charter 23006); FDIC cert 33013</t>
        </is>
      </c>
    </row>
    <row r="131">
      <c r="A131" s="145" t="inlineStr">
        <is>
          <t>C</t>
        </is>
      </c>
      <c r="B131" s="145" t="inlineStr">
        <is>
          <t>🥈 unknown/silent</t>
        </is>
      </c>
      <c r="C131" s="145" t="inlineStr">
        <is>
          <t>SAG-AFTRA CU</t>
        </is>
      </c>
      <c r="D131" s="145" t="inlineStr">
        <is>
          <t>Credit Union</t>
        </is>
      </c>
      <c r="E131" s="145" t="n"/>
      <c r="F131" s="145" t="n"/>
      <c r="G131" s="145" t="n"/>
      <c r="H131" s="145" t="n"/>
      <c r="I131" s="145" t="n"/>
      <c r="J131" s="145" t="n"/>
      <c r="K131" s="145" t="n"/>
      <c r="L131" s="145" t="n"/>
      <c r="M131" s="145" t="n"/>
      <c r="N131" s="145" t="n"/>
      <c r="O131" s="145" t="inlineStr">
        <is>
          <t>5757 Wilshire Blvd Ste 124, Los Angeles 90036 (Los Angeles)</t>
        </is>
      </c>
      <c r="P131" s="145" t="inlineStr">
        <is>
          <t>11.8</t>
        </is>
      </c>
      <c r="Q131" s="145" t="inlineStr">
        <is>
          <t>25.3</t>
        </is>
      </c>
      <c r="R131" s="145" t="n"/>
      <c r="S131" s="145" t="inlineStr">
        <is>
          <t>340594835</t>
        </is>
      </c>
      <c r="T131" s="145" t="n"/>
      <c r="U131" s="145" t="inlineStr">
        <is>
          <t>SEG; consumer-only</t>
        </is>
      </c>
      <c r="V131" s="145" t="n"/>
    </row>
    <row r="132">
      <c r="A132" s="145" t="inlineStr">
        <is>
          <t>C</t>
        </is>
      </c>
      <c r="B132" s="145" t="inlineStr">
        <is>
          <t>🥈 unknown/silent</t>
        </is>
      </c>
      <c r="C132" s="145" t="inlineStr">
        <is>
          <t>ACTORS CU</t>
        </is>
      </c>
      <c r="D132" s="145" t="inlineStr">
        <is>
          <t>Credit Union</t>
        </is>
      </c>
      <c r="E132" s="145" t="n"/>
      <c r="F132" s="145" t="n"/>
      <c r="G132" s="145" t="n"/>
      <c r="H132" s="145" t="n"/>
      <c r="I132" s="145" t="n"/>
      <c r="J132" s="145" t="n"/>
      <c r="K132" s="145" t="n"/>
      <c r="L132" s="145" t="n"/>
      <c r="M132" s="145" t="n"/>
      <c r="N132" s="145" t="n"/>
      <c r="O132" s="145" t="inlineStr">
        <is>
          <t>5757 Wilshire Blvd, Los Angeles 90036 (Los Angeles)</t>
        </is>
      </c>
      <c r="P132" s="145" t="inlineStr">
        <is>
          <t>11.8</t>
        </is>
      </c>
      <c r="Q132" s="145" t="inlineStr">
        <is>
          <t>25.3</t>
        </is>
      </c>
      <c r="R132" s="145" t="n"/>
      <c r="S132" s="145" t="inlineStr">
        <is>
          <t>334790375</t>
        </is>
      </c>
      <c r="T132" s="145" t="n"/>
      <c r="U132" s="145" t="inlineStr">
        <is>
          <t>SEG; biz accts only</t>
        </is>
      </c>
      <c r="V132" s="145" t="n"/>
    </row>
    <row r="133">
      <c r="A133" s="145" t="inlineStr">
        <is>
          <t>C</t>
        </is>
      </c>
      <c r="B133" s="145" t="inlineStr">
        <is>
          <t>🥈 unknown/silent</t>
        </is>
      </c>
      <c r="C133" s="145" t="inlineStr">
        <is>
          <t>Sunflower Bank, National Association</t>
        </is>
      </c>
      <c r="D133" s="145" t="inlineStr">
        <is>
          <t>Bank</t>
        </is>
      </c>
      <c r="E133" s="145" t="n"/>
      <c r="F133" s="145" t="n"/>
      <c r="G133" s="145" t="n"/>
      <c r="H133" s="145" t="n"/>
      <c r="I133" s="145" t="n"/>
      <c r="J133" s="145" t="n"/>
      <c r="K133" s="145" t="n"/>
      <c r="L133" s="145" t="n"/>
      <c r="M133" s="145" t="n"/>
      <c r="N133" s="145" t="n"/>
      <c r="O133" s="145" t="inlineStr">
        <is>
          <t>1888 Century Park E, Los Angeles 90067 (Los Angeles)</t>
        </is>
      </c>
      <c r="P133" s="145" t="inlineStr">
        <is>
          <t>12.1</t>
        </is>
      </c>
      <c r="Q133" s="145" t="inlineStr">
        <is>
          <t>27.2</t>
        </is>
      </c>
      <c r="R133" s="145" t="inlineStr">
        <is>
          <t>127386</t>
        </is>
      </c>
      <c r="S133" s="145" t="n"/>
      <c r="T133" s="145" t="n"/>
      <c r="U133" s="145" t="inlineStr">
        <is>
          <t>logged — no data found</t>
        </is>
      </c>
      <c r="V133" s="145" t="n"/>
    </row>
    <row r="134">
      <c r="A134" s="145" t="inlineStr">
        <is>
          <t>C</t>
        </is>
      </c>
      <c r="B134" s="145" t="inlineStr">
        <is>
          <t>🥈 unknown/silent</t>
        </is>
      </c>
      <c r="C134" s="145" t="inlineStr">
        <is>
          <t>BAXTER CU</t>
        </is>
      </c>
      <c r="D134" s="145" t="inlineStr">
        <is>
          <t>Credit Union</t>
        </is>
      </c>
      <c r="E134" s="145" t="n"/>
      <c r="F134" s="145" t="n"/>
      <c r="G134" s="145" t="n"/>
      <c r="H134" s="145" t="n"/>
      <c r="I134" s="145" t="n"/>
      <c r="J134" s="145" t="n"/>
      <c r="K134" s="145" t="n"/>
      <c r="L134" s="145" t="n"/>
      <c r="M134" s="145" t="n"/>
      <c r="N134" s="145" t="n"/>
      <c r="O134" s="145" t="inlineStr">
        <is>
          <t>1901 E Alton Ave Ste 130, Santa Ana 92705 (Orange)</t>
        </is>
      </c>
      <c r="P134" s="145" t="inlineStr">
        <is>
          <t>12.1</t>
        </is>
      </c>
      <c r="Q134" s="145" t="inlineStr">
        <is>
          <t>14.4</t>
        </is>
      </c>
      <c r="R134" s="145" t="n"/>
      <c r="S134" s="145" t="inlineStr">
        <is>
          <t>6501796742</t>
        </is>
      </c>
      <c r="T134" s="145" t="n"/>
      <c r="U134" s="145" t="inlineStr">
        <is>
          <t>logged — no data found</t>
        </is>
      </c>
      <c r="V134" s="145" t="n"/>
    </row>
    <row r="135">
      <c r="A135" s="145" t="inlineStr">
        <is>
          <t>C</t>
        </is>
      </c>
      <c r="B135" s="145" t="inlineStr">
        <is>
          <t>🥈 unknown/silent</t>
        </is>
      </c>
      <c r="C135" s="145" t="inlineStr">
        <is>
          <t>CALIFORNIA LITHUANIAN CU</t>
        </is>
      </c>
      <c r="D135" s="145" t="inlineStr">
        <is>
          <t>Credit Union</t>
        </is>
      </c>
      <c r="E135" s="145" t="n"/>
      <c r="F135" s="145" t="n"/>
      <c r="G135" s="145" t="n"/>
      <c r="H135" s="145" t="n"/>
      <c r="I135" s="145" t="n"/>
      <c r="J135" s="145" t="n"/>
      <c r="K135" s="145" t="n"/>
      <c r="L135" s="145" t="n"/>
      <c r="M135" s="145" t="n"/>
      <c r="N135" s="145" t="n"/>
      <c r="O135" s="145" t="inlineStr">
        <is>
          <t>2806 Santa Monica Blvd, Santa Monica 90404 (Los Angeles)</t>
        </is>
      </c>
      <c r="P135" s="145" t="inlineStr">
        <is>
          <t>12.2</t>
        </is>
      </c>
      <c r="Q135" s="145" t="inlineStr">
        <is>
          <t>28.9</t>
        </is>
      </c>
      <c r="R135" s="145" t="n"/>
      <c r="S135" s="145" t="inlineStr">
        <is>
          <t>157863523</t>
        </is>
      </c>
      <c r="T135" s="145" t="n"/>
      <c r="U135" s="145" t="inlineStr">
        <is>
          <t>logged — no data found</t>
        </is>
      </c>
      <c r="V135" s="145" t="n"/>
    </row>
    <row r="136">
      <c r="A136" s="145" t="inlineStr">
        <is>
          <t>C</t>
        </is>
      </c>
      <c r="B136" s="145" t="inlineStr">
        <is>
          <t>🥈 unknown/silent</t>
        </is>
      </c>
      <c r="C136" s="145" t="inlineStr">
        <is>
          <t>California Bank of Commerce, National Association</t>
        </is>
      </c>
      <c r="D136" s="145" t="inlineStr">
        <is>
          <t>Bank</t>
        </is>
      </c>
      <c r="E136" s="145" t="n"/>
      <c r="F136" s="145" t="n"/>
      <c r="G136" s="145" t="n"/>
      <c r="H136" s="145" t="n"/>
      <c r="I136" s="145" t="n"/>
      <c r="J136" s="145" t="n"/>
      <c r="K136" s="145" t="n"/>
      <c r="L136" s="145" t="n"/>
      <c r="M136" s="145" t="n"/>
      <c r="N136" s="145" t="n"/>
      <c r="O136" s="145" t="inlineStr">
        <is>
          <t>1640 S Sepulveda Blvd Ste 130, Los Angeles 90025 (Los Angeles)</t>
        </is>
      </c>
      <c r="P136" s="145" t="inlineStr">
        <is>
          <t>12.3</t>
        </is>
      </c>
      <c r="Q136" s="145" t="inlineStr">
        <is>
          <t>28.1</t>
        </is>
      </c>
      <c r="R136" s="145" t="inlineStr">
        <is>
          <t>1325620</t>
        </is>
      </c>
      <c r="S136" s="145" t="n"/>
      <c r="T136" s="145" t="n"/>
      <c r="U136" s="145" t="inlineStr">
        <is>
          <t>logged — no data found</t>
        </is>
      </c>
      <c r="V136" s="145" t="n"/>
    </row>
    <row r="137">
      <c r="A137" s="145" t="inlineStr">
        <is>
          <t>C</t>
        </is>
      </c>
      <c r="B137" s="145" t="inlineStr">
        <is>
          <t>🥈 unknown/silent</t>
        </is>
      </c>
      <c r="C137" s="145" t="inlineStr">
        <is>
          <t>EL MONTE COMMUNITY CU</t>
        </is>
      </c>
      <c r="D137" s="145" t="inlineStr">
        <is>
          <t>Credit Union</t>
        </is>
      </c>
      <c r="E137" s="145" t="n"/>
      <c r="F137" s="145" t="n"/>
      <c r="G137" s="145" t="n"/>
      <c r="H137" s="145" t="n"/>
      <c r="I137" s="145" t="n"/>
      <c r="J137" s="145" t="n"/>
      <c r="K137" s="145" t="n"/>
      <c r="L137" s="145" t="n"/>
      <c r="M137" s="145" t="n"/>
      <c r="N137" s="145" t="n"/>
      <c r="O137" s="145" t="inlineStr">
        <is>
          <t>11718 Ramona Blvd, El Monte 91732 (Los Angeles)</t>
        </is>
      </c>
      <c r="P137" s="145" t="inlineStr">
        <is>
          <t>12.4</t>
        </is>
      </c>
      <c r="Q137" s="145" t="inlineStr">
        <is>
          <t>15.7</t>
        </is>
      </c>
      <c r="R137" s="145" t="n"/>
      <c r="S137" s="145" t="inlineStr">
        <is>
          <t>32961526</t>
        </is>
      </c>
      <c r="T137" s="145" t="n"/>
      <c r="U137" s="145" t="inlineStr">
        <is>
          <t>open; consumer-only</t>
        </is>
      </c>
      <c r="V137" s="145" t="n"/>
    </row>
    <row r="138">
      <c r="A138" s="145" t="inlineStr">
        <is>
          <t>C</t>
        </is>
      </c>
      <c r="B138" s="145" t="inlineStr">
        <is>
          <t>🥈 unknown/silent</t>
        </is>
      </c>
      <c r="C138" s="145" t="inlineStr">
        <is>
          <t>JUSTICE CU</t>
        </is>
      </c>
      <c r="D138" s="145" t="inlineStr">
        <is>
          <t>Credit Union</t>
        </is>
      </c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inlineStr">
        <is>
          <t>11000 Wilshire Blvd, Los Angeles 90024 (Los Angeles)</t>
        </is>
      </c>
      <c r="P138" s="145" t="inlineStr">
        <is>
          <t>12.7</t>
        </is>
      </c>
      <c r="Q138" s="145" t="inlineStr">
        <is>
          <t>27.8</t>
        </is>
      </c>
      <c r="R138" s="145" t="n"/>
      <c r="S138" s="145" t="inlineStr">
        <is>
          <t>1158996534</t>
        </is>
      </c>
      <c r="T138" s="145" t="n"/>
      <c r="U138" s="145" t="inlineStr">
        <is>
          <t>SEG justice/LE; consumer-only</t>
        </is>
      </c>
      <c r="V138" s="145" t="n"/>
    </row>
    <row r="139">
      <c r="A139" s="145" t="inlineStr">
        <is>
          <t>C</t>
        </is>
      </c>
      <c r="B139" s="145" t="inlineStr">
        <is>
          <t>🥈 unknown/silent</t>
        </is>
      </c>
      <c r="C139" s="145" t="inlineStr">
        <is>
          <t>First Credit Bank</t>
        </is>
      </c>
      <c r="D139" s="145" t="inlineStr">
        <is>
          <t>Bank</t>
        </is>
      </c>
      <c r="E139" s="145" t="inlineStr">
        <is>
          <t>⚠️ No card (single-branch CRE/commercial lender; no website)</t>
        </is>
      </c>
      <c r="F139" s="145" t="inlineStr">
        <is>
          <t>None (CRE/construction/business term/LOC full-doc)</t>
        </is>
      </c>
      <c r="G139" s="145" t="inlineStr">
        <is>
          <t>—</t>
        </is>
      </c>
      <c r="H139" s="145" t="inlineStr">
        <is>
          <t>N/M</t>
        </is>
      </c>
      <c r="I139" s="145" t="inlineStr">
        <is>
          <t>None</t>
        </is>
      </c>
      <c r="J139" s="145" t="inlineStr">
        <is>
          <t>N/M</t>
        </is>
      </c>
      <c r="K139" s="145" t="n"/>
      <c r="L139" s="145" t="n"/>
      <c r="M139" s="145" t="inlineStr">
        <is>
          <t>N/M</t>
        </is>
      </c>
      <c r="N139" s="145" t="inlineStr">
        <is>
          <t>No</t>
        </is>
      </c>
      <c r="O139" s="145" t="inlineStr">
        <is>
          <t>9255 W Sunset Blvd, Los Angeles 90069 (Los Angeles)</t>
        </is>
      </c>
      <c r="P139" s="145" t="inlineStr">
        <is>
          <t>12.9</t>
        </is>
      </c>
      <c r="Q139" s="145" t="inlineStr">
        <is>
          <t>26.2</t>
        </is>
      </c>
      <c r="R139" s="145" t="inlineStr">
        <is>
          <t>282355</t>
        </is>
      </c>
      <c r="S139" s="145" t="n"/>
      <c r="T139" s="145" t="inlineStr">
        <is>
          <t>N/M</t>
        </is>
      </c>
      <c r="U139" s="145" t="inlineStr">
        <is>
          <t>(base-covered)</t>
        </is>
      </c>
      <c r="V139" s="145" t="inlineStr">
        <is>
          <t>FDIC cert 24332; dfpi.ca.gov (First Credit Bank + calfcb.com fraud alert)</t>
        </is>
      </c>
    </row>
    <row r="140">
      <c r="A140" s="145" t="inlineStr">
        <is>
          <t>C</t>
        </is>
      </c>
      <c r="B140" s="145" t="inlineStr">
        <is>
          <t>🥈 unknown/silent</t>
        </is>
      </c>
      <c r="C140" s="145" t="inlineStr">
        <is>
          <t>AMERICAN BROADCAST EMPLOYEES CU</t>
        </is>
      </c>
      <c r="D140" s="145" t="inlineStr">
        <is>
          <t>Credit Union</t>
        </is>
      </c>
      <c r="E140" s="145" t="n"/>
      <c r="F140" s="145" t="n"/>
      <c r="G140" s="145" t="n"/>
      <c r="H140" s="145" t="n"/>
      <c r="I140" s="145" t="n"/>
      <c r="J140" s="145" t="n"/>
      <c r="K140" s="145" t="n"/>
      <c r="L140" s="145" t="n"/>
      <c r="M140" s="145" t="n"/>
      <c r="N140" s="145" t="n"/>
      <c r="O140" s="145" t="inlineStr">
        <is>
          <t>4151 Prospect Ave, Los Angeles 90027 (Los Angeles)</t>
        </is>
      </c>
      <c r="P140" s="145" t="inlineStr">
        <is>
          <t>13.3</t>
        </is>
      </c>
      <c r="Q140" s="145" t="inlineStr">
        <is>
          <t>23.8</t>
        </is>
      </c>
      <c r="R140" s="145" t="n"/>
      <c r="S140" s="145" t="inlineStr">
        <is>
          <t>113628535</t>
        </is>
      </c>
      <c r="T140" s="145" t="n"/>
      <c r="U140" s="145" t="inlineStr">
        <is>
          <t>SEG ABC/Disney; consumer-only</t>
        </is>
      </c>
      <c r="V140" s="145" t="n"/>
    </row>
    <row r="141">
      <c r="A141" s="145" t="inlineStr">
        <is>
          <t>C</t>
        </is>
      </c>
      <c r="B141" s="145" t="inlineStr">
        <is>
          <t>🥈 unknown/silent</t>
        </is>
      </c>
      <c r="C141" s="145" t="inlineStr">
        <is>
          <t>E-CENTRAL CU</t>
        </is>
      </c>
      <c r="D141" s="145" t="inlineStr">
        <is>
          <t>Credit Union</t>
        </is>
      </c>
      <c r="E141" s="145" t="inlineStr">
        <is>
          <t>NOT FOUND (consumer Platinum/Secured only; site 403s bots)</t>
        </is>
      </c>
      <c r="F141" s="145" t="inlineStr">
        <is>
          <t>N/M (SBA lender; commercial exists)</t>
        </is>
      </c>
      <c r="G141" s="145" t="inlineStr">
        <is>
          <t>N/M</t>
        </is>
      </c>
      <c r="H141" s="145" t="inlineStr">
        <is>
          <t>N/M</t>
        </is>
      </c>
      <c r="I141" s="145" t="inlineStr">
        <is>
          <t>N/M</t>
        </is>
      </c>
      <c r="J141" s="145" t="inlineStr">
        <is>
          <t>N/M</t>
        </is>
      </c>
      <c r="K141" s="145" t="inlineStr">
        <is>
          <t>N/M</t>
        </is>
      </c>
      <c r="L141" s="145" t="inlineStr">
        <is>
          <t>N/M</t>
        </is>
      </c>
      <c r="M141" s="145" t="inlineStr">
        <is>
          <t>Any-other-CU-member path (3P-stated) — IN-BRANCH only; verify on site</t>
        </is>
      </c>
      <c r="N141" s="145" t="inlineStr">
        <is>
          <t>In-branch (Pasadena 990 S Fair Oaks)</t>
        </is>
      </c>
      <c r="O141" s="145" t="inlineStr">
        <is>
          <t>990 S Fair Oaks Ave, Pasadena 91105 (Los Angeles)</t>
        </is>
      </c>
      <c r="P141" s="145" t="inlineStr">
        <is>
          <t>13.5</t>
        </is>
      </c>
      <c r="Q141" s="145" t="inlineStr">
        <is>
          <t>20.1</t>
        </is>
      </c>
      <c r="R141" s="145" t="n"/>
      <c r="S141" s="145" t="inlineStr">
        <is>
          <t>174543984</t>
        </is>
      </c>
      <c r="T141" s="145" t="n"/>
      <c r="U141" s="145" t="inlineStr">
        <is>
          <t>THIN — visit-and-ask only</t>
        </is>
      </c>
      <c r="V141" s="145" t="inlineStr">
        <is>
          <t>https://www.depositaccounts.com/banks/ecentral-cu.html</t>
        </is>
      </c>
    </row>
    <row r="142">
      <c r="A142" s="145" t="inlineStr">
        <is>
          <t>C</t>
        </is>
      </c>
      <c r="B142" s="145" t="inlineStr">
        <is>
          <t>🥈 unknown/silent</t>
        </is>
      </c>
      <c r="C142" s="145" t="inlineStr">
        <is>
          <t>BEVERLY HILLS CITY EMPLOYEES CU</t>
        </is>
      </c>
      <c r="D142" s="145" t="inlineStr">
        <is>
          <t>Credit Union</t>
        </is>
      </c>
      <c r="E142" s="145" t="n"/>
      <c r="F142" s="145" t="n"/>
      <c r="G142" s="145" t="n"/>
      <c r="H142" s="145" t="n"/>
      <c r="I142" s="145" t="n"/>
      <c r="J142" s="145" t="n"/>
      <c r="K142" s="145" t="n"/>
      <c r="L142" s="145" t="n"/>
      <c r="M142" s="145" t="n"/>
      <c r="N142" s="145" t="n"/>
      <c r="O142" s="145" t="inlineStr">
        <is>
          <t>9298 W 3RD ST, BEVERLY HILLS 90210 (Los Angeles)</t>
        </is>
      </c>
      <c r="P142" s="145" t="inlineStr">
        <is>
          <t>13.5</t>
        </is>
      </c>
      <c r="Q142" s="145" t="inlineStr">
        <is>
          <t>27.2</t>
        </is>
      </c>
      <c r="R142" s="145" t="n"/>
      <c r="S142" s="145" t="inlineStr">
        <is>
          <t>14904068</t>
        </is>
      </c>
      <c r="T142" s="145" t="n"/>
      <c r="U142" s="145" t="inlineStr">
        <is>
          <t>⚠ conservatorship 1/22/26 → merging into Nuvision</t>
        </is>
      </c>
      <c r="V142" s="145" t="n"/>
    </row>
    <row r="143">
      <c r="A143" s="145" t="inlineStr">
        <is>
          <t>C</t>
        </is>
      </c>
      <c r="B143" s="145" t="inlineStr">
        <is>
          <t>🥈 unknown/silent</t>
        </is>
      </c>
      <c r="C143" s="145" t="inlineStr">
        <is>
          <t>California Business Bank</t>
        </is>
      </c>
      <c r="D143" s="145" t="inlineStr">
        <is>
          <t>Bank</t>
        </is>
      </c>
      <c r="E143" s="145" t="inlineStr">
        <is>
          <t>❌ No card (deposits + commercial/SBA loans; no card or debit listed)</t>
        </is>
      </c>
      <c r="F143" s="145" t="inlineStr">
        <is>
          <t>None (Streamlined SBA &lt;=$150K is lightest-touch but still documented SBA; commercial full-</t>
        </is>
      </c>
      <c r="G143" s="145" t="inlineStr">
        <is>
          <t>—</t>
        </is>
      </c>
      <c r="H143" s="145" t="inlineStr">
        <is>
          <t>N/M</t>
        </is>
      </c>
      <c r="I143" s="145" t="inlineStr">
        <is>
          <t>None</t>
        </is>
      </c>
      <c r="J143" s="145" t="inlineStr">
        <is>
          <t>N/M</t>
        </is>
      </c>
      <c r="K143" s="145" t="n"/>
      <c r="L143" s="145" t="n"/>
      <c r="M143" s="145" t="inlineStr">
        <is>
          <t>N/M</t>
        </is>
      </c>
      <c r="N143" s="145" t="inlineStr">
        <is>
          <t>No</t>
        </is>
      </c>
      <c r="O143" s="145" t="inlineStr">
        <is>
          <t>3200 El Camino Real, Ste 220, Irvine 92602 (Orange)</t>
        </is>
      </c>
      <c r="P143" s="145" t="inlineStr">
        <is>
          <t>13.6</t>
        </is>
      </c>
      <c r="Q143" s="145" t="inlineStr">
        <is>
          <t>14.4</t>
        </is>
      </c>
      <c r="R143" s="145" t="inlineStr">
        <is>
          <t>94272</t>
        </is>
      </c>
      <c r="S143" s="145" t="n"/>
      <c r="T143" s="145" t="inlineStr">
        <is>
          <t>N/M (no card product)</t>
        </is>
      </c>
      <c r="U143" s="145" t="inlineStr">
        <is>
          <t>(base-covered)</t>
        </is>
      </c>
      <c r="V143" s="145" t="inlineStr">
        <is>
          <t>californiabusinessbank.com (business-deposits, sba-loans); FDIC cert 58037</t>
        </is>
      </c>
    </row>
    <row r="144">
      <c r="A144" s="145" t="inlineStr">
        <is>
          <t>C</t>
        </is>
      </c>
      <c r="B144" s="145" t="inlineStr">
        <is>
          <t>🥈 unknown/silent</t>
        </is>
      </c>
      <c r="C144" s="145" t="inlineStr">
        <is>
          <t>CALTECH EMPLOYEES CU</t>
        </is>
      </c>
      <c r="D144" s="145" t="inlineStr">
        <is>
          <t>Credit Union</t>
        </is>
      </c>
      <c r="E144" s="145" t="n"/>
      <c r="F144" s="145" t="n"/>
      <c r="G144" s="145" t="n"/>
      <c r="H144" s="145" t="n"/>
      <c r="I144" s="145" t="n"/>
      <c r="J144" s="145" t="n"/>
      <c r="K144" s="145" t="n"/>
      <c r="L144" s="145" t="n"/>
      <c r="M144" s="145" t="n"/>
      <c r="N144" s="145" t="n"/>
      <c r="O144" s="145" t="inlineStr">
        <is>
          <t>515 S Wilson Ave, Pasadena 91106 (Los Angeles)</t>
        </is>
      </c>
      <c r="P144" s="145" t="inlineStr">
        <is>
          <t>13.6</t>
        </is>
      </c>
      <c r="Q144" s="145" t="inlineStr">
        <is>
          <t>19.1</t>
        </is>
      </c>
      <c r="R144" s="145" t="n"/>
      <c r="S144" s="145" t="inlineStr">
        <is>
          <t>2176332001</t>
        </is>
      </c>
      <c r="T144" s="145" t="n"/>
      <c r="U144" s="145" t="inlineStr">
        <is>
          <t>SEG; consumer-only</t>
        </is>
      </c>
      <c r="V144" s="145" t="n"/>
    </row>
    <row r="145">
      <c r="A145" s="145" t="inlineStr">
        <is>
          <t>C</t>
        </is>
      </c>
      <c r="B145" s="145" t="inlineStr">
        <is>
          <t>🥈 unknown/silent</t>
        </is>
      </c>
      <c r="C145" s="145" t="inlineStr">
        <is>
          <t>LOGIX CU</t>
        </is>
      </c>
      <c r="D145" s="145" t="inlineStr">
        <is>
          <t>Credit Union</t>
        </is>
      </c>
      <c r="E145" s="145" t="n"/>
      <c r="F145" s="145" t="n"/>
      <c r="G145" s="145" t="n"/>
      <c r="H145" s="145" t="n"/>
      <c r="I145" s="145" t="n"/>
      <c r="J145" s="145" t="n"/>
      <c r="K145" s="145" t="n"/>
      <c r="L145" s="145" t="n"/>
      <c r="M145" s="145" t="n"/>
      <c r="N145" s="145" t="n"/>
      <c r="O145" s="145" t="inlineStr">
        <is>
          <t>180 S Lake Ave, Pasadena 91101 (Los Angeles)</t>
        </is>
      </c>
      <c r="P145" s="145" t="inlineStr">
        <is>
          <t>13.8</t>
        </is>
      </c>
      <c r="Q145" s="145" t="inlineStr">
        <is>
          <t>19.4</t>
        </is>
      </c>
      <c r="R145" s="145" t="n"/>
      <c r="S145" s="145" t="inlineStr">
        <is>
          <t>9716129809</t>
        </is>
      </c>
      <c r="T145" s="145" t="n"/>
      <c r="U145" s="145" t="inlineStr">
        <is>
          <t>logged — no data found</t>
        </is>
      </c>
      <c r="V145" s="145" t="n"/>
    </row>
    <row r="146">
      <c r="A146" s="145" t="inlineStr">
        <is>
          <t>C</t>
        </is>
      </c>
      <c r="B146" s="145" t="inlineStr">
        <is>
          <t>🥈 unknown/silent</t>
        </is>
      </c>
      <c r="C146" s="145" t="inlineStr">
        <is>
          <t>Nano Banc</t>
        </is>
      </c>
      <c r="D146" s="145" t="inlineStr">
        <is>
          <t>Bank</t>
        </is>
      </c>
      <c r="E146" s="145" t="inlineStr">
        <is>
          <t>❌ No card (commercial lender + deposit/treasury; debit only)</t>
        </is>
      </c>
      <c r="F146" s="145" t="inlineStr">
        <is>
          <t>None (C&amp;I/CRE/equipment/working-capital/LOC full-doc)</t>
        </is>
      </c>
      <c r="G146" s="145" t="inlineStr">
        <is>
          <t>—</t>
        </is>
      </c>
      <c r="H146" s="145" t="inlineStr">
        <is>
          <t>N/M</t>
        </is>
      </c>
      <c r="I146" s="145" t="inlineStr">
        <is>
          <t>None</t>
        </is>
      </c>
      <c r="J146" s="145" t="inlineStr">
        <is>
          <t>N/M</t>
        </is>
      </c>
      <c r="K146" s="145" t="n"/>
      <c r="L146" s="145" t="n"/>
      <c r="M146" s="145" t="inlineStr">
        <is>
          <t>N/M</t>
        </is>
      </c>
      <c r="N146" s="145" t="inlineStr">
        <is>
          <t>No</t>
        </is>
      </c>
      <c r="O146" s="145" t="inlineStr">
        <is>
          <t>7755 Irvine Center Dr Fl 3, Irvine 92618 (Orange)</t>
        </is>
      </c>
      <c r="P146" s="145" t="inlineStr">
        <is>
          <t>13.9</t>
        </is>
      </c>
      <c r="Q146" s="145" t="inlineStr">
        <is>
          <t>16.4</t>
        </is>
      </c>
      <c r="R146" s="145" t="inlineStr">
        <is>
          <t>804571</t>
        </is>
      </c>
      <c r="S146" s="145" t="n"/>
      <c r="T146" s="145" t="inlineStr">
        <is>
          <t>N/M</t>
        </is>
      </c>
      <c r="U146" s="145" t="inlineStr">
        <is>
          <t>(base-covered)</t>
        </is>
      </c>
      <c r="V146" s="145" t="inlineStr">
        <is>
          <t>nanobanc.com (business-accounts, lending, ci-lending); FDIC cert 58590</t>
        </is>
      </c>
    </row>
    <row r="147">
      <c r="A147" s="145" t="inlineStr">
        <is>
          <t>C</t>
        </is>
      </c>
      <c r="B147" s="145" t="inlineStr">
        <is>
          <t>🥈 unknown/silent</t>
        </is>
      </c>
      <c r="C147" s="145" t="inlineStr">
        <is>
          <t>Bank Irvine</t>
        </is>
      </c>
      <c r="D147" s="145" t="inlineStr">
        <is>
          <t>Bank</t>
        </is>
      </c>
      <c r="E147" s="145" t="inlineStr">
        <is>
          <t>❌ No card (de novo commercial bank; Mastercard debit only)</t>
        </is>
      </c>
      <c r="F147" s="145" t="inlineStr">
        <is>
          <t>None (C&amp;I/CRE/multifamily/SBA full-doc)</t>
        </is>
      </c>
      <c r="G147" s="145" t="inlineStr">
        <is>
          <t>—</t>
        </is>
      </c>
      <c r="H147" s="145" t="inlineStr">
        <is>
          <t>N/M</t>
        </is>
      </c>
      <c r="I147" s="145" t="inlineStr">
        <is>
          <t>None</t>
        </is>
      </c>
      <c r="J147" s="145" t="inlineStr">
        <is>
          <t>N/M</t>
        </is>
      </c>
      <c r="K147" s="145" t="n"/>
      <c r="L147" s="145" t="n"/>
      <c r="M147" s="145" t="inlineStr">
        <is>
          <t>N/M</t>
        </is>
      </c>
      <c r="N147" s="145" t="inlineStr">
        <is>
          <t>No</t>
        </is>
      </c>
      <c r="O147" s="145" t="inlineStr">
        <is>
          <t>6201 Oak Canyon, Suite 150, Irvine 92618 (Orange)</t>
        </is>
      </c>
      <c r="P147" s="145" t="inlineStr">
        <is>
          <t>13.9</t>
        </is>
      </c>
      <c r="Q147" s="145" t="inlineStr">
        <is>
          <t>16.4</t>
        </is>
      </c>
      <c r="R147" s="145" t="inlineStr">
        <is>
          <t>164233</t>
        </is>
      </c>
      <c r="S147" s="145" t="n"/>
      <c r="T147" s="145" t="inlineStr">
        <is>
          <t>N/M</t>
        </is>
      </c>
      <c r="U147" s="145" t="inlineStr">
        <is>
          <t>(base-covered)</t>
        </is>
      </c>
      <c r="V147" s="145" t="inlineStr">
        <is>
          <t>bankirvine.com/business-banking + /debit-card; FDIC cert 59296</t>
        </is>
      </c>
    </row>
    <row r="148">
      <c r="A148" s="145" t="inlineStr">
        <is>
          <t>C</t>
        </is>
      </c>
      <c r="B148" s="145" t="inlineStr">
        <is>
          <t>🥈 unknown/silent</t>
        </is>
      </c>
      <c r="C148" s="145" t="inlineStr">
        <is>
          <t>Capital Bank and Trust Company</t>
        </is>
      </c>
      <c r="D148" s="145" t="inlineStr">
        <is>
          <t>Bank</t>
        </is>
      </c>
      <c r="E148" s="145" t="inlineStr">
        <is>
          <t>❌ No card (Capital Group / American Funds captive trust &amp; custody bank)</t>
        </is>
      </c>
      <c r="F148" s="145" t="inlineStr">
        <is>
          <t>None (no commercial lending or card; retirement custody only)</t>
        </is>
      </c>
      <c r="G148" s="145" t="inlineStr">
        <is>
          <t>—</t>
        </is>
      </c>
      <c r="H148" s="145" t="inlineStr">
        <is>
          <t>N/M</t>
        </is>
      </c>
      <c r="I148" s="145" t="inlineStr">
        <is>
          <t>None</t>
        </is>
      </c>
      <c r="J148" s="145" t="inlineStr">
        <is>
          <t>N/M</t>
        </is>
      </c>
      <c r="K148" s="145" t="n"/>
      <c r="L148" s="145" t="n"/>
      <c r="M148" s="145" t="inlineStr">
        <is>
          <t>N/M</t>
        </is>
      </c>
      <c r="N148" s="145" t="inlineStr">
        <is>
          <t>No</t>
        </is>
      </c>
      <c r="O148" s="145" t="inlineStr">
        <is>
          <t>6455 Irvine Center Dr, Irvine 92618 (Orange)</t>
        </is>
      </c>
      <c r="P148" s="145" t="inlineStr">
        <is>
          <t>13.9</t>
        </is>
      </c>
      <c r="Q148" s="145" t="inlineStr">
        <is>
          <t>16.4</t>
        </is>
      </c>
      <c r="R148" s="145" t="inlineStr">
        <is>
          <t>500</t>
        </is>
      </c>
      <c r="S148" s="145" t="n"/>
      <c r="T148" s="145" t="inlineStr">
        <is>
          <t>N/M (directed-trustee/custodial for American Funds retirement plans + IRAs)</t>
        </is>
      </c>
      <c r="U148" s="145" t="inlineStr">
        <is>
          <t>(base-covered)</t>
        </is>
      </c>
      <c r="V148" s="145" t="inlineStr">
        <is>
          <t>FDIC cert 35164 (WEBADDR americanfunds.com); en.wikipedia.org/wiki/Capital_Group</t>
        </is>
      </c>
    </row>
    <row r="149">
      <c r="A149" s="145" t="inlineStr">
        <is>
          <t>C</t>
        </is>
      </c>
      <c r="B149" s="145" t="inlineStr">
        <is>
          <t>🥈 unknown/silent</t>
        </is>
      </c>
      <c r="C149" s="145" t="inlineStr">
        <is>
          <t>UNIVERSAL CITY STUDIOS CU</t>
        </is>
      </c>
      <c r="D149" s="145" t="inlineStr">
        <is>
          <t>Credit Union</t>
        </is>
      </c>
      <c r="E149" s="145" t="n"/>
      <c r="F149" s="145" t="n"/>
      <c r="G149" s="145" t="n"/>
      <c r="H149" s="145" t="n"/>
      <c r="I149" s="145" t="n"/>
      <c r="J149" s="145" t="n"/>
      <c r="K149" s="145" t="n"/>
      <c r="L149" s="145" t="n"/>
      <c r="M149" s="145" t="n"/>
      <c r="N149" s="145" t="n"/>
      <c r="O149" s="145" t="inlineStr">
        <is>
          <t>90 Universal City Plz, Universal City 91608 (Los Angeles)</t>
        </is>
      </c>
      <c r="P149" s="145" t="inlineStr">
        <is>
          <t>14.0</t>
        </is>
      </c>
      <c r="Q149" s="145" t="inlineStr">
        <is>
          <t>25.4</t>
        </is>
      </c>
      <c r="R149" s="145" t="n"/>
      <c r="S149" s="145" t="inlineStr">
        <is>
          <t>71839650</t>
        </is>
      </c>
      <c r="T149" s="145" t="n"/>
      <c r="U149" s="145" t="inlineStr">
        <is>
          <t>open SFV; consumer-only</t>
        </is>
      </c>
      <c r="V149" s="145" t="n"/>
    </row>
    <row r="150">
      <c r="A150" s="145" t="inlineStr">
        <is>
          <t>C</t>
        </is>
      </c>
      <c r="B150" s="145" t="inlineStr">
        <is>
          <t>🥈 unknown/silent</t>
        </is>
      </c>
      <c r="C150" s="145" t="inlineStr">
        <is>
          <t>GLENDALE AREA SCHOOLS CU</t>
        </is>
      </c>
      <c r="D150" s="145" t="inlineStr">
        <is>
          <t>Credit Union</t>
        </is>
      </c>
      <c r="E150" s="145" t="n"/>
      <c r="F150" s="145" t="n"/>
      <c r="G150" s="145" t="n"/>
      <c r="H150" s="145" t="n"/>
      <c r="I150" s="145" t="n"/>
      <c r="J150" s="145" t="n"/>
      <c r="K150" s="145" t="n"/>
      <c r="L150" s="145" t="n"/>
      <c r="M150" s="145" t="n"/>
      <c r="N150" s="145" t="n"/>
      <c r="O150" s="145" t="inlineStr">
        <is>
          <t>223 N Jackson St, Glendale 91206 (Los Angeles)</t>
        </is>
      </c>
      <c r="P150" s="145" t="inlineStr">
        <is>
          <t>14.1</t>
        </is>
      </c>
      <c r="Q150" s="145" t="inlineStr">
        <is>
          <t>21.6</t>
        </is>
      </c>
      <c r="R150" s="145" t="n"/>
      <c r="S150" s="145" t="inlineStr">
        <is>
          <t>421654861</t>
        </is>
      </c>
      <c r="T150" s="145" t="n"/>
      <c r="U150" s="145" t="inlineStr">
        <is>
          <t>SEG schools(ASI); biz loans no card</t>
        </is>
      </c>
      <c r="V150" s="145" t="n"/>
    </row>
    <row r="151">
      <c r="A151" s="145" t="inlineStr">
        <is>
          <t>C</t>
        </is>
      </c>
      <c r="B151" s="145" t="inlineStr">
        <is>
          <t>🥈 unknown/silent</t>
        </is>
      </c>
      <c r="C151" s="145" t="inlineStr">
        <is>
          <t>CALIFORNIA ADVENTIST CU</t>
        </is>
      </c>
      <c r="D151" s="145" t="inlineStr">
        <is>
          <t>Credit Union</t>
        </is>
      </c>
      <c r="E151" s="145" t="n"/>
      <c r="F151" s="145" t="n"/>
      <c r="G151" s="145" t="n"/>
      <c r="H151" s="145" t="n"/>
      <c r="I151" s="145" t="n"/>
      <c r="J151" s="145" t="n"/>
      <c r="K151" s="145" t="n"/>
      <c r="L151" s="145" t="n"/>
      <c r="M151" s="145" t="n"/>
      <c r="N151" s="145" t="n"/>
      <c r="O151" s="145" t="inlineStr">
        <is>
          <t>1441 E Chevy Chase Dr, Glendale 91206 (Los Angeles)</t>
        </is>
      </c>
      <c r="P151" s="145" t="inlineStr">
        <is>
          <t>14.1</t>
        </is>
      </c>
      <c r="Q151" s="145" t="inlineStr">
        <is>
          <t>21.6</t>
        </is>
      </c>
      <c r="R151" s="145" t="n"/>
      <c r="S151" s="145" t="inlineStr">
        <is>
          <t>46063173</t>
        </is>
      </c>
      <c r="T151" s="145" t="n"/>
      <c r="U151" s="145" t="inlineStr">
        <is>
          <t>logged — no data found</t>
        </is>
      </c>
      <c r="V151" s="145" t="n"/>
    </row>
    <row r="152">
      <c r="A152" s="145" t="inlineStr">
        <is>
          <t>C</t>
        </is>
      </c>
      <c r="B152" s="145" t="inlineStr">
        <is>
          <t>🥈 unknown/silent</t>
        </is>
      </c>
      <c r="C152" s="145" t="inlineStr">
        <is>
          <t>UNITED CATHOLICS CU</t>
        </is>
      </c>
      <c r="D152" s="145" t="inlineStr">
        <is>
          <t>Credit Union</t>
        </is>
      </c>
      <c r="E152" s="145" t="n"/>
      <c r="F152" s="145" t="n"/>
      <c r="G152" s="145" t="n"/>
      <c r="H152" s="145" t="n"/>
      <c r="I152" s="145" t="n"/>
      <c r="J152" s="145" t="n"/>
      <c r="K152" s="145" t="n"/>
      <c r="L152" s="145" t="n"/>
      <c r="M152" s="145" t="n"/>
      <c r="N152" s="145" t="n"/>
      <c r="O152" s="145" t="inlineStr">
        <is>
          <t>160 E COLLEGE ST, COVINA 91723 (Los Angeles)</t>
        </is>
      </c>
      <c r="P152" s="145" t="inlineStr">
        <is>
          <t>14.7</t>
        </is>
      </c>
      <c r="Q152" s="145" t="inlineStr">
        <is>
          <t>12.1</t>
        </is>
      </c>
      <c r="R152" s="145" t="n"/>
      <c r="S152" s="145" t="inlineStr">
        <is>
          <t>50035236</t>
        </is>
      </c>
      <c r="T152" s="145" t="n"/>
      <c r="U152" s="145" t="inlineStr">
        <is>
          <t>parish; consumer-only</t>
        </is>
      </c>
      <c r="V152" s="145" t="n"/>
    </row>
    <row r="153">
      <c r="A153" s="145" t="inlineStr">
        <is>
          <t>C</t>
        </is>
      </c>
      <c r="B153" s="145" t="inlineStr">
        <is>
          <t>🥈 unknown/silent</t>
        </is>
      </c>
      <c r="C153" s="145" t="inlineStr">
        <is>
          <t>GAIN CU</t>
        </is>
      </c>
      <c r="D153" s="145" t="inlineStr">
        <is>
          <t>Credit Union</t>
        </is>
      </c>
      <c r="E153" s="145" t="n"/>
      <c r="F153" s="145" t="n"/>
      <c r="G153" s="145" t="n"/>
      <c r="H153" s="145" t="n"/>
      <c r="I153" s="145" t="n"/>
      <c r="J153" s="145" t="n"/>
      <c r="K153" s="145" t="n"/>
      <c r="L153" s="145" t="n"/>
      <c r="M153" s="145" t="n"/>
      <c r="N153" s="145" t="n"/>
      <c r="O153" s="145" t="inlineStr">
        <is>
          <t>1800 W Magnolia Blvd, Burbank 91506 (Los Angeles)</t>
        </is>
      </c>
      <c r="P153" s="145" t="inlineStr">
        <is>
          <t>14.8</t>
        </is>
      </c>
      <c r="Q153" s="145" t="inlineStr">
        <is>
          <t>24.7</t>
        </is>
      </c>
      <c r="R153" s="145" t="n"/>
      <c r="S153" s="145" t="inlineStr">
        <is>
          <t>439328634</t>
        </is>
      </c>
      <c r="T153" s="145" t="n"/>
      <c r="U153" s="145" t="inlineStr">
        <is>
          <t>logged — no data found</t>
        </is>
      </c>
      <c r="V153" s="145" t="n"/>
    </row>
    <row r="154">
      <c r="A154" s="145" t="inlineStr">
        <is>
          <t>C</t>
        </is>
      </c>
      <c r="B154" s="145" t="inlineStr">
        <is>
          <t>🥈 unknown/silent</t>
        </is>
      </c>
      <c r="C154" s="145" t="inlineStr">
        <is>
          <t>TECHNICOLOR CU</t>
        </is>
      </c>
      <c r="D154" s="145" t="inlineStr">
        <is>
          <t>Credit Union</t>
        </is>
      </c>
      <c r="E154" s="145" t="n"/>
      <c r="F154" s="145" t="n"/>
      <c r="G154" s="145" t="n"/>
      <c r="H154" s="145" t="n"/>
      <c r="I154" s="145" t="n"/>
      <c r="J154" s="145" t="n"/>
      <c r="K154" s="145" t="n"/>
      <c r="L154" s="145" t="n"/>
      <c r="M154" s="145" t="n"/>
      <c r="N154" s="145" t="n"/>
      <c r="O154" s="145" t="inlineStr">
        <is>
          <t>434 W Alameda Ave, Burbank 91506 (Los Angeles)</t>
        </is>
      </c>
      <c r="P154" s="145" t="inlineStr">
        <is>
          <t>14.8</t>
        </is>
      </c>
      <c r="Q154" s="145" t="inlineStr">
        <is>
          <t>24.7</t>
        </is>
      </c>
      <c r="R154" s="145" t="n"/>
      <c r="S154" s="145" t="inlineStr">
        <is>
          <t>84893873</t>
        </is>
      </c>
      <c r="T154" s="145" t="n"/>
      <c r="U154" s="145" t="inlineStr">
        <is>
          <t>SEG; consumer-only</t>
        </is>
      </c>
      <c r="V154" s="145" t="n"/>
    </row>
    <row r="155">
      <c r="A155" s="145" t="inlineStr">
        <is>
          <t>C</t>
        </is>
      </c>
      <c r="B155" s="145" t="inlineStr">
        <is>
          <t>🥈 unknown/silent</t>
        </is>
      </c>
      <c r="C155" s="145" t="inlineStr">
        <is>
          <t>MEDIA CITY CU</t>
        </is>
      </c>
      <c r="D155" s="145" t="inlineStr">
        <is>
          <t>Credit Union</t>
        </is>
      </c>
      <c r="E155" s="145" t="n"/>
      <c r="F155" s="145" t="n"/>
      <c r="G155" s="145" t="n"/>
      <c r="H155" s="145" t="n"/>
      <c r="I155" s="145" t="n"/>
      <c r="J155" s="145" t="n"/>
      <c r="K155" s="145" t="n"/>
      <c r="L155" s="145" t="n"/>
      <c r="M155" s="145" t="n"/>
      <c r="N155" s="145" t="n"/>
      <c r="O155" s="145" t="inlineStr">
        <is>
          <t>1020 W Olive Ave, Burbank 91506 (Los Angeles)</t>
        </is>
      </c>
      <c r="P155" s="145" t="inlineStr">
        <is>
          <t>14.8</t>
        </is>
      </c>
      <c r="Q155" s="145" t="inlineStr">
        <is>
          <t>24.7</t>
        </is>
      </c>
      <c r="R155" s="145" t="n"/>
      <c r="S155" s="145" t="inlineStr">
        <is>
          <t>37814881</t>
        </is>
      </c>
      <c r="T155" s="145" t="n"/>
      <c r="U155" s="145" t="inlineStr">
        <is>
          <t>open $25; consumer-only</t>
        </is>
      </c>
      <c r="V155" s="145" t="n"/>
    </row>
    <row r="156">
      <c r="A156" s="145" t="inlineStr">
        <is>
          <t>C</t>
        </is>
      </c>
      <c r="B156" s="145" t="inlineStr">
        <is>
          <t>🥈 unknown/silent</t>
        </is>
      </c>
      <c r="C156" s="145" t="inlineStr">
        <is>
          <t>CLEARPATH CU</t>
        </is>
      </c>
      <c r="D156" s="145" t="inlineStr">
        <is>
          <t>Credit Union</t>
        </is>
      </c>
      <c r="E156" s="145" t="n"/>
      <c r="F156" s="145" t="n"/>
      <c r="G156" s="145" t="n"/>
      <c r="H156" s="145" t="n"/>
      <c r="I156" s="145" t="n"/>
      <c r="J156" s="145" t="n"/>
      <c r="K156" s="145" t="n"/>
      <c r="L156" s="145" t="n"/>
      <c r="M156" s="145" t="n"/>
      <c r="N156" s="145" t="n"/>
      <c r="O156" s="145" t="inlineStr">
        <is>
          <t>300 E Magnolia Blvd, Burbank 91502 (Los Angeles)</t>
        </is>
      </c>
      <c r="P156" s="145" t="inlineStr">
        <is>
          <t>15.0</t>
        </is>
      </c>
      <c r="Q156" s="145" t="inlineStr">
        <is>
          <t>24.3</t>
        </is>
      </c>
      <c r="R156" s="145" t="n"/>
      <c r="S156" s="145" t="inlineStr">
        <is>
          <t>224391171</t>
        </is>
      </c>
      <c r="T156" s="145" t="n"/>
      <c r="U156" s="145" t="inlineStr">
        <is>
          <t>logged — no data found</t>
        </is>
      </c>
      <c r="V156" s="145" t="n"/>
    </row>
    <row r="157">
      <c r="A157" s="145" t="inlineStr">
        <is>
          <t>C</t>
        </is>
      </c>
      <c r="B157" s="145" t="inlineStr">
        <is>
          <t>🥈 unknown/silent</t>
        </is>
      </c>
      <c r="C157" s="145" t="inlineStr">
        <is>
          <t>CAPSTONE CU</t>
        </is>
      </c>
      <c r="D157" s="145" t="inlineStr">
        <is>
          <t>Credit Union</t>
        </is>
      </c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inlineStr">
        <is>
          <t>3 POLARIS WAY STE 31B, ALISO VIEJO 92656 (Orange)</t>
        </is>
      </c>
      <c r="P157" s="145" t="inlineStr">
        <is>
          <t>15.0</t>
        </is>
      </c>
      <c r="Q157" s="145" t="inlineStr">
        <is>
          <t>19.3</t>
        </is>
      </c>
      <c r="R157" s="145" t="n"/>
      <c r="S157" s="145" t="inlineStr">
        <is>
          <t>34573149</t>
        </is>
      </c>
      <c r="T157" s="145" t="n"/>
      <c r="U157" s="145" t="inlineStr">
        <is>
          <t>open OC tracts; consumer-only</t>
        </is>
      </c>
      <c r="V157" s="145" t="n"/>
    </row>
    <row r="158">
      <c r="A158" s="145" t="inlineStr">
        <is>
          <t>C</t>
        </is>
      </c>
      <c r="B158" s="145" t="inlineStr">
        <is>
          <t>🥈 unknown/silent</t>
        </is>
      </c>
      <c r="C158" s="145" t="inlineStr">
        <is>
          <t>UME CU</t>
        </is>
      </c>
      <c r="D158" s="145" t="inlineStr">
        <is>
          <t>Credit Union</t>
        </is>
      </c>
      <c r="E158" s="145" t="n"/>
      <c r="F158" s="145" t="n"/>
      <c r="G158" s="145" t="n"/>
      <c r="H158" s="145" t="n"/>
      <c r="I158" s="145" t="n"/>
      <c r="J158" s="145" t="n"/>
      <c r="K158" s="145" t="n"/>
      <c r="L158" s="145" t="n"/>
      <c r="M158" s="145" t="n"/>
      <c r="N158" s="145" t="n"/>
      <c r="O158" s="145" t="inlineStr">
        <is>
          <t>3000 W Magnolia Blvd, Burbank 91505 (Los Angeles)</t>
        </is>
      </c>
      <c r="P158" s="145" t="inlineStr">
        <is>
          <t>15.2</t>
        </is>
      </c>
      <c r="Q158" s="145" t="inlineStr">
        <is>
          <t>25.4</t>
        </is>
      </c>
      <c r="R158" s="145" t="n"/>
      <c r="S158" s="145" t="inlineStr">
        <is>
          <t>334142032</t>
        </is>
      </c>
      <c r="T158" s="145" t="n"/>
      <c r="U158" s="145" t="inlineStr">
        <is>
          <t>logged — no data found</t>
        </is>
      </c>
      <c r="V158" s="145" t="n"/>
    </row>
    <row r="159">
      <c r="A159" s="145" t="inlineStr">
        <is>
          <t>C</t>
        </is>
      </c>
      <c r="B159" s="145" t="inlineStr">
        <is>
          <t>🥈 unknown/silent</t>
        </is>
      </c>
      <c r="C159" s="145" t="inlineStr">
        <is>
          <t>American Continental Bank</t>
        </is>
      </c>
      <c r="D159" s="145" t="inlineStr">
        <is>
          <t>Bank</t>
        </is>
      </c>
      <c r="E159" s="145" t="inlineStr">
        <is>
          <t>❌ No card (commercial/SBA lender; debit/ATM only)</t>
        </is>
      </c>
      <c r="F159" s="145" t="inlineStr">
        <is>
          <t>None (CRE/apartment/construction/land/equipment/C&amp;I/SBA 7(a)/504 full-doc)</t>
        </is>
      </c>
      <c r="G159" s="145" t="inlineStr">
        <is>
          <t>—</t>
        </is>
      </c>
      <c r="H159" s="145" t="inlineStr">
        <is>
          <t>N/M</t>
        </is>
      </c>
      <c r="I159" s="145" t="inlineStr">
        <is>
          <t>None</t>
        </is>
      </c>
      <c r="J159" s="145" t="inlineStr">
        <is>
          <t>N/M</t>
        </is>
      </c>
      <c r="K159" s="145" t="n"/>
      <c r="L159" s="145" t="n"/>
      <c r="M159" s="145" t="inlineStr">
        <is>
          <t>N/M</t>
        </is>
      </c>
      <c r="N159" s="145" t="inlineStr">
        <is>
          <t>No</t>
        </is>
      </c>
      <c r="O159" s="145" t="inlineStr">
        <is>
          <t>2983 Chino Ave, Ste A6, Chino Hills 91709 (San Bernardino)</t>
        </is>
      </c>
      <c r="P159" s="145" t="inlineStr">
        <is>
          <t>15.3</t>
        </is>
      </c>
      <c r="Q159" s="145" t="inlineStr">
        <is>
          <t>9.0</t>
        </is>
      </c>
      <c r="R159" s="145" t="inlineStr">
        <is>
          <t>288086</t>
        </is>
      </c>
      <c r="S159" s="145" t="n"/>
      <c r="T159" s="145" t="inlineStr">
        <is>
          <t>N/M</t>
        </is>
      </c>
      <c r="U159" s="145" t="inlineStr">
        <is>
          <t>(base-covered)</t>
        </is>
      </c>
      <c r="V159" s="145" t="inlineStr">
        <is>
          <t>americancontinentalbank.com/Products-Services; FDIC cert 57444; en.wikipedia.org</t>
        </is>
      </c>
    </row>
    <row r="160">
      <c r="A160" s="145" t="inlineStr">
        <is>
          <t>C</t>
        </is>
      </c>
      <c r="B160" s="145" t="inlineStr">
        <is>
          <t>🥈 unknown/silent</t>
        </is>
      </c>
      <c r="C160" s="145" t="inlineStr">
        <is>
          <t>CAL STATE L.A. CU</t>
        </is>
      </c>
      <c r="D160" s="145" t="inlineStr">
        <is>
          <t>Credit Union</t>
        </is>
      </c>
      <c r="E160" s="145" t="n"/>
      <c r="F160" s="145" t="n"/>
      <c r="G160" s="145" t="n"/>
      <c r="H160" s="145" t="n"/>
      <c r="I160" s="145" t="n"/>
      <c r="J160" s="145" t="n"/>
      <c r="K160" s="145" t="n"/>
      <c r="L160" s="145" t="n"/>
      <c r="M160" s="145" t="n"/>
      <c r="N160" s="145" t="n"/>
      <c r="O160" s="145" t="inlineStr">
        <is>
          <t>3530 POMONA BLVD, POMONA 91768 (Los Angeles)</t>
        </is>
      </c>
      <c r="P160" s="145" t="inlineStr">
        <is>
          <t>16.1</t>
        </is>
      </c>
      <c r="Q160" s="145" t="inlineStr">
        <is>
          <t>9.4</t>
        </is>
      </c>
      <c r="R160" s="145" t="n"/>
      <c r="S160" s="145" t="inlineStr">
        <is>
          <t>79904552</t>
        </is>
      </c>
      <c r="T160" s="145" t="n"/>
      <c r="U160" s="145" t="inlineStr">
        <is>
          <t>affinity; biz checking only</t>
        </is>
      </c>
      <c r="V160" s="145" t="n"/>
    </row>
    <row r="161">
      <c r="A161" s="145" t="inlineStr">
        <is>
          <t>C</t>
        </is>
      </c>
      <c r="B161" s="145" t="inlineStr">
        <is>
          <t>🥈 unknown/silent</t>
        </is>
      </c>
      <c r="C161" s="145" t="inlineStr">
        <is>
          <t>AMERICA'S CHRISTIAN CU</t>
        </is>
      </c>
      <c r="D161" s="145" t="inlineStr">
        <is>
          <t>Credit Union</t>
        </is>
      </c>
      <c r="E161" s="145" t="n"/>
      <c r="F161" s="145" t="n"/>
      <c r="G161" s="145" t="n"/>
      <c r="H161" s="145" t="n"/>
      <c r="I161" s="145" t="n"/>
      <c r="J161" s="145" t="n"/>
      <c r="K161" s="145" t="n"/>
      <c r="L161" s="145" t="n"/>
      <c r="M161" s="145" t="n"/>
      <c r="N161" s="145" t="n"/>
      <c r="O161" s="145" t="inlineStr">
        <is>
          <t>2100 E Route 66 Ste 100, Glendora 91740 (Los Angeles)</t>
        </is>
      </c>
      <c r="P161" s="145" t="inlineStr">
        <is>
          <t>16.2</t>
        </is>
      </c>
      <c r="Q161" s="145" t="inlineStr">
        <is>
          <t>11.2</t>
        </is>
      </c>
      <c r="R161" s="145" t="n"/>
      <c r="S161" s="145" t="inlineStr">
        <is>
          <t>818406188</t>
        </is>
      </c>
      <c r="T161" s="145" t="n"/>
      <c r="U161" s="145" t="inlineStr">
        <is>
          <t>logged — no data found</t>
        </is>
      </c>
      <c r="V161" s="145" t="n"/>
    </row>
    <row r="162">
      <c r="A162" s="145" t="inlineStr">
        <is>
          <t>C</t>
        </is>
      </c>
      <c r="B162" s="145" t="inlineStr">
        <is>
          <t>🥈 unknown/silent</t>
        </is>
      </c>
      <c r="C162" s="145" t="inlineStr">
        <is>
          <t>CHRISTIAN COMMUNITY CU</t>
        </is>
      </c>
      <c r="D162" s="145" t="inlineStr">
        <is>
          <t>Credit Union</t>
        </is>
      </c>
      <c r="E162" s="145" t="n"/>
      <c r="F162" s="145" t="n"/>
      <c r="G162" s="145" t="n"/>
      <c r="H162" s="145" t="n"/>
      <c r="I162" s="145" t="n"/>
      <c r="J162" s="145" t="n"/>
      <c r="K162" s="145" t="n"/>
      <c r="L162" s="145" t="n"/>
      <c r="M162" s="145" t="n"/>
      <c r="N162" s="145" t="n"/>
      <c r="O162" s="145" t="inlineStr">
        <is>
          <t>255 N Lone Hill Ave, San Dimas 91773 (Los Angeles)</t>
        </is>
      </c>
      <c r="P162" s="145" t="inlineStr">
        <is>
          <t>16.8</t>
        </is>
      </c>
      <c r="Q162" s="145" t="inlineStr">
        <is>
          <t>9.9</t>
        </is>
      </c>
      <c r="R162" s="145" t="n"/>
      <c r="S162" s="145" t="inlineStr">
        <is>
          <t>1443573352</t>
        </is>
      </c>
      <c r="T162" s="145" t="n"/>
      <c r="U162" s="145" t="inlineStr">
        <is>
          <t>logged — no data found</t>
        </is>
      </c>
      <c r="V162" s="145" t="n"/>
    </row>
    <row r="163">
      <c r="A163" s="145" t="inlineStr">
        <is>
          <t>C</t>
        </is>
      </c>
      <c r="B163" s="145" t="inlineStr">
        <is>
          <t>🥈 unknown/silent</t>
        </is>
      </c>
      <c r="C163" s="145" t="inlineStr">
        <is>
          <t>TOGETHER CU</t>
        </is>
      </c>
      <c r="D163" s="145" t="inlineStr">
        <is>
          <t>Credit Union</t>
        </is>
      </c>
      <c r="E163" s="145" t="n"/>
      <c r="F163" s="145" t="n"/>
      <c r="G163" s="145" t="n"/>
      <c r="H163" s="145" t="n"/>
      <c r="I163" s="145" t="n"/>
      <c r="J163" s="145" t="n"/>
      <c r="K163" s="145" t="n"/>
      <c r="L163" s="145" t="n"/>
      <c r="M163" s="145" t="n"/>
      <c r="N163" s="145" t="n"/>
      <c r="O163" s="145" t="inlineStr">
        <is>
          <t>15804 Roscoe Blvd, Van Nuys 91406 (Los Angeles)</t>
        </is>
      </c>
      <c r="P163" s="145" t="inlineStr">
        <is>
          <t>17.4</t>
        </is>
      </c>
      <c r="Q163" s="145" t="inlineStr">
        <is>
          <t>29.5</t>
        </is>
      </c>
      <c r="R163" s="145" t="n"/>
      <c r="S163" s="145" t="inlineStr">
        <is>
          <t>2722399325</t>
        </is>
      </c>
      <c r="T163" s="145" t="n"/>
      <c r="U163" s="145" t="inlineStr">
        <is>
          <t>STL FOM; biz card, no SoCal path</t>
        </is>
      </c>
      <c r="V163" s="145" t="n"/>
    </row>
    <row r="164">
      <c r="A164" s="145" t="inlineStr">
        <is>
          <t>C</t>
        </is>
      </c>
      <c r="B164" s="145" t="inlineStr">
        <is>
          <t>🥈 unknown/silent</t>
        </is>
      </c>
      <c r="C164" s="145" t="inlineStr">
        <is>
          <t>INTERFAITH CU</t>
        </is>
      </c>
      <c r="D164" s="145" t="inlineStr">
        <is>
          <t>Credit Union</t>
        </is>
      </c>
      <c r="E164" s="145" t="n"/>
      <c r="F164" s="145" t="n"/>
      <c r="G164" s="145" t="n"/>
      <c r="H164" s="145" t="n"/>
      <c r="I164" s="145" t="n"/>
      <c r="J164" s="145" t="n"/>
      <c r="K164" s="145" t="n"/>
      <c r="L164" s="145" t="n"/>
      <c r="M164" s="145" t="n"/>
      <c r="N164" s="145" t="n"/>
      <c r="O164" s="145" t="inlineStr">
        <is>
          <t>9040 Benson Ave, Montclair 91763 (San Bernardino)</t>
        </is>
      </c>
      <c r="P164" s="145" t="inlineStr">
        <is>
          <t>18.3</t>
        </is>
      </c>
      <c r="Q164" s="145" t="inlineStr">
        <is>
          <t>6.7</t>
        </is>
      </c>
      <c r="R164" s="145" t="n"/>
      <c r="S164" s="145" t="inlineStr">
        <is>
          <t>135351514</t>
        </is>
      </c>
      <c r="T164" s="145" t="n"/>
      <c r="U164" s="145" t="inlineStr">
        <is>
          <t>faith; church Visa only</t>
        </is>
      </c>
      <c r="V164" s="145" t="n"/>
    </row>
    <row r="165">
      <c r="A165" s="145" t="inlineStr">
        <is>
          <t>C</t>
        </is>
      </c>
      <c r="B165" s="145" t="inlineStr">
        <is>
          <t>🥈 unknown/silent</t>
        </is>
      </c>
      <c r="C165" s="145" t="inlineStr">
        <is>
          <t>VIDA CU</t>
        </is>
      </c>
      <c r="D165" s="145" t="inlineStr">
        <is>
          <t>Credit Union</t>
        </is>
      </c>
      <c r="E165" s="145" t="n"/>
      <c r="F165" s="145" t="n"/>
      <c r="G165" s="145" t="n"/>
      <c r="H165" s="145" t="n"/>
      <c r="I165" s="145" t="n"/>
      <c r="J165" s="145" t="n"/>
      <c r="K165" s="145" t="n"/>
      <c r="L165" s="145" t="n"/>
      <c r="M165" s="145" t="n"/>
      <c r="N165" s="145" t="n"/>
      <c r="O165" s="145" t="inlineStr">
        <is>
          <t>1520 N Palmetto Ave, Ontario 91762 (San Bernardino)</t>
        </is>
      </c>
      <c r="P165" s="145" t="inlineStr">
        <is>
          <t>18.7</t>
        </is>
      </c>
      <c r="Q165" s="145" t="inlineStr">
        <is>
          <t>5.9</t>
        </is>
      </c>
      <c r="R165" s="145" t="n"/>
      <c r="S165" s="145" t="inlineStr">
        <is>
          <t>172659135</t>
        </is>
      </c>
      <c r="T165" s="145" t="n"/>
      <c r="U165" s="145" t="inlineStr">
        <is>
          <t>open SB Co; consumer-only</t>
        </is>
      </c>
      <c r="V165" s="145" t="n"/>
    </row>
    <row r="166">
      <c r="A166" s="145" t="inlineStr">
        <is>
          <t>C</t>
        </is>
      </c>
      <c r="B166" s="145" t="inlineStr">
        <is>
          <t>🥈 unknown/silent</t>
        </is>
      </c>
      <c r="C166" s="145" t="inlineStr">
        <is>
          <t>ONTARIO PUBLIC EMPLOYEES CU</t>
        </is>
      </c>
      <c r="D166" s="145" t="inlineStr">
        <is>
          <t>Credit Union</t>
        </is>
      </c>
      <c r="E166" s="145" t="n"/>
      <c r="F166" s="145" t="n"/>
      <c r="G166" s="145" t="n"/>
      <c r="H166" s="145" t="n"/>
      <c r="I166" s="145" t="n"/>
      <c r="J166" s="145" t="n"/>
      <c r="K166" s="145" t="n"/>
      <c r="L166" s="145" t="n"/>
      <c r="M166" s="145" t="n"/>
      <c r="N166" s="145" t="n"/>
      <c r="O166" s="145" t="inlineStr">
        <is>
          <t>202 W B St, Ontario 91762 (San Bernardino)</t>
        </is>
      </c>
      <c r="P166" s="145" t="inlineStr">
        <is>
          <t>18.7</t>
        </is>
      </c>
      <c r="Q166" s="145" t="inlineStr">
        <is>
          <t>5.9</t>
        </is>
      </c>
      <c r="R166" s="145" t="n"/>
      <c r="S166" s="145" t="inlineStr">
        <is>
          <t>23434614</t>
        </is>
      </c>
      <c r="T166" s="145" t="n"/>
      <c r="U166" s="145" t="inlineStr">
        <is>
          <t>SEG city micro</t>
        </is>
      </c>
      <c r="V166" s="145" t="n"/>
    </row>
    <row r="167">
      <c r="A167" s="145" t="inlineStr">
        <is>
          <t>C</t>
        </is>
      </c>
      <c r="B167" s="145" t="inlineStr">
        <is>
          <t>🥈 unknown/silent</t>
        </is>
      </c>
      <c r="C167" s="145" t="inlineStr">
        <is>
          <t>THE GOLDEN 1 CU</t>
        </is>
      </c>
      <c r="D167" s="145" t="inlineStr">
        <is>
          <t>Credit Union</t>
        </is>
      </c>
      <c r="E167" s="145" t="n"/>
      <c r="F167" s="145" t="n"/>
      <c r="G167" s="145" t="n"/>
      <c r="H167" s="145" t="n"/>
      <c r="I167" s="145" t="n"/>
      <c r="J167" s="145" t="n"/>
      <c r="K167" s="145" t="n"/>
      <c r="L167" s="145" t="n"/>
      <c r="M167" s="145" t="n"/>
      <c r="N167" s="145" t="n"/>
      <c r="O167" s="145" t="inlineStr">
        <is>
          <t>2254 S Euclid Ave Ste A, Ontario 91762 (San Bernardino)</t>
        </is>
      </c>
      <c r="P167" s="145" t="inlineStr">
        <is>
          <t>18.7</t>
        </is>
      </c>
      <c r="Q167" s="145" t="inlineStr">
        <is>
          <t>5.9</t>
        </is>
      </c>
      <c r="R167" s="145" t="n"/>
      <c r="S167" s="145" t="inlineStr">
        <is>
          <t>21737187207</t>
        </is>
      </c>
      <c r="T167" s="145" t="n"/>
      <c r="U167" s="145" t="inlineStr">
        <is>
          <t>logged — no data found</t>
        </is>
      </c>
      <c r="V167" s="145" t="n"/>
    </row>
    <row r="168">
      <c r="A168" s="145" t="inlineStr">
        <is>
          <t>C</t>
        </is>
      </c>
      <c r="B168" s="145" t="inlineStr">
        <is>
          <t>🥈 unknown/silent</t>
        </is>
      </c>
      <c r="C168" s="145" t="inlineStr">
        <is>
          <t>Community Commerce Bank</t>
        </is>
      </c>
      <c r="D168" s="145" t="inlineStr">
        <is>
          <t>Bank</t>
        </is>
      </c>
      <c r="E168" s="145" t="inlineStr">
        <is>
          <t>❌ No card (CRE/SBA lender; explicitly 'no unsecured products')</t>
        </is>
      </c>
      <c r="F168" s="145" t="inlineStr">
        <is>
          <t>None (CRE/SBA 7(a)/house-of-worship/non-owner-occ residential full-doc)</t>
        </is>
      </c>
      <c r="G168" s="145" t="inlineStr">
        <is>
          <t>—</t>
        </is>
      </c>
      <c r="H168" s="145" t="inlineStr">
        <is>
          <t>N/M</t>
        </is>
      </c>
      <c r="I168" s="145" t="inlineStr">
        <is>
          <t>None</t>
        </is>
      </c>
      <c r="J168" s="145" t="inlineStr">
        <is>
          <t>N/M</t>
        </is>
      </c>
      <c r="K168" s="145" t="n"/>
      <c r="L168" s="145" t="n"/>
      <c r="M168" s="145" t="inlineStr">
        <is>
          <t>N/M</t>
        </is>
      </c>
      <c r="N168" s="145" t="inlineStr">
        <is>
          <t>No</t>
        </is>
      </c>
      <c r="O168" s="145" t="inlineStr">
        <is>
          <t>358 W Foothill Blvd, Claremont 91711 (Los Angeles)</t>
        </is>
      </c>
      <c r="P168" s="145" t="inlineStr">
        <is>
          <t>19.2</t>
        </is>
      </c>
      <c r="Q168" s="145" t="inlineStr">
        <is>
          <t>7.3</t>
        </is>
      </c>
      <c r="R168" s="145" t="inlineStr">
        <is>
          <t>298478</t>
        </is>
      </c>
      <c r="S168" s="145" t="n"/>
      <c r="T168" s="145" t="inlineStr">
        <is>
          <t>N/M (FAQ: 'we do not have any checking or unsecured line of credit products')</t>
        </is>
      </c>
      <c r="U168" s="145" t="inlineStr">
        <is>
          <t>(base-covered)</t>
        </is>
      </c>
      <c r="V168" s="145" t="inlineStr">
        <is>
          <t>ccombank.com/faq + /loans + /about; FDIC cert 26363</t>
        </is>
      </c>
    </row>
    <row r="169">
      <c r="A169" s="145" t="inlineStr">
        <is>
          <t>C</t>
        </is>
      </c>
      <c r="B169" s="145" t="inlineStr">
        <is>
          <t>🥈 unknown/silent</t>
        </is>
      </c>
      <c r="C169" s="145" t="inlineStr">
        <is>
          <t>Balboa Thrift and Loan Association</t>
        </is>
      </c>
      <c r="D169" s="145" t="inlineStr">
        <is>
          <t>Bank</t>
        </is>
      </c>
      <c r="E169" s="145" t="inlineStr">
        <is>
          <t>❌ No card (auto + CRE thrift &amp; loan; FDIC-insured deposits)</t>
        </is>
      </c>
      <c r="F169" s="145" t="inlineStr">
        <is>
          <t>None (auto ~75% + CRE ~25%, collateral/full-doc)</t>
        </is>
      </c>
      <c r="G169" s="145" t="inlineStr">
        <is>
          <t>—</t>
        </is>
      </c>
      <c r="H169" s="145" t="inlineStr">
        <is>
          <t>N/M</t>
        </is>
      </c>
      <c r="I169" s="145" t="inlineStr">
        <is>
          <t>None</t>
        </is>
      </c>
      <c r="J169" s="145" t="inlineStr">
        <is>
          <t>N/M</t>
        </is>
      </c>
      <c r="K169" s="145" t="n"/>
      <c r="L169" s="145" t="n"/>
      <c r="M169" s="145" t="inlineStr">
        <is>
          <t>N/M</t>
        </is>
      </c>
      <c r="N169" s="145" t="inlineStr">
        <is>
          <t>No</t>
        </is>
      </c>
      <c r="O169" s="145" t="inlineStr">
        <is>
          <t>269 W Bonita Ave, Claremont 91711 (Los Angeles)</t>
        </is>
      </c>
      <c r="P169" s="145" t="inlineStr">
        <is>
          <t>19.2</t>
        </is>
      </c>
      <c r="Q169" s="145" t="inlineStr">
        <is>
          <t>7.3</t>
        </is>
      </c>
      <c r="R169" s="145" t="inlineStr">
        <is>
          <t>61940</t>
        </is>
      </c>
      <c r="S169" s="145" t="n"/>
      <c r="T169" s="145" t="inlineStr">
        <is>
          <t>N/M (auto via dealers/RouteOne; CRE via brokers)</t>
        </is>
      </c>
      <c r="U169" s="145" t="inlineStr">
        <is>
          <t>(base-covered)</t>
        </is>
      </c>
      <c r="V169" s="145" t="inlineStr">
        <is>
          <t>sdbj.com (auto/CRE focus); dfpi.ca.gov; FDIC cert 26704</t>
        </is>
      </c>
    </row>
    <row r="170">
      <c r="A170" s="145" t="inlineStr">
        <is>
          <t>C</t>
        </is>
      </c>
      <c r="B170" s="145" t="inlineStr">
        <is>
          <t>🥈 unknown/silent</t>
        </is>
      </c>
      <c r="C170" s="145" t="inlineStr">
        <is>
          <t>U S POSTAL SERVICE CU</t>
        </is>
      </c>
      <c r="D170" s="145" t="inlineStr">
        <is>
          <t>Credit Union</t>
        </is>
      </c>
      <c r="E170" s="145" t="n"/>
      <c r="F170" s="145" t="n"/>
      <c r="G170" s="145" t="n"/>
      <c r="H170" s="145" t="n"/>
      <c r="I170" s="145" t="n"/>
      <c r="J170" s="145" t="n"/>
      <c r="K170" s="145" t="n"/>
      <c r="L170" s="145" t="n"/>
      <c r="M170" s="145" t="n"/>
      <c r="N170" s="145" t="n"/>
      <c r="O170" s="145" t="inlineStr">
        <is>
          <t>444 S Brand Blvd Ste 103, San Fernando 91340 (Los Angeles)</t>
        </is>
      </c>
      <c r="P170" s="145" t="inlineStr">
        <is>
          <t>19.6</t>
        </is>
      </c>
      <c r="Q170" s="145" t="inlineStr">
        <is>
          <t>28.6</t>
        </is>
      </c>
      <c r="R170" s="145" t="n"/>
      <c r="S170" s="145" t="inlineStr">
        <is>
          <t>286334485</t>
        </is>
      </c>
      <c r="T170" s="145" t="n"/>
      <c r="U170" s="145" t="inlineStr">
        <is>
          <t>SEG postal; consumer-only</t>
        </is>
      </c>
      <c r="V170" s="145" t="n"/>
    </row>
    <row r="171">
      <c r="A171" s="145" t="inlineStr">
        <is>
          <t>C</t>
        </is>
      </c>
      <c r="B171" s="145" t="inlineStr">
        <is>
          <t>🥈 unknown/silent</t>
        </is>
      </c>
      <c r="C171" s="145" t="inlineStr">
        <is>
          <t>COLUMBUS CLUB CU</t>
        </is>
      </c>
      <c r="D171" s="145" t="inlineStr">
        <is>
          <t>Credit Union</t>
        </is>
      </c>
      <c r="E171" s="145" t="n"/>
      <c r="F171" s="145" t="n"/>
      <c r="G171" s="145" t="n"/>
      <c r="H171" s="145" t="n"/>
      <c r="I171" s="145" t="n"/>
      <c r="J171" s="145" t="n"/>
      <c r="K171" s="145" t="n"/>
      <c r="L171" s="145" t="n"/>
      <c r="M171" s="145" t="n"/>
      <c r="N171" s="145" t="n"/>
      <c r="O171" s="145" t="inlineStr">
        <is>
          <t>1129 Celis St, San Fernando 91340 (Los Angeles)</t>
        </is>
      </c>
      <c r="P171" s="145" t="inlineStr">
        <is>
          <t>19.6</t>
        </is>
      </c>
      <c r="Q171" s="145" t="inlineStr">
        <is>
          <t>28.6</t>
        </is>
      </c>
      <c r="R171" s="145" t="n"/>
      <c r="S171" s="145" t="inlineStr">
        <is>
          <t>3040635</t>
        </is>
      </c>
      <c r="T171" s="145" t="n"/>
      <c r="U171" s="145" t="inlineStr">
        <is>
          <t>faith micro</t>
        </is>
      </c>
      <c r="V171" s="145" t="n"/>
    </row>
    <row r="172">
      <c r="A172" s="145" t="inlineStr">
        <is>
          <t>C</t>
        </is>
      </c>
      <c r="B172" s="145" t="inlineStr">
        <is>
          <t>🥈 unknown/silent</t>
        </is>
      </c>
      <c r="C172" s="145" t="inlineStr">
        <is>
          <t>L. A. MISSION CU</t>
        </is>
      </c>
      <c r="D172" s="145" t="inlineStr">
        <is>
          <t>Credit Union</t>
        </is>
      </c>
      <c r="E172" s="145" t="n"/>
      <c r="F172" s="145" t="n"/>
      <c r="G172" s="145" t="n"/>
      <c r="H172" s="145" t="n"/>
      <c r="I172" s="145" t="n"/>
      <c r="J172" s="145" t="n"/>
      <c r="K172" s="145" t="n"/>
      <c r="L172" s="145" t="n"/>
      <c r="M172" s="145" t="n"/>
      <c r="N172" s="145" t="n"/>
      <c r="O172" s="145" t="inlineStr">
        <is>
          <t>601 S Brand Blvd Ste 100, San Fernando 91340 (Los Angeles)</t>
        </is>
      </c>
      <c r="P172" s="145" t="inlineStr">
        <is>
          <t>19.6</t>
        </is>
      </c>
      <c r="Q172" s="145" t="inlineStr">
        <is>
          <t>28.6</t>
        </is>
      </c>
      <c r="R172" s="145" t="n"/>
      <c r="S172" s="145" t="inlineStr">
        <is>
          <t>8606027</t>
        </is>
      </c>
      <c r="T172" s="145" t="n"/>
      <c r="U172" s="145" t="inlineStr">
        <is>
          <t>logged — no data found</t>
        </is>
      </c>
      <c r="V172" s="145" t="n"/>
    </row>
    <row r="173">
      <c r="A173" s="145" t="inlineStr">
        <is>
          <t>C</t>
        </is>
      </c>
      <c r="B173" s="145" t="inlineStr">
        <is>
          <t>🥈 unknown/silent</t>
        </is>
      </c>
      <c r="C173" s="145" t="inlineStr">
        <is>
          <t>Golden State Bank</t>
        </is>
      </c>
      <c r="D173" s="145" t="inlineStr">
        <is>
          <t>Bank</t>
        </is>
      </c>
      <c r="E173" s="145" t="inlineStr">
        <is>
          <t>❌ No card (business debit only; relationship commercial lending)</t>
        </is>
      </c>
      <c r="F173" s="145" t="inlineStr">
        <is>
          <t>None (working capital/equipment/CRE/construction/bridge/LOC full-doc)</t>
        </is>
      </c>
      <c r="G173" s="145" t="inlineStr">
        <is>
          <t>—</t>
        </is>
      </c>
      <c r="H173" s="145" t="inlineStr">
        <is>
          <t>N/M</t>
        </is>
      </c>
      <c r="I173" s="145" t="inlineStr">
        <is>
          <t>None</t>
        </is>
      </c>
      <c r="J173" s="145" t="inlineStr">
        <is>
          <t>N/M</t>
        </is>
      </c>
      <c r="K173" s="145" t="n"/>
      <c r="L173" s="145" t="n"/>
      <c r="M173" s="145" t="inlineStr">
        <is>
          <t>N/M</t>
        </is>
      </c>
      <c r="N173" s="145" t="inlineStr">
        <is>
          <t>No</t>
        </is>
      </c>
      <c r="O173" s="145" t="inlineStr">
        <is>
          <t>870 N Mountain Ave, Upland 91786 (San Bernardino)</t>
        </is>
      </c>
      <c r="P173" s="145" t="inlineStr">
        <is>
          <t>19.8</t>
        </is>
      </c>
      <c r="Q173" s="145" t="inlineStr">
        <is>
          <t>5.7</t>
        </is>
      </c>
      <c r="R173" s="145" t="inlineStr">
        <is>
          <t>788879</t>
        </is>
      </c>
      <c r="S173" s="145" t="n"/>
      <c r="T173" s="145" t="inlineStr">
        <is>
          <t>N/M</t>
        </is>
      </c>
      <c r="U173" s="145" t="inlineStr">
        <is>
          <t>(base-covered)</t>
        </is>
      </c>
      <c r="V173" s="145" t="inlineStr">
        <is>
          <t>goldenstatebank.com (cash-management, debit-card, company-overview); FDIC cert 57585</t>
        </is>
      </c>
    </row>
    <row r="174">
      <c r="A174" s="145" t="inlineStr">
        <is>
          <t>C</t>
        </is>
      </c>
      <c r="B174" s="145" t="inlineStr">
        <is>
          <t>🥈 unknown/silent</t>
        </is>
      </c>
      <c r="C174" s="145" t="inlineStr">
        <is>
          <t>NOVO CU</t>
        </is>
      </c>
      <c r="D174" s="145" t="inlineStr">
        <is>
          <t>Credit Union</t>
        </is>
      </c>
      <c r="E174" s="145" t="n"/>
      <c r="F174" s="145" t="n"/>
      <c r="G174" s="145" t="n"/>
      <c r="H174" s="145" t="n"/>
      <c r="I174" s="145" t="n"/>
      <c r="J174" s="145" t="n"/>
      <c r="K174" s="145" t="n"/>
      <c r="L174" s="145" t="n"/>
      <c r="M174" s="145" t="n"/>
      <c r="N174" s="145" t="n"/>
      <c r="O174" s="145" t="inlineStr">
        <is>
          <t>2191 5th St Ste 202, Norco 92860 (Riverside)</t>
        </is>
      </c>
      <c r="P174" s="145" t="inlineStr">
        <is>
          <t>19.8</t>
        </is>
      </c>
      <c r="Q174" s="145" t="inlineStr">
        <is>
          <t>6.1</t>
        </is>
      </c>
      <c r="R174" s="145" t="n"/>
      <c r="S174" s="145" t="inlineStr">
        <is>
          <t>20774379</t>
        </is>
      </c>
      <c r="T174" s="145" t="n"/>
      <c r="U174" s="145" t="inlineStr">
        <is>
          <t>SEG corrections; consumer-only</t>
        </is>
      </c>
      <c r="V174" s="145" t="n"/>
    </row>
    <row r="175">
      <c r="A175" s="145" t="inlineStr">
        <is>
          <t>C</t>
        </is>
      </c>
      <c r="B175" s="145" t="inlineStr">
        <is>
          <t>🥈 unknown/silent</t>
        </is>
      </c>
      <c r="C175" s="145" t="inlineStr">
        <is>
          <t>Flagstar Bank, National Association</t>
        </is>
      </c>
      <c r="D175" s="145" t="inlineStr">
        <is>
          <t>Bank</t>
        </is>
      </c>
      <c r="E175" s="145" t="n"/>
      <c r="F175" s="145" t="n"/>
      <c r="G175" s="145" t="n"/>
      <c r="H175" s="145" t="n"/>
      <c r="I175" s="145" t="n"/>
      <c r="J175" s="145" t="n"/>
      <c r="K175" s="145" t="n"/>
      <c r="L175" s="145" t="n"/>
      <c r="M175" s="145" t="n"/>
      <c r="N175" s="145" t="n"/>
      <c r="O175" s="145" t="inlineStr">
        <is>
          <t>3257 E Guasti Rd, Ste 320, Ontario 91761 (San Bernardino)</t>
        </is>
      </c>
      <c r="P175" s="145" t="inlineStr">
        <is>
          <t>20.2</t>
        </is>
      </c>
      <c r="Q175" s="145" t="inlineStr">
        <is>
          <t>4.0</t>
        </is>
      </c>
      <c r="R175" s="145" t="inlineStr">
        <is>
          <t>2681387</t>
        </is>
      </c>
      <c r="S175" s="145" t="n"/>
      <c r="T175" s="145" t="n"/>
      <c r="U175" s="145" t="inlineStr">
        <is>
          <t>logged — no data found</t>
        </is>
      </c>
      <c r="V175" s="145" t="n"/>
    </row>
    <row r="176">
      <c r="A176" s="145" t="inlineStr">
        <is>
          <t>C</t>
        </is>
      </c>
      <c r="B176" s="145" t="inlineStr">
        <is>
          <t>🥈 unknown/silent</t>
        </is>
      </c>
      <c r="C176" s="145" t="inlineStr">
        <is>
          <t>OLIVE VIEW EMPLOYEES CU</t>
        </is>
      </c>
      <c r="D176" s="145" t="inlineStr">
        <is>
          <t>Credit Union</t>
        </is>
      </c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inlineStr">
        <is>
          <t>14445 Olive View Dr Bldg O-1, Sylmar 91342 (Los Angeles)</t>
        </is>
      </c>
      <c r="P176" s="145" t="inlineStr">
        <is>
          <t>20.5</t>
        </is>
      </c>
      <c r="Q176" s="145" t="inlineStr">
        <is>
          <t>27.5</t>
        </is>
      </c>
      <c r="R176" s="145" t="n"/>
      <c r="S176" s="145" t="inlineStr">
        <is>
          <t>75225960</t>
        </is>
      </c>
      <c r="T176" s="145" t="n"/>
      <c r="U176" s="145" t="inlineStr">
        <is>
          <t>SEG; consumer-only</t>
        </is>
      </c>
      <c r="V176" s="145" t="n"/>
    </row>
    <row r="177">
      <c r="A177" s="145" t="inlineStr">
        <is>
          <t>C</t>
        </is>
      </c>
      <c r="B177" s="145" t="inlineStr">
        <is>
          <t>🥈 unknown/silent</t>
        </is>
      </c>
      <c r="C177" s="145" t="inlineStr">
        <is>
          <t>U.P.S. EMPLOYEES CU</t>
        </is>
      </c>
      <c r="D177" s="145" t="inlineStr">
        <is>
          <t>Credit Union</t>
        </is>
      </c>
      <c r="E177" s="145" t="n"/>
      <c r="F177" s="145" t="n"/>
      <c r="G177" s="145" t="n"/>
      <c r="H177" s="145" t="n"/>
      <c r="I177" s="145" t="n"/>
      <c r="J177" s="145" t="n"/>
      <c r="K177" s="145" t="n"/>
      <c r="L177" s="145" t="n"/>
      <c r="M177" s="145" t="n"/>
      <c r="N177" s="145" t="n"/>
      <c r="O177" s="145" t="inlineStr">
        <is>
          <t>3110 INLAND EMPIRE BLVD STE A, ONTARIO 91764 (San Bernardino)</t>
        </is>
      </c>
      <c r="P177" s="145" t="inlineStr">
        <is>
          <t>20.5</t>
        </is>
      </c>
      <c r="Q177" s="145" t="inlineStr">
        <is>
          <t>4.0</t>
        </is>
      </c>
      <c r="R177" s="145" t="n"/>
      <c r="S177" s="145" t="inlineStr">
        <is>
          <t>48924495</t>
        </is>
      </c>
      <c r="T177" s="145" t="n"/>
      <c r="U177" s="145" t="inlineStr">
        <is>
          <t>SEG UPS; consumer-only</t>
        </is>
      </c>
      <c r="V177" s="145" t="n"/>
    </row>
    <row r="178">
      <c r="A178" s="145" t="inlineStr">
        <is>
          <t>C</t>
        </is>
      </c>
      <c r="B178" s="145" t="inlineStr">
        <is>
          <t>🥈 unknown/silent</t>
        </is>
      </c>
      <c r="C178" s="145" t="inlineStr">
        <is>
          <t>RIZE CU</t>
        </is>
      </c>
      <c r="D178" s="145" t="inlineStr">
        <is>
          <t>Credit Union</t>
        </is>
      </c>
      <c r="E178" s="145" t="n"/>
      <c r="F178" s="145" t="n"/>
      <c r="G178" s="145" t="n"/>
      <c r="H178" s="145" t="n"/>
      <c r="I178" s="145" t="n"/>
      <c r="J178" s="145" t="n"/>
      <c r="K178" s="145" t="n"/>
      <c r="L178" s="145" t="n"/>
      <c r="M178" s="145" t="n"/>
      <c r="N178" s="145" t="n"/>
      <c r="O178" s="145" t="inlineStr">
        <is>
          <t>975 N Haven Ave, Ontario 91764 (San Bernardino)</t>
        </is>
      </c>
      <c r="P178" s="145" t="inlineStr">
        <is>
          <t>20.5</t>
        </is>
      </c>
      <c r="Q178" s="145" t="inlineStr">
        <is>
          <t>4.0</t>
        </is>
      </c>
      <c r="R178" s="145" t="n"/>
      <c r="S178" s="145" t="inlineStr">
        <is>
          <t>1309314002</t>
        </is>
      </c>
      <c r="T178" s="145" t="n"/>
      <c r="U178" s="145" t="inlineStr">
        <is>
          <t>logged — no data found</t>
        </is>
      </c>
      <c r="V178" s="145" t="n"/>
    </row>
    <row r="179">
      <c r="A179" s="145" t="inlineStr">
        <is>
          <t>C</t>
        </is>
      </c>
      <c r="B179" s="145" t="inlineStr">
        <is>
          <t>🥈 unknown/silent</t>
        </is>
      </c>
      <c r="C179" s="145" t="inlineStr">
        <is>
          <t>FOOTHILL CU</t>
        </is>
      </c>
      <c r="D179" s="145" t="inlineStr">
        <is>
          <t>Credit Union</t>
        </is>
      </c>
      <c r="E179" s="145" t="n"/>
      <c r="F179" s="145" t="n"/>
      <c r="G179" s="145" t="n"/>
      <c r="H179" s="145" t="n"/>
      <c r="I179" s="145" t="n"/>
      <c r="J179" s="145" t="n"/>
      <c r="K179" s="145" t="n"/>
      <c r="L179" s="145" t="n"/>
      <c r="M179" s="145" t="n"/>
      <c r="N179" s="145" t="n"/>
      <c r="O179" s="145" t="inlineStr">
        <is>
          <t>1365 E 19th St Ste F, Upland 91784 (San Bernardino)</t>
        </is>
      </c>
      <c r="P179" s="145" t="inlineStr">
        <is>
          <t>20.8</t>
        </is>
      </c>
      <c r="Q179" s="145" t="inlineStr">
        <is>
          <t>5.8</t>
        </is>
      </c>
      <c r="R179" s="145" t="n"/>
      <c r="S179" s="145" t="inlineStr">
        <is>
          <t>772237101</t>
        </is>
      </c>
      <c r="T179" s="145" t="n"/>
      <c r="U179" s="145" t="inlineStr">
        <is>
          <t>logged — no data found</t>
        </is>
      </c>
      <c r="V179" s="145" t="n"/>
    </row>
    <row r="180">
      <c r="A180" s="145" t="inlineStr">
        <is>
          <t>C</t>
        </is>
      </c>
      <c r="B180" s="145" t="inlineStr">
        <is>
          <t>🥈 unknown/silent</t>
        </is>
      </c>
      <c r="C180" s="145" t="inlineStr">
        <is>
          <t>ALTURA CU</t>
        </is>
      </c>
      <c r="D180" s="145" t="inlineStr">
        <is>
          <t>Credit Union</t>
        </is>
      </c>
      <c r="E180" s="145" t="n"/>
      <c r="F180" s="145" t="n"/>
      <c r="G180" s="145" t="n"/>
      <c r="H180" s="145" t="n"/>
      <c r="I180" s="145" t="n"/>
      <c r="J180" s="145" t="n"/>
      <c r="K180" s="145" t="n"/>
      <c r="L180" s="145" t="n"/>
      <c r="M180" s="145" t="n"/>
      <c r="N180" s="145" t="n"/>
      <c r="O180" s="145" t="inlineStr">
        <is>
          <t>5010 Hamner Ave Ste 120, Eastvale 91752 (Riverside)</t>
        </is>
      </c>
      <c r="P180" s="145" t="inlineStr">
        <is>
          <t>21.1</t>
        </is>
      </c>
      <c r="Q180" s="145" t="inlineStr">
        <is>
          <t>3.7</t>
        </is>
      </c>
      <c r="R180" s="145" t="n"/>
      <c r="S180" s="145" t="inlineStr">
        <is>
          <t>2665893053</t>
        </is>
      </c>
      <c r="T180" s="145" t="n"/>
      <c r="U180" s="145" t="inlineStr">
        <is>
          <t>logged — no data found</t>
        </is>
      </c>
      <c r="V180" s="145" t="n"/>
    </row>
    <row r="181">
      <c r="A181" s="145" t="inlineStr">
        <is>
          <t>C</t>
        </is>
      </c>
      <c r="B181" s="145" t="inlineStr">
        <is>
          <t>🥈 unknown/silent</t>
        </is>
      </c>
      <c r="C181" s="145" t="inlineStr">
        <is>
          <t>LA LOMA CU</t>
        </is>
      </c>
      <c r="D181" s="145" t="inlineStr">
        <is>
          <t>Credit Union</t>
        </is>
      </c>
      <c r="E181" s="145" t="n"/>
      <c r="F181" s="145" t="n"/>
      <c r="G181" s="145" t="n"/>
      <c r="H181" s="145" t="n"/>
      <c r="I181" s="145" t="n"/>
      <c r="J181" s="145" t="n"/>
      <c r="K181" s="145" t="n"/>
      <c r="L181" s="145" t="n"/>
      <c r="M181" s="145" t="n"/>
      <c r="N181" s="145" t="n"/>
      <c r="O181" s="145" t="inlineStr">
        <is>
          <t>11498 Pierce St Ste D, Riverside 92505 (Riverside)</t>
        </is>
      </c>
      <c r="P181" s="145" t="inlineStr">
        <is>
          <t>21.4</t>
        </is>
      </c>
      <c r="Q181" s="145" t="inlineStr">
        <is>
          <t>5.6</t>
        </is>
      </c>
      <c r="R181" s="145" t="n"/>
      <c r="S181" s="145" t="inlineStr">
        <is>
          <t>114333182</t>
        </is>
      </c>
      <c r="T181" s="145" t="n"/>
      <c r="U181" s="145" t="inlineStr">
        <is>
          <t>Adventist; consumer-only</t>
        </is>
      </c>
      <c r="V181" s="145" t="n"/>
    </row>
    <row r="182">
      <c r="A182" s="145" t="inlineStr">
        <is>
          <t>C</t>
        </is>
      </c>
      <c r="B182" s="145" t="inlineStr">
        <is>
          <t>🥈 unknown/silent</t>
        </is>
      </c>
      <c r="C182" s="145" t="inlineStr">
        <is>
          <t>Chino Commercial Bank, N.A.</t>
        </is>
      </c>
      <c r="D182" s="145" t="inlineStr">
        <is>
          <t>Bank</t>
        </is>
      </c>
      <c r="E182" s="145" t="inlineStr">
        <is>
          <t>⚠️ One card 'provided by third party' (consumer-framed); issuer/terms N/M; no online apply</t>
        </is>
      </c>
      <c r="F182" s="145" t="inlineStr">
        <is>
          <t>Unsecured Business LOC $10K-$100K (no 'no-doc' language; doc-upload portal implies full-do</t>
        </is>
      </c>
      <c r="G182" s="145" t="inlineStr">
        <is>
          <t>N/M (no bank-specific data point found)</t>
        </is>
      </c>
      <c r="H182" s="145" t="inlineStr">
        <is>
          <t>N/M (document-upload lending portal = full-doc)</t>
        </is>
      </c>
      <c r="I182" s="145" t="inlineStr">
        <is>
          <t>Unknown (third-party; not named on site)</t>
        </is>
      </c>
      <c r="J182" s="145" t="inlineStr">
        <is>
          <t>N/M</t>
        </is>
      </c>
      <c r="K182" s="145" t="n"/>
      <c r="L182" s="145" t="n"/>
      <c r="M182" s="145" t="inlineStr">
        <is>
          <t>N/M</t>
        </is>
      </c>
      <c r="N182" s="145" t="inlineStr">
        <is>
          <t>In-person</t>
        </is>
      </c>
      <c r="O182" s="145" t="inlineStr">
        <is>
          <t>8229 Rochester Ave, Rancho Cucamonga 91730 (San Bernardino)</t>
        </is>
      </c>
      <c r="P182" s="145" t="inlineStr">
        <is>
          <t>21.6</t>
        </is>
      </c>
      <c r="Q182" s="145" t="inlineStr">
        <is>
          <t>3.4</t>
        </is>
      </c>
      <c r="R182" s="145" t="inlineStr">
        <is>
          <t>378797</t>
        </is>
      </c>
      <c r="S182" s="145" t="n"/>
      <c r="T182" s="145" t="inlineStr">
        <is>
          <t>N/M (no forum data)</t>
        </is>
      </c>
      <c r="U182" s="145" t="inlineStr">
        <is>
          <t>(base-covered)</t>
        </is>
      </c>
      <c r="V182" s="145" t="inlineStr">
        <is>
          <t>chinocommercialbank.com/business-banking/business-services + /business-loans; FDIC cert 35366</t>
        </is>
      </c>
    </row>
    <row r="183">
      <c r="A183" s="145" t="inlineStr">
        <is>
          <t>C</t>
        </is>
      </c>
      <c r="B183" s="145" t="inlineStr">
        <is>
          <t>🥈 unknown/silent</t>
        </is>
      </c>
      <c r="C183" s="145" t="inlineStr">
        <is>
          <t>CAHP CU</t>
        </is>
      </c>
      <c r="D183" s="145" t="inlineStr">
        <is>
          <t>Credit Union</t>
        </is>
      </c>
      <c r="E183" s="145" t="n"/>
      <c r="F183" s="145" t="n"/>
      <c r="G183" s="145" t="n"/>
      <c r="H183" s="145" t="n"/>
      <c r="I183" s="145" t="n"/>
      <c r="J183" s="145" t="n"/>
      <c r="K183" s="145" t="n"/>
      <c r="L183" s="145" t="n"/>
      <c r="M183" s="145" t="n"/>
      <c r="N183" s="145" t="n"/>
      <c r="O183" s="145" t="inlineStr">
        <is>
          <t>9471 Pittsburgh Ave, Rancho Cucamonga 91730 (San Bernardino)</t>
        </is>
      </c>
      <c r="P183" s="145" t="inlineStr">
        <is>
          <t>21.6</t>
        </is>
      </c>
      <c r="Q183" s="145" t="inlineStr">
        <is>
          <t>3.4</t>
        </is>
      </c>
      <c r="R183" s="145" t="n"/>
      <c r="S183" s="145" t="inlineStr">
        <is>
          <t>403972301</t>
        </is>
      </c>
      <c r="T183" s="145" t="n"/>
      <c r="U183" s="145" t="inlineStr">
        <is>
          <t>SEG peace officers</t>
        </is>
      </c>
      <c r="V183" s="145" t="n"/>
    </row>
    <row r="184">
      <c r="A184" s="145" t="inlineStr">
        <is>
          <t>C</t>
        </is>
      </c>
      <c r="B184" s="145" t="inlineStr">
        <is>
          <t>🥈 unknown/silent</t>
        </is>
      </c>
      <c r="C184" s="145" t="inlineStr">
        <is>
          <t>CHAFFEY CU</t>
        </is>
      </c>
      <c r="D184" s="145" t="inlineStr">
        <is>
          <t>Credit Union</t>
        </is>
      </c>
      <c r="E184" s="145" t="n"/>
      <c r="F184" s="145" t="n"/>
      <c r="G184" s="145" t="n"/>
      <c r="H184" s="145" t="n"/>
      <c r="I184" s="145" t="n"/>
      <c r="J184" s="145" t="n"/>
      <c r="K184" s="145" t="n"/>
      <c r="L184" s="145" t="n"/>
      <c r="M184" s="145" t="n"/>
      <c r="N184" s="145" t="n"/>
      <c r="O184" s="145" t="inlineStr">
        <is>
          <t>11563 Foothill Blvd Ste 101, Rancho Cucamonga 91730 (San Bernardino)</t>
        </is>
      </c>
      <c r="P184" s="145" t="inlineStr">
        <is>
          <t>21.6</t>
        </is>
      </c>
      <c r="Q184" s="145" t="inlineStr">
        <is>
          <t>3.4</t>
        </is>
      </c>
      <c r="R184" s="145" t="n"/>
      <c r="S184" s="145" t="inlineStr">
        <is>
          <t>229064484</t>
        </is>
      </c>
      <c r="T184" s="145" t="n"/>
      <c r="U184" s="145" t="inlineStr">
        <is>
          <t>open SW-SB; consumer-only</t>
        </is>
      </c>
      <c r="V184" s="145" t="n"/>
    </row>
    <row r="185">
      <c r="A185" s="145" t="inlineStr">
        <is>
          <t>C</t>
        </is>
      </c>
      <c r="B185" s="145" t="inlineStr">
        <is>
          <t>🥈 unknown/silent</t>
        </is>
      </c>
      <c r="C185" s="145" t="inlineStr">
        <is>
          <t>INLAND VALLEY CU</t>
        </is>
      </c>
      <c r="D185" s="145" t="inlineStr">
        <is>
          <t>Credit Union</t>
        </is>
      </c>
      <c r="E185" s="145" t="n"/>
      <c r="F185" s="145" t="n"/>
      <c r="G185" s="145" t="n"/>
      <c r="H185" s="145" t="n"/>
      <c r="I185" s="145" t="n"/>
      <c r="J185" s="145" t="n"/>
      <c r="K185" s="145" t="n"/>
      <c r="L185" s="145" t="n"/>
      <c r="M185" s="145" t="n"/>
      <c r="N185" s="145" t="n"/>
      <c r="O185" s="145" t="inlineStr">
        <is>
          <t>9389 Cherry Ave, Fontana 92335 (San Bernardino)</t>
        </is>
      </c>
      <c r="P185" s="145" t="inlineStr">
        <is>
          <t>24.2</t>
        </is>
      </c>
      <c r="Q185" s="145" t="n"/>
      <c r="R185" s="145" t="n"/>
      <c r="S185" s="145" t="inlineStr">
        <is>
          <t>54343947</t>
        </is>
      </c>
      <c r="T185" s="145" t="n"/>
      <c r="U185" s="145" t="inlineStr">
        <is>
          <t>open Fontana-area; consumer-only</t>
        </is>
      </c>
      <c r="V185" s="145" t="n"/>
    </row>
    <row r="186">
      <c r="A186" s="145" t="inlineStr">
        <is>
          <t>C</t>
        </is>
      </c>
      <c r="B186" s="145" t="inlineStr">
        <is>
          <t>🥈 unknown/silent</t>
        </is>
      </c>
      <c r="C186" s="145" t="inlineStr">
        <is>
          <t>FONTANA CU</t>
        </is>
      </c>
      <c r="D186" s="145" t="inlineStr">
        <is>
          <t>Credit Union</t>
        </is>
      </c>
      <c r="E186" s="145" t="n"/>
      <c r="F186" s="145" t="n"/>
      <c r="G186" s="145" t="n"/>
      <c r="H186" s="145" t="n"/>
      <c r="I186" s="145" t="n"/>
      <c r="J186" s="145" t="n"/>
      <c r="K186" s="145" t="n"/>
      <c r="L186" s="145" t="n"/>
      <c r="M186" s="145" t="n"/>
      <c r="N186" s="145" t="n"/>
      <c r="O186" s="145" t="inlineStr">
        <is>
          <t>17235 Arrow Blvd, Fontana 92335 (San Bernardino)</t>
        </is>
      </c>
      <c r="P186" s="145" t="inlineStr">
        <is>
          <t>24.2</t>
        </is>
      </c>
      <c r="Q186" s="145" t="n"/>
      <c r="R186" s="145" t="n"/>
      <c r="S186" s="145" t="inlineStr">
        <is>
          <t>17231223</t>
        </is>
      </c>
      <c r="T186" s="145" t="n"/>
      <c r="U186" s="145" t="inlineStr">
        <is>
          <t>SEG micro; consumer-only</t>
        </is>
      </c>
      <c r="V186" s="145" t="n"/>
    </row>
    <row r="187">
      <c r="A187" s="145" t="inlineStr">
        <is>
          <t>C</t>
        </is>
      </c>
      <c r="B187" s="145" t="inlineStr">
        <is>
          <t>🥈 unknown/silent</t>
        </is>
      </c>
      <c r="C187" s="145" t="inlineStr">
        <is>
          <t>CREDIT UNION OF SOUTHERN CA, A</t>
        </is>
      </c>
      <c r="D187" s="145" t="inlineStr">
        <is>
          <t>Credit Union</t>
        </is>
      </c>
      <c r="E187" s="145" t="n"/>
      <c r="F187" s="145" t="n"/>
      <c r="G187" s="145" t="n"/>
      <c r="H187" s="145" t="n"/>
      <c r="I187" s="145" t="n"/>
      <c r="J187" s="145" t="n"/>
      <c r="K187" s="145" t="n"/>
      <c r="L187" s="145" t="n"/>
      <c r="M187" s="145" t="n"/>
      <c r="N187" s="145" t="n"/>
      <c r="O187" s="145" t="inlineStr">
        <is>
          <t>16014 Foothill Blvd, Fontana 92335 (San Bernardino)</t>
        </is>
      </c>
      <c r="P187" s="145" t="inlineStr">
        <is>
          <t>24.2</t>
        </is>
      </c>
      <c r="Q187" s="145" t="n"/>
      <c r="R187" s="145" t="n"/>
      <c r="S187" s="145" t="inlineStr">
        <is>
          <t>3942853719</t>
        </is>
      </c>
      <c r="T187" s="145" t="n"/>
      <c r="U187" s="145" t="inlineStr">
        <is>
          <t>logged — no data found</t>
        </is>
      </c>
      <c r="V187" s="145" t="n"/>
    </row>
    <row r="188">
      <c r="A188" s="145" t="inlineStr">
        <is>
          <t>C</t>
        </is>
      </c>
      <c r="B188" s="145" t="inlineStr">
        <is>
          <t>🥈 unknown/silent</t>
        </is>
      </c>
      <c r="C188" s="145" t="inlineStr">
        <is>
          <t>SUNKIST EMPLOYEES CU</t>
        </is>
      </c>
      <c r="D188" s="145" t="inlineStr">
        <is>
          <t>Credit Union</t>
        </is>
      </c>
      <c r="E188" s="145" t="n"/>
      <c r="F188" s="145" t="n"/>
      <c r="G188" s="145" t="n"/>
      <c r="H188" s="145" t="n"/>
      <c r="I188" s="145" t="n"/>
      <c r="J188" s="145" t="n"/>
      <c r="K188" s="145" t="n"/>
      <c r="L188" s="145" t="n"/>
      <c r="M188" s="145" t="n"/>
      <c r="N188" s="145" t="n"/>
      <c r="O188" s="145" t="inlineStr">
        <is>
          <t>27770 Entertainment Dr, Valencia 91355 (Los Angeles)</t>
        </is>
      </c>
      <c r="P188" s="145" t="inlineStr">
        <is>
          <t>24.8</t>
        </is>
      </c>
      <c r="Q188" s="145" t="inlineStr">
        <is>
          <t>33.4</t>
        </is>
      </c>
      <c r="R188" s="145" t="n"/>
      <c r="S188" s="145" t="inlineStr">
        <is>
          <t>3959286</t>
        </is>
      </c>
      <c r="T188" s="145" t="n"/>
      <c r="U188" s="145" t="inlineStr">
        <is>
          <t>SEG micro</t>
        </is>
      </c>
      <c r="V188" s="145" t="n"/>
    </row>
    <row r="189">
      <c r="A189" s="145" t="inlineStr">
        <is>
          <t>C</t>
        </is>
      </c>
      <c r="B189" s="145" t="inlineStr">
        <is>
          <t>🥈 unknown/silent</t>
        </is>
      </c>
      <c r="C189" s="145" t="inlineStr">
        <is>
          <t>C3bank, National Association</t>
        </is>
      </c>
      <c r="D189" s="145" t="inlineStr">
        <is>
          <t>Bank</t>
        </is>
      </c>
      <c r="E189" s="145" t="n"/>
      <c r="F189" s="145" t="n"/>
      <c r="G189" s="145" t="n"/>
      <c r="H189" s="145" t="n"/>
      <c r="I189" s="145" t="n"/>
      <c r="J189" s="145" t="n"/>
      <c r="K189" s="145" t="n"/>
      <c r="L189" s="145" t="n"/>
      <c r="M189" s="145" t="n"/>
      <c r="N189" s="145" t="n"/>
      <c r="O189" s="145" t="inlineStr">
        <is>
          <t>3727 Arlington Ave, Riverside 92506 (Riverside)</t>
        </is>
      </c>
      <c r="P189" s="145" t="inlineStr">
        <is>
          <t>24.9</t>
        </is>
      </c>
      <c r="Q189" s="145" t="inlineStr">
        <is>
          <t>6.0</t>
        </is>
      </c>
      <c r="R189" s="145" t="inlineStr">
        <is>
          <t>58045</t>
        </is>
      </c>
      <c r="S189" s="145" t="n"/>
      <c r="T189" s="145" t="n"/>
      <c r="U189" s="145" t="inlineStr">
        <is>
          <t>logged — no data found</t>
        </is>
      </c>
      <c r="V189" s="145" t="n"/>
    </row>
    <row r="190">
      <c r="A190" s="145" t="inlineStr">
        <is>
          <t>C</t>
        </is>
      </c>
      <c r="B190" s="145" t="inlineStr">
        <is>
          <t>🥈 unknown/silent</t>
        </is>
      </c>
      <c r="C190" s="145" t="inlineStr">
        <is>
          <t>ARROWHEAD CU</t>
        </is>
      </c>
      <c r="D190" s="145" t="inlineStr">
        <is>
          <t>Credit Union</t>
        </is>
      </c>
      <c r="E190" s="145" t="n"/>
      <c r="F190" s="145" t="n"/>
      <c r="G190" s="145" t="n"/>
      <c r="H190" s="145" t="n"/>
      <c r="I190" s="145" t="n"/>
      <c r="J190" s="145" t="n"/>
      <c r="K190" s="145" t="n"/>
      <c r="L190" s="145" t="n"/>
      <c r="M190" s="145" t="n"/>
      <c r="N190" s="145" t="n"/>
      <c r="O190" s="145" t="inlineStr">
        <is>
          <t>16944 S Highland Ave, Fontana 92336 (San Bernardino)</t>
        </is>
      </c>
      <c r="P190" s="145" t="inlineStr">
        <is>
          <t>25.2</t>
        </is>
      </c>
      <c r="Q190" s="145" t="inlineStr">
        <is>
          <t>1.7</t>
        </is>
      </c>
      <c r="R190" s="145" t="n"/>
      <c r="S190" s="145" t="inlineStr">
        <is>
          <t>2905838677</t>
        </is>
      </c>
      <c r="T190" s="145" t="n"/>
      <c r="U190" s="145" t="inlineStr">
        <is>
          <t>logged — no data found</t>
        </is>
      </c>
      <c r="V190" s="145" t="n"/>
    </row>
    <row r="191">
      <c r="A191" s="145" t="inlineStr">
        <is>
          <t>C</t>
        </is>
      </c>
      <c r="B191" s="145" t="inlineStr">
        <is>
          <t>🥈 unknown/silent</t>
        </is>
      </c>
      <c r="C191" s="145" t="inlineStr">
        <is>
          <t>Legacy Bank</t>
        </is>
      </c>
      <c r="D191" s="145" t="inlineStr">
        <is>
          <t>Bank</t>
        </is>
      </c>
      <c r="E191" s="145" t="inlineStr">
        <is>
          <t>⚠️ Business cards exist (no detail); issuer/terms N/M; no online apply</t>
        </is>
      </c>
      <c r="F191" s="145" t="inlineStr">
        <is>
          <t>None (secured loans/LOC/LC/equipment/owner-occ+investor CRE/SBA full-doc)</t>
        </is>
      </c>
      <c r="G191" s="145" t="inlineStr">
        <is>
          <t>N/M (no bank-specific data point found)</t>
        </is>
      </c>
      <c r="H191" s="145" t="inlineStr">
        <is>
          <t>N/M</t>
        </is>
      </c>
      <c r="I191" s="145" t="inlineStr">
        <is>
          <t>Unknown (not named; likely agent-issued; out-of-state 'Legacy' card data excluded)</t>
        </is>
      </c>
      <c r="J191" s="145" t="inlineStr">
        <is>
          <t>N/M</t>
        </is>
      </c>
      <c r="K191" s="145" t="n"/>
      <c r="L191" s="145" t="n"/>
      <c r="M191" s="145" t="inlineStr">
        <is>
          <t>Likely Yes (relationship)</t>
        </is>
      </c>
      <c r="N191" s="145" t="inlineStr">
        <is>
          <t>In-person</t>
        </is>
      </c>
      <c r="O191" s="145" t="inlineStr">
        <is>
          <t>41391 Kalmia St, Ste 100, Murrieta 92562 (Riverside)</t>
        </is>
      </c>
      <c r="P191" s="145" t="inlineStr">
        <is>
          <t>26.0</t>
        </is>
      </c>
      <c r="Q191" s="145" t="inlineStr">
        <is>
          <t>19.5</t>
        </is>
      </c>
      <c r="R191" s="145" t="inlineStr">
        <is>
          <t>72724</t>
        </is>
      </c>
      <c r="S191" s="145" t="n"/>
      <c r="T191" s="145" t="inlineStr">
        <is>
          <t>N/M (no forum data; de novo)</t>
        </is>
      </c>
      <c r="U191" s="145" t="inlineStr">
        <is>
          <t>(base-covered)</t>
        </is>
      </c>
      <c r="V191" s="145" t="inlineStr">
        <is>
          <t>legacybankca.com/loans/commercial-lending; americanbanker.com (de novo); FDIC cert 59204</t>
        </is>
      </c>
    </row>
    <row r="192">
      <c r="A192" s="145" t="inlineStr">
        <is>
          <t>C</t>
        </is>
      </c>
      <c r="B192" s="145" t="inlineStr">
        <is>
          <t>🥈 unknown/silent</t>
        </is>
      </c>
      <c r="C192" s="145" t="inlineStr">
        <is>
          <t>FRONTWAVE CU</t>
        </is>
      </c>
      <c r="D192" s="145" t="inlineStr">
        <is>
          <t>Credit Union</t>
        </is>
      </c>
      <c r="E192" s="145" t="n"/>
      <c r="F192" s="145" t="n"/>
      <c r="G192" s="145" t="n"/>
      <c r="H192" s="145" t="n"/>
      <c r="I192" s="145" t="n"/>
      <c r="J192" s="145" t="n"/>
      <c r="K192" s="145" t="n"/>
      <c r="L192" s="145" t="n"/>
      <c r="M192" s="145" t="n"/>
      <c r="N192" s="145" t="n"/>
      <c r="O192" s="145" t="inlineStr">
        <is>
          <t>36290 Hidden Springs Rd, Wildomar 92595 (Riverside)</t>
        </is>
      </c>
      <c r="P192" s="145" t="inlineStr">
        <is>
          <t>27.6</t>
        </is>
      </c>
      <c r="Q192" s="145" t="inlineStr">
        <is>
          <t>17.3</t>
        </is>
      </c>
      <c r="R192" s="145" t="n"/>
      <c r="S192" s="145" t="inlineStr">
        <is>
          <t>1764704265</t>
        </is>
      </c>
      <c r="T192" s="145" t="n"/>
      <c r="U192" s="145" t="inlineStr">
        <is>
          <t>logged — no data found</t>
        </is>
      </c>
      <c r="V192" s="145" t="n"/>
    </row>
    <row r="193">
      <c r="A193" s="145" t="inlineStr">
        <is>
          <t>C</t>
        </is>
      </c>
      <c r="B193" s="145" t="inlineStr">
        <is>
          <t>🥈 unknown/silent</t>
        </is>
      </c>
      <c r="C193" s="145" t="inlineStr">
        <is>
          <t>EDWARDS CU</t>
        </is>
      </c>
      <c r="D193" s="145" t="inlineStr">
        <is>
          <t>Credit Union</t>
        </is>
      </c>
      <c r="E193" s="145" t="n"/>
      <c r="F193" s="145" t="n"/>
      <c r="G193" s="145" t="n"/>
      <c r="H193" s="145" t="n"/>
      <c r="I193" s="145" t="n"/>
      <c r="J193" s="145" t="n"/>
      <c r="K193" s="145" t="n"/>
      <c r="L193" s="145" t="n"/>
      <c r="M193" s="145" t="n"/>
      <c r="N193" s="145" t="n"/>
      <c r="O193" s="145" t="inlineStr">
        <is>
          <t>39963 10th St W, Palmdale 93551 (Los Angeles)</t>
        </is>
      </c>
      <c r="P193" s="145" t="inlineStr">
        <is>
          <t>29.0</t>
        </is>
      </c>
      <c r="Q193" s="145" t="inlineStr">
        <is>
          <t>27.8</t>
        </is>
      </c>
      <c r="R193" s="145" t="n"/>
      <c r="S193" s="145" t="inlineStr">
        <is>
          <t>278913118</t>
        </is>
      </c>
      <c r="T193" s="145" t="n"/>
      <c r="U193" s="145" t="inlineStr">
        <is>
          <t>AV open; consumer-only</t>
        </is>
      </c>
      <c r="V193" s="145" t="n"/>
    </row>
    <row r="194">
      <c r="A194" s="145" t="inlineStr">
        <is>
          <t>C</t>
        </is>
      </c>
      <c r="B194" s="145" t="inlineStr">
        <is>
          <t>🥈 unknown/silent</t>
        </is>
      </c>
      <c r="C194" s="145" t="inlineStr">
        <is>
          <t>CERTIFIED CU</t>
        </is>
      </c>
      <c r="D194" s="145" t="inlineStr">
        <is>
          <t>Credit Union</t>
        </is>
      </c>
      <c r="E194" s="145" t="n"/>
      <c r="F194" s="145" t="n"/>
      <c r="G194" s="145" t="n"/>
      <c r="H194" s="145" t="n"/>
      <c r="I194" s="145" t="n"/>
      <c r="J194" s="145" t="n"/>
      <c r="K194" s="145" t="n"/>
      <c r="L194" s="145" t="n"/>
      <c r="M194" s="145" t="n"/>
      <c r="N194" s="145" t="n"/>
      <c r="O194" s="145" t="inlineStr">
        <is>
          <t>420 E Hospitality Ln Ste A6, San Bernardino 92408 (San Bernardino)</t>
        </is>
      </c>
      <c r="P194" s="145" t="inlineStr">
        <is>
          <t>29.2</t>
        </is>
      </c>
      <c r="Q194" s="145" t="inlineStr">
        <is>
          <t>5.6</t>
        </is>
      </c>
      <c r="R194" s="145" t="n"/>
      <c r="S194" s="145" t="inlineStr">
        <is>
          <t>919973315</t>
        </is>
      </c>
      <c r="T194" s="145" t="n"/>
      <c r="U194" s="145" t="inlineStr">
        <is>
          <t>SGV/SEG FOM; consumer-only (screened)</t>
        </is>
      </c>
      <c r="V194" s="145" t="n"/>
    </row>
    <row r="195">
      <c r="A195" s="145" t="inlineStr">
        <is>
          <t>C</t>
        </is>
      </c>
      <c r="B195" s="145" t="inlineStr">
        <is>
          <t>🥈 unknown/silent</t>
        </is>
      </c>
      <c r="C195" s="145" t="inlineStr">
        <is>
          <t>CALIFORNIA COAST CU</t>
        </is>
      </c>
      <c r="D195" s="145" t="inlineStr">
        <is>
          <t>Credit Union</t>
        </is>
      </c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inlineStr">
        <is>
          <t>30015 Haun Rd, Menifee 92584 (Riverside)</t>
        </is>
      </c>
      <c r="P195" s="145" t="inlineStr">
        <is>
          <t>29.6</t>
        </is>
      </c>
      <c r="Q195" s="145" t="inlineStr">
        <is>
          <t>16.8</t>
        </is>
      </c>
      <c r="R195" s="145" t="n"/>
      <c r="S195" s="145" t="inlineStr">
        <is>
          <t>3469511167</t>
        </is>
      </c>
      <c r="T195" s="145" t="n"/>
      <c r="U195" s="145" t="inlineStr">
        <is>
          <t>logged — no data found</t>
        </is>
      </c>
      <c r="V195" s="145" t="n"/>
    </row>
    <row r="196">
      <c r="A196" s="145" t="inlineStr">
        <is>
          <t>C</t>
        </is>
      </c>
      <c r="B196" s="145" t="inlineStr">
        <is>
          <t>🥈 unknown/silent</t>
        </is>
      </c>
      <c r="C196" s="145" t="inlineStr">
        <is>
          <t>REDLANDS CITY EMPLOYEES CU</t>
        </is>
      </c>
      <c r="D196" s="145" t="inlineStr">
        <is>
          <t>Credit Union</t>
        </is>
      </c>
      <c r="E196" s="145" t="n"/>
      <c r="F196" s="145" t="n"/>
      <c r="G196" s="145" t="n"/>
      <c r="H196" s="145" t="n"/>
      <c r="I196" s="145" t="n"/>
      <c r="J196" s="145" t="n"/>
      <c r="K196" s="145" t="n"/>
      <c r="L196" s="145" t="n"/>
      <c r="M196" s="145" t="n"/>
      <c r="N196" s="145" t="n"/>
      <c r="O196" s="145" t="inlineStr">
        <is>
          <t>35 Cajon St Ste 14, Redlands 92373 (San Bernardino)</t>
        </is>
      </c>
      <c r="P196" s="145" t="inlineStr">
        <is>
          <t>31.4</t>
        </is>
      </c>
      <c r="Q196" s="145" t="inlineStr">
        <is>
          <t>9.1</t>
        </is>
      </c>
      <c r="R196" s="145" t="n"/>
      <c r="S196" s="145" t="inlineStr">
        <is>
          <t>10290642</t>
        </is>
      </c>
      <c r="T196" s="145" t="n"/>
      <c r="U196" s="145" t="inlineStr">
        <is>
          <t>SEG micro</t>
        </is>
      </c>
      <c r="V196" s="145" t="n"/>
    </row>
    <row r="197">
      <c r="A197" s="145" t="inlineStr">
        <is>
          <t>C</t>
        </is>
      </c>
      <c r="B197" s="145" t="inlineStr">
        <is>
          <t>🥈 unknown/silent</t>
        </is>
      </c>
      <c r="C197" s="145" t="inlineStr">
        <is>
          <t>GLOBAL CU</t>
        </is>
      </c>
      <c r="D197" s="145" t="inlineStr">
        <is>
          <t>Credit Union</t>
        </is>
      </c>
      <c r="E197" s="145" t="n"/>
      <c r="F197" s="145" t="n"/>
      <c r="G197" s="145" t="n"/>
      <c r="H197" s="145" t="n"/>
      <c r="I197" s="145" t="n"/>
      <c r="J197" s="145" t="n"/>
      <c r="K197" s="145" t="n"/>
      <c r="L197" s="145" t="n"/>
      <c r="M197" s="145" t="n"/>
      <c r="N197" s="145" t="n"/>
      <c r="O197" s="145" t="inlineStr">
        <is>
          <t>16869 Main St, Hesperia 92345 (San Bernardino)</t>
        </is>
      </c>
      <c r="P197" s="145" t="inlineStr">
        <is>
          <t>33.1</t>
        </is>
      </c>
      <c r="Q197" s="145" t="inlineStr">
        <is>
          <t>10.4</t>
        </is>
      </c>
      <c r="R197" s="145" t="n"/>
      <c r="S197" s="145" t="inlineStr">
        <is>
          <t>12863315758</t>
        </is>
      </c>
      <c r="T197" s="145" t="n"/>
      <c r="U197" s="145" t="inlineStr">
        <is>
          <t>logged — no data found</t>
        </is>
      </c>
      <c r="V197" s="145" t="n"/>
    </row>
    <row r="198">
      <c r="A198" s="145" t="inlineStr">
        <is>
          <t>C</t>
        </is>
      </c>
      <c r="B198" s="145" t="inlineStr">
        <is>
          <t>🥈 unknown/silent</t>
        </is>
      </c>
      <c r="C198" s="145" t="inlineStr">
        <is>
          <t>AMERICAN UNITED CU</t>
        </is>
      </c>
      <c r="D198" s="145" t="inlineStr">
        <is>
          <t>Credit Union</t>
        </is>
      </c>
      <c r="E198" s="145" t="n"/>
      <c r="F198" s="145" t="n"/>
      <c r="G198" s="145" t="n"/>
      <c r="H198" s="145" t="n"/>
      <c r="I198" s="145" t="n"/>
      <c r="J198" s="145" t="n"/>
      <c r="K198" s="145" t="n"/>
      <c r="L198" s="145" t="n"/>
      <c r="M198" s="145" t="n"/>
      <c r="N198" s="145" t="n"/>
      <c r="O198" s="145" t="inlineStr">
        <is>
          <t>23333 Soboba Rd, San Jacinto 92583 (Riverside)</t>
        </is>
      </c>
      <c r="P198" s="145" t="inlineStr">
        <is>
          <t>36.7</t>
        </is>
      </c>
      <c r="Q198" s="145" t="inlineStr">
        <is>
          <t>18.3</t>
        </is>
      </c>
      <c r="R198" s="145" t="n"/>
      <c r="S198" s="145" t="inlineStr">
        <is>
          <t>394236316</t>
        </is>
      </c>
      <c r="T198" s="145" t="n"/>
      <c r="U198" s="145" t="inlineStr">
        <is>
          <t>UT/tribal; unreachable FOM (screened)</t>
        </is>
      </c>
      <c r="V198" s="145" t="n"/>
    </row>
    <row r="199">
      <c r="A199" s="145" t="inlineStr">
        <is>
          <t>C</t>
        </is>
      </c>
      <c r="B199" s="145" t="inlineStr">
        <is>
          <t>🥈 unknown/silent</t>
        </is>
      </c>
      <c r="C199" s="145" t="inlineStr">
        <is>
          <t>SUN COMMUNITY CU</t>
        </is>
      </c>
      <c r="D199" s="145" t="inlineStr">
        <is>
          <t>Credit Union</t>
        </is>
      </c>
      <c r="E199" s="145" t="n"/>
      <c r="F199" s="145" t="n"/>
      <c r="G199" s="145" t="n"/>
      <c r="H199" s="145" t="n"/>
      <c r="I199" s="145" t="n"/>
      <c r="J199" s="145" t="n"/>
      <c r="K199" s="145" t="n"/>
      <c r="L199" s="145" t="n"/>
      <c r="M199" s="145" t="n"/>
      <c r="N199" s="145" t="n"/>
      <c r="O199" s="145" t="inlineStr">
        <is>
          <t>1717 E Vista Chino Ste J10, Palm Springs 92262 (Riverside)</t>
        </is>
      </c>
      <c r="P199" s="145" t="inlineStr">
        <is>
          <t>47.5</t>
        </is>
      </c>
      <c r="Q199" s="145" t="inlineStr">
        <is>
          <t>27.2</t>
        </is>
      </c>
      <c r="R199" s="145" t="n"/>
      <c r="S199" s="145" t="inlineStr">
        <is>
          <t>896540774</t>
        </is>
      </c>
      <c r="T199" s="145" t="n"/>
      <c r="U199" s="145" t="inlineStr">
        <is>
          <t>logged — no data found</t>
        </is>
      </c>
      <c r="V199" s="145" t="n"/>
    </row>
    <row r="200">
      <c r="A200" s="145" t="inlineStr">
        <is>
          <t>C</t>
        </is>
      </c>
      <c r="B200" s="145" t="inlineStr">
        <is>
          <t>🥈 unknown/silent</t>
        </is>
      </c>
      <c r="C200" s="145" t="inlineStr">
        <is>
          <t>Community Valley Bank</t>
        </is>
      </c>
      <c r="D200" s="145" t="inlineStr">
        <is>
          <t>Bank</t>
        </is>
      </c>
      <c r="E200" s="145" t="n"/>
      <c r="F200" s="145" t="n"/>
      <c r="G200" s="145" t="n"/>
      <c r="H200" s="145" t="n"/>
      <c r="I200" s="145" t="n"/>
      <c r="J200" s="145" t="n"/>
      <c r="K200" s="145" t="n"/>
      <c r="L200" s="145" t="n"/>
      <c r="M200" s="145" t="n"/>
      <c r="N200" s="145" t="n"/>
      <c r="O200" s="145" t="inlineStr">
        <is>
          <t>87-701 Highway 111, Indio 92201 (Riverside)</t>
        </is>
      </c>
      <c r="P200" s="145" t="inlineStr">
        <is>
          <t>56.6</t>
        </is>
      </c>
      <c r="Q200" s="145" t="inlineStr">
        <is>
          <t>37.6</t>
        </is>
      </c>
      <c r="R200" s="145" t="inlineStr">
        <is>
          <t>6829</t>
        </is>
      </c>
      <c r="S200" s="145" t="n"/>
      <c r="T200" s="145" t="n"/>
      <c r="U200" s="145" t="inlineStr">
        <is>
          <t>logged — no data found</t>
        </is>
      </c>
      <c r="V200" s="145" t="n"/>
    </row>
    <row r="201">
      <c r="A201" s="145" t="inlineStr">
        <is>
          <t>C</t>
        </is>
      </c>
      <c r="B201" s="145" t="inlineStr">
        <is>
          <t>🥈 unknown/silent</t>
        </is>
      </c>
      <c r="C201" s="145" t="inlineStr">
        <is>
          <t>Zions Bancorporation, N.A.</t>
        </is>
      </c>
      <c r="D201" s="145" t="inlineStr">
        <is>
          <t>Bank</t>
        </is>
      </c>
      <c r="E201" s="145" t="n"/>
      <c r="F201" s="145" t="n"/>
      <c r="G201" s="145" t="n"/>
      <c r="H201" s="145" t="n"/>
      <c r="I201" s="145" t="n"/>
      <c r="J201" s="145" t="n"/>
      <c r="K201" s="145" t="n"/>
      <c r="L201" s="145" t="n"/>
      <c r="M201" s="145" t="n"/>
      <c r="N201" s="145" t="n"/>
      <c r="O201" s="145" t="inlineStr">
        <is>
          <t>444 W Ocean Blvd, Long Beach 90802 (Los Angeles)</t>
        </is>
      </c>
      <c r="P201" s="145" t="n"/>
      <c r="Q201" s="145" t="inlineStr">
        <is>
          <t>24.2</t>
        </is>
      </c>
      <c r="R201" s="145" t="inlineStr">
        <is>
          <t>8677803</t>
        </is>
      </c>
      <c r="S201" s="145" t="n"/>
      <c r="T201" s="145" t="n"/>
      <c r="U201" s="145" t="inlineStr">
        <is>
          <t>logged — no data found</t>
        </is>
      </c>
      <c r="V201" s="145" t="n"/>
    </row>
    <row r="202">
      <c r="A202" s="145" t="inlineStr">
        <is>
          <t>C</t>
        </is>
      </c>
      <c r="B202" s="145" t="inlineStr">
        <is>
          <t>🥈 unknown/silent</t>
        </is>
      </c>
      <c r="C202" s="145" t="inlineStr">
        <is>
          <t>Fifth Third Bank, N.A. (ex-Comerica; cert 6672)</t>
        </is>
      </c>
      <c r="D202" s="145" t="inlineStr">
        <is>
          <t>Bank</t>
        </is>
      </c>
      <c r="E202" s="145" t="inlineStr">
        <is>
          <t>⚠️ Simply Business: 0% 12cyc, $0 AF, 1.67% — but CLOSED to new applicants; in-branch only; 90-day deposit acct required</t>
        </is>
      </c>
      <c r="F202" s="145" t="inlineStr">
        <is>
          <t>Commercial LOC/SBA full-doc. (Brex corporate card runs on Fifth Third rails — no-PG, but a</t>
        </is>
      </c>
      <c r="G202" s="145" t="inlineStr">
        <is>
          <t>$25K max exposure (1 card 630+/2 cards 700+/3 cards 750+)  [myFICO #5418937]</t>
        </is>
      </c>
      <c r="H202" s="145" t="inlineStr">
        <is>
          <t>PG yes (joint &amp; several); tax returns N/M</t>
        </is>
      </c>
      <c r="I202" s="145" t="inlineStr">
        <is>
          <t>Self (Fifth Third Bank NA)</t>
        </is>
      </c>
      <c r="J202" s="145" t="inlineStr">
        <is>
          <t>TransUnion (East-Coast lean)</t>
        </is>
      </c>
      <c r="K202" s="145" t="n"/>
      <c r="L202" s="145" t="n"/>
      <c r="M202" s="145" t="inlineStr">
        <is>
          <t>YES — Fifth Third business checking/savings active 90+ days required</t>
        </is>
      </c>
      <c r="N202" s="145" t="inlineStr">
        <is>
          <t>In-person</t>
        </is>
      </c>
      <c r="O202" s="145" t="inlineStr">
        <is>
          <t>301 E Ocean Blvd, Ste 102, Long Beach 90802 (Los Angeles)</t>
        </is>
      </c>
      <c r="P202" s="145" t="n"/>
      <c r="Q202" s="145" t="inlineStr">
        <is>
          <t>24.2</t>
        </is>
      </c>
      <c r="R202" s="145" t="inlineStr">
        <is>
          <t>6869628</t>
        </is>
      </c>
      <c r="S202" s="145" t="n"/>
      <c r="T202" s="145" t="inlineStr">
        <is>
          <t>$25K max exposure; score tiers 1 card 630+/2 cards 700+/3 cards 750+; separate HP per app (not inq-sensitive);</t>
        </is>
      </c>
      <c r="U202" s="145" t="inlineStr">
        <is>
          <t>(base-covered)</t>
        </is>
      </c>
      <c r="V202" s="145" t="inlineStr">
        <is>
          <t>brex.com/legal/fifth-third-bank-card-agreement; CFPB TCCP data; 53.com simply-business; fitsmallbusiness.com; myfico.com</t>
        </is>
      </c>
    </row>
    <row r="203">
      <c r="A203" s="145" t="inlineStr">
        <is>
          <t>C</t>
        </is>
      </c>
      <c r="B203" s="145" t="inlineStr">
        <is>
          <t>🥈 unknown/silent</t>
        </is>
      </c>
      <c r="C203" s="145" t="inlineStr">
        <is>
          <t>Farmers and Merchants Bank of Long Beach</t>
        </is>
      </c>
      <c r="D203" s="145" t="inlineStr">
        <is>
          <t>Bank</t>
        </is>
      </c>
      <c r="E203" s="145" t="n"/>
      <c r="F203" s="145" t="n"/>
      <c r="G203" s="145" t="n"/>
      <c r="H203" s="145" t="n"/>
      <c r="I203" s="145" t="n"/>
      <c r="J203" s="145" t="n"/>
      <c r="K203" s="145" t="n"/>
      <c r="L203" s="145" t="n"/>
      <c r="M203" s="145" t="n"/>
      <c r="N203" s="145" t="n"/>
      <c r="O203" s="145" t="inlineStr">
        <is>
          <t>302 Pine Ave, Long Beach 90802 (Los Angeles)</t>
        </is>
      </c>
      <c r="P203" s="145" t="n"/>
      <c r="Q203" s="145" t="inlineStr">
        <is>
          <t>24.2</t>
        </is>
      </c>
      <c r="R203" s="145" t="inlineStr">
        <is>
          <t>8609774</t>
        </is>
      </c>
      <c r="S203" s="145" t="n"/>
      <c r="T203" s="145" t="n"/>
      <c r="U203" s="145" t="inlineStr">
        <is>
          <t>logged — no data found</t>
        </is>
      </c>
      <c r="V203" s="145" t="n"/>
    </row>
    <row r="204">
      <c r="A204" s="145" t="inlineStr">
        <is>
          <t>C</t>
        </is>
      </c>
      <c r="B204" s="145" t="inlineStr">
        <is>
          <t>🥈 unknown/silent</t>
        </is>
      </c>
      <c r="C204" s="145" t="inlineStr">
        <is>
          <t>Hana Bank USA, N.A. [post-census add]</t>
        </is>
      </c>
      <c r="D204" s="145" t="inlineStr">
        <is>
          <t>Bank</t>
        </is>
      </c>
      <c r="E204" s="145" t="n"/>
      <c r="F204" s="145" t="n"/>
      <c r="G204" s="145" t="n"/>
      <c r="H204" s="145" t="n"/>
      <c r="I204" s="145" t="n"/>
      <c r="J204" s="145" t="n"/>
      <c r="K204" s="145" t="n"/>
      <c r="L204" s="145" t="n"/>
      <c r="M204" s="145" t="n"/>
      <c r="N204" s="145" t="n"/>
      <c r="O204" s="145" t="n"/>
      <c r="P204" s="145" t="n"/>
      <c r="Q204" s="145" t="n"/>
      <c r="R204" s="145" t="n"/>
      <c r="S204" s="145" t="n"/>
      <c r="T204" s="145" t="n"/>
      <c r="U204" s="145" t="inlineStr">
        <is>
          <t>logged — no data found</t>
        </is>
      </c>
      <c r="V204" s="145" t="n"/>
    </row>
    <row r="205">
      <c r="A205" s="145" t="inlineStr">
        <is>
          <t>C</t>
        </is>
      </c>
      <c r="B205" s="145" t="inlineStr">
        <is>
          <t>🥈 unknown/silent</t>
        </is>
      </c>
      <c r="C205" s="145" t="inlineStr">
        <is>
          <t>Citizens Bank, N.A. [post-census add]</t>
        </is>
      </c>
      <c r="D205" s="145" t="inlineStr">
        <is>
          <t>Bank</t>
        </is>
      </c>
      <c r="E205" s="145" t="n"/>
      <c r="F205" s="145" t="n"/>
      <c r="G205" s="145" t="n"/>
      <c r="H205" s="145" t="n"/>
      <c r="I205" s="145" t="n"/>
      <c r="J205" s="145" t="n"/>
      <c r="K205" s="145" t="n"/>
      <c r="L205" s="145" t="n"/>
      <c r="M205" s="145" t="n"/>
      <c r="N205" s="145" t="n"/>
      <c r="O205" s="145" t="n"/>
      <c r="P205" s="145" t="n"/>
      <c r="Q205" s="145" t="n"/>
      <c r="R205" s="145" t="n"/>
      <c r="S205" s="145" t="n"/>
      <c r="T205" s="145" t="n"/>
      <c r="U205" s="145" t="inlineStr">
        <is>
          <t>logged — no data found</t>
        </is>
      </c>
      <c r="V205" s="145" t="n"/>
    </row>
    <row r="206">
      <c r="A206" s="145" t="inlineStr">
        <is>
          <t>C</t>
        </is>
      </c>
      <c r="B206" s="145" t="inlineStr">
        <is>
          <t>🥈 unknown/silent</t>
        </is>
      </c>
      <c r="C206" s="145" t="inlineStr">
        <is>
          <t>Metro City Bank (ex-First IC) [post-census add]</t>
        </is>
      </c>
      <c r="D206" s="145" t="inlineStr">
        <is>
          <t>Bank</t>
        </is>
      </c>
      <c r="E206" s="145" t="n"/>
      <c r="F206" s="145" t="n"/>
      <c r="G206" s="145" t="n"/>
      <c r="H206" s="145" t="n"/>
      <c r="I206" s="145" t="n"/>
      <c r="J206" s="145" t="n"/>
      <c r="K206" s="145" t="n"/>
      <c r="L206" s="145" t="n"/>
      <c r="M206" s="145" t="n"/>
      <c r="N206" s="145" t="n"/>
      <c r="O206" s="145" t="n"/>
      <c r="P206" s="145" t="n"/>
      <c r="Q206" s="145" t="n"/>
      <c r="R206" s="145" t="n"/>
      <c r="S206" s="145" t="n"/>
      <c r="T206" s="145" t="n"/>
      <c r="U206" s="145" t="inlineStr">
        <is>
          <t>logged — no data found</t>
        </is>
      </c>
      <c r="V206" s="145" t="n"/>
    </row>
    <row r="207">
      <c r="A207" s="145" t="inlineStr">
        <is>
          <t>C</t>
        </is>
      </c>
      <c r="B207" s="145" t="inlineStr">
        <is>
          <t>🥉 mixed/stale</t>
        </is>
      </c>
      <c r="C207" s="145" t="inlineStr">
        <is>
          <t>HSBC Bank USA, National Association</t>
        </is>
      </c>
      <c r="D207" s="145" t="inlineStr">
        <is>
          <t>Bank</t>
        </is>
      </c>
      <c r="E207" s="145" t="inlineStr">
        <is>
          <t>N for new small-biz — corporate-only cards, RM-gated. SMB unit WINDING DOWN since 2025-05-30 (~4,400 clients exiting)</t>
        </is>
      </c>
      <c r="F207" s="145" t="inlineStr">
        <is>
          <t>Corporate RM-only</t>
        </is>
      </c>
      <c r="G207" s="145" t="inlineStr">
        <is>
          <t>N/M</t>
        </is>
      </c>
      <c r="H207" s="145" t="inlineStr">
        <is>
          <t>None</t>
        </is>
      </c>
      <c r="I207" s="145" t="inlineStr">
        <is>
          <t>Self (corporate platform) — moot</t>
        </is>
      </c>
      <c r="J207" s="145" t="inlineStr">
        <is>
          <t>N/M</t>
        </is>
      </c>
      <c r="K207" s="145" t="inlineStr">
        <is>
          <t>MIXED (DoC sec 3.8)</t>
        </is>
      </c>
      <c r="L207" s="145" t="inlineStr">
        <is>
          <t>YES — pulls (DoC EWS list, 4 DPs)</t>
        </is>
      </c>
      <c r="M207" s="145" t="inlineStr">
        <is>
          <t>Relationship-gated</t>
        </is>
      </c>
      <c r="N207" s="145" t="inlineStr">
        <is>
          <t>RM only</t>
        </is>
      </c>
      <c r="O207" s="145" t="inlineStr">
        <is>
          <t>15315 Culver Dr, Irvine 92604 (Orange)</t>
        </is>
      </c>
      <c r="P207" s="145" t="inlineStr">
        <is>
          <t>12.2</t>
        </is>
      </c>
      <c r="Q207" s="145" t="inlineStr">
        <is>
          <t>16.6</t>
        </is>
      </c>
      <c r="R207" s="145" t="inlineStr">
        <is>
          <t>9911674</t>
        </is>
      </c>
      <c r="S207" s="145" t="n"/>
      <c r="T207" s="145" t="inlineStr">
        <is>
          <t>No post-2021 small-biz DPs</t>
        </is>
      </c>
      <c r="U207" s="145" t="inlineStr">
        <is>
          <t>DEAD — exited mass-retail 2021 + SMB wind-down 2025</t>
        </is>
      </c>
      <c r="V207" s="145" t="inlineStr">
        <is>
          <t>https://www.pymnts.com/news/banking/2025/hsbc-to-wind-down-business-banking-unit-in-us/</t>
        </is>
      </c>
    </row>
    <row r="208">
      <c r="A208" s="145" t="inlineStr">
        <is>
          <t>C</t>
        </is>
      </c>
      <c r="B208" s="147" t="inlineStr">
        <is>
          <t>🔴 confirmed puller</t>
        </is>
      </c>
      <c r="C208" s="145" t="inlineStr">
        <is>
          <t>Valley National Bank</t>
        </is>
      </c>
      <c r="D208" s="145" t="inlineStr">
        <is>
          <t>Bank</t>
        </is>
      </c>
      <c r="E208" s="145" t="n"/>
      <c r="F208" s="145" t="n"/>
      <c r="G208" s="145" t="n"/>
      <c r="H208" s="145" t="n"/>
      <c r="I208" s="145" t="n"/>
      <c r="J208" s="145" t="n"/>
      <c r="K208" s="145" t="inlineStr">
        <is>
          <t>YES pulls — multiple comment DPs (2025-2026, checking; existing customer too) | web: YES [agg+DP] — online apps Chex-SENSITIVE; in-branch more lenient</t>
        </is>
      </c>
      <c r="L208" s="145" t="inlineStr">
        <is>
          <t>Not mentioned</t>
        </is>
      </c>
      <c r="M208" s="145" t="n"/>
      <c r="N208" s="145" t="n"/>
      <c r="O208" s="145" t="inlineStr">
        <is>
          <t>555 W 5th St, Los Angeles 90013 (Los Angeles)</t>
        </is>
      </c>
      <c r="P208" s="145" t="inlineStr">
        <is>
          <t>10.2</t>
        </is>
      </c>
      <c r="Q208" s="145" t="inlineStr">
        <is>
          <t>22.2</t>
        </is>
      </c>
      <c r="R208" s="145" t="inlineStr">
        <is>
          <t>220315</t>
        </is>
      </c>
      <c r="S208" s="145" t="n"/>
      <c r="T208" s="145" t="n"/>
      <c r="U208" s="145" t="inlineStr">
        <is>
          <t>logged — no data found</t>
        </is>
      </c>
      <c r="V208" s="145" t="n"/>
    </row>
    <row r="209">
      <c r="A209" s="145" t="inlineStr">
        <is>
          <t>C</t>
        </is>
      </c>
      <c r="B209" s="147" t="inlineStr">
        <is>
          <t>🔴 confirmed puller</t>
        </is>
      </c>
      <c r="C209" s="145" t="inlineStr">
        <is>
          <t>City National Bank</t>
        </is>
      </c>
      <c r="D209" s="145" t="inlineStr">
        <is>
          <t>Bank</t>
        </is>
      </c>
      <c r="E209" s="145" t="inlineStr">
        <is>
          <t>⚠️ Commercial only — Visa Commercial/Crystal; no 0%; $50/$400 AF; branch only</t>
        </is>
      </c>
      <c r="F209" s="145" t="inlineStr">
        <is>
          <t>None (LOC/SBA/ABL full-doc)</t>
        </is>
      </c>
      <c r="G209" s="145" t="inlineStr">
        <is>
          <t>—</t>
        </is>
      </c>
      <c r="H209" s="145" t="inlineStr">
        <is>
          <t>PG + Personal Financial Statement + tax returns (full-doc)</t>
        </is>
      </c>
      <c r="I209" s="145" t="inlineStr">
        <is>
          <t>Self</t>
        </is>
      </c>
      <c r="J209" s="145" t="inlineStr">
        <is>
          <t>Experian (personal Crystal card; biz N/M)</t>
        </is>
      </c>
      <c r="K209" s="145" t="inlineStr">
        <is>
          <t>⚠ DoC 'City National Bank' entry = the WEST VIRGINIA bank (pulls Chex, no EWS) — NOT LA's City National. LA entity: not listed</t>
        </is>
      </c>
      <c r="L209" s="145" t="inlineStr">
        <is>
          <t>⚠ same entity mismatch — 'City National Bank WV doesn't pull EWS' is the WV bank</t>
        </is>
      </c>
      <c r="M209" s="145" t="inlineStr">
        <is>
          <t>N/M (relationship expected)</t>
        </is>
      </c>
      <c r="N209" s="145" t="inlineStr">
        <is>
          <t>In-person</t>
        </is>
      </c>
      <c r="O209" s="145" t="inlineStr">
        <is>
          <t>100 Oceangate, Long Beach 90802 (Los Angeles)</t>
        </is>
      </c>
      <c r="P209" s="145" t="n"/>
      <c r="Q209" s="145" t="inlineStr">
        <is>
          <t>24.2</t>
        </is>
      </c>
      <c r="R209" s="145" t="inlineStr">
        <is>
          <t>52514502</t>
        </is>
      </c>
      <c r="S209" s="145" t="n"/>
      <c r="T209" s="145" t="inlineStr">
        <is>
          <t>N/M for biz card (forum data is for personal Crystal Visa Infinite only)</t>
        </is>
      </c>
      <c r="U209" s="145" t="inlineStr">
        <is>
          <t>(base-covered)</t>
        </is>
      </c>
      <c r="V209" s="145" t="inlineStr">
        <is>
          <t>cnb.com commercial + crystal pages; Commercial-Credit-Card Agreement PDF</t>
        </is>
      </c>
    </row>
    <row r="210">
      <c r="A210" s="149" t="inlineStr">
        <is>
          <t>D NO-GO</t>
        </is>
      </c>
      <c r="B210" s="117" t="n"/>
      <c r="C210" s="117" t="n"/>
      <c r="D210" s="117" t="n"/>
      <c r="E210" s="117" t="n"/>
      <c r="F210" s="117" t="n"/>
      <c r="G210" s="117" t="n"/>
      <c r="H210" s="117" t="n"/>
      <c r="I210" s="117" t="n"/>
      <c r="J210" s="117" t="n"/>
      <c r="K210" s="117" t="n"/>
      <c r="L210" s="117" t="n"/>
      <c r="M210" s="117" t="n"/>
      <c r="N210" s="117" t="n"/>
      <c r="O210" s="117" t="n"/>
      <c r="P210" s="117" t="n"/>
      <c r="Q210" s="117" t="n"/>
      <c r="R210" s="117" t="n"/>
      <c r="S210" s="117" t="n"/>
      <c r="T210" s="117" t="n"/>
      <c r="U210" s="117" t="n"/>
      <c r="V210" s="118" t="n"/>
    </row>
    <row r="211">
      <c r="A211" s="145" t="inlineStr">
        <is>
          <t>D</t>
        </is>
      </c>
      <c r="B211" s="146" t="inlineStr">
        <is>
          <t>🥇 no-pull evidence</t>
        </is>
      </c>
      <c r="C211" s="145" t="inlineStr">
        <is>
          <t>SKYLA CU</t>
        </is>
      </c>
      <c r="D211" s="145" t="inlineStr">
        <is>
          <t>Credit Union</t>
        </is>
      </c>
      <c r="E211" s="145" t="inlineStr">
        <is>
          <t>Y 'Visa Business Platinum up to $50,000' — BUT biz lending = NC/SC entities ONLY + 2yr tax returns (verbatim)</t>
        </is>
      </c>
      <c r="F211" s="145" t="inlineStr">
        <is>
          <t>Y (NC/SC)</t>
        </is>
      </c>
      <c r="G211" s="145" t="inlineStr">
        <is>
          <t>up to $50,000 (gated)</t>
        </is>
      </c>
      <c r="H211" s="145" t="inlineStr">
        <is>
          <t>NO — full-doc + geo-gated</t>
        </is>
      </c>
      <c r="I211" s="145" t="inlineStr">
        <is>
          <t>N/M (no agent tells)</t>
        </is>
      </c>
      <c r="J211" s="145" t="inlineStr">
        <is>
          <t>Join = soft pull (DoC)</t>
        </is>
      </c>
      <c r="K211" s="145" t="inlineStr">
        <is>
          <t>Didn't pull / freeze-blocked (DoC comment DP)</t>
        </is>
      </c>
      <c r="L211" s="145" t="inlineStr">
        <is>
          <t>N/M</t>
        </is>
      </c>
      <c r="M211" s="145" t="inlineStr">
        <is>
          <t>ACC — but pointless for CA biz</t>
        </is>
      </c>
      <c r="N211" s="145" t="inlineStr">
        <is>
          <t>Form → Business Services</t>
        </is>
      </c>
      <c r="O211" s="145" t="n"/>
      <c r="P211" s="145" t="n"/>
      <c r="Q211" s="145" t="n"/>
      <c r="R211" s="145" t="n"/>
      <c r="S211" s="145" t="inlineStr">
        <is>
          <t>1656044095</t>
        </is>
      </c>
      <c r="T211" s="145" t="n"/>
      <c r="U211" s="145" t="inlineStr">
        <is>
          <t>NO-GO for CA sprint</t>
        </is>
      </c>
      <c r="V211" s="145" t="inlineStr">
        <is>
          <t>https://www.skylacu.com/business/loans-getting-started</t>
        </is>
      </c>
    </row>
    <row r="212">
      <c r="A212" s="145" t="inlineStr">
        <is>
          <t>D</t>
        </is>
      </c>
      <c r="B212" s="145" t="inlineStr">
        <is>
          <t>🥈 unknown/silent</t>
        </is>
      </c>
      <c r="C212" s="145" t="inlineStr">
        <is>
          <t>Banc of California</t>
        </is>
      </c>
      <c r="D212" s="145" t="inlineStr">
        <is>
          <t>Bank</t>
        </is>
      </c>
      <c r="E212" s="145" t="inlineStr">
        <is>
          <t>✅ 0% 20 cycles → ~17-26% var; $0 AF (BEST 0% in set)</t>
        </is>
      </c>
      <c r="F212" s="145" t="inlineStr">
        <is>
          <t>None (SBA/LOC/term full-doc)</t>
        </is>
      </c>
      <c r="G212" s="145" t="inlineStr">
        <is>
          <t>Elan platform: ~$3K–$10K start, to ~$20K strong files (~$500 seen at 800+ FICO)  [myFICO #6658960]</t>
        </is>
      </c>
      <c r="H212" s="145" t="inlineStr">
        <is>
          <t>PG yes; no tax returns (&lt;$25K)</t>
        </is>
      </c>
      <c r="I212" s="145" t="inlineStr">
        <is>
          <t>Elan</t>
        </is>
      </c>
      <c r="J212" s="145" t="inlineStr">
        <is>
          <t>TransUnion (varies EX/EQ)</t>
        </is>
      </c>
      <c r="K212" s="145" t="n"/>
      <c r="L212" s="145" t="n"/>
      <c r="M212" s="145" t="inlineStr">
        <is>
          <t>No</t>
        </is>
      </c>
      <c r="N212" s="145" t="inlineStr">
        <is>
          <t>Online</t>
        </is>
      </c>
      <c r="O212" s="145" t="inlineStr">
        <is>
          <t>1 World Trade Ctr, Ste 125, Long Beach 90831 (Los Angeles)</t>
        </is>
      </c>
      <c r="P212" s="145" t="inlineStr">
        <is>
          <t>0.6</t>
        </is>
      </c>
      <c r="Q212" s="145" t="inlineStr">
        <is>
          <t>23.8</t>
        </is>
      </c>
      <c r="R212" s="145" t="inlineStr">
        <is>
          <t>18376955</t>
        </is>
      </c>
      <c r="S212" s="145" t="n"/>
      <c r="T212" s="145" t="inlineStr">
        <is>
          <t>Elan platform: starts ~$3-10K (to $20K strong files; ~$500 seen even at 800+ FICO). PG required; ~2yr TIB pref</t>
        </is>
      </c>
      <c r="U212" s="145" t="inlineStr">
        <is>
          <t>(base-covered)</t>
        </is>
      </c>
      <c r="V212" s="145" t="inlineStr">
        <is>
          <t>bancofcal.com business credit card page; online1.elancard.com STD_BIZ.pdf; hustlermoneyblog.com</t>
        </is>
      </c>
    </row>
    <row r="213">
      <c r="A213" s="145" t="inlineStr">
        <is>
          <t>D</t>
        </is>
      </c>
      <c r="B213" s="145" t="inlineStr">
        <is>
          <t>🥈 unknown/silent</t>
        </is>
      </c>
      <c r="C213" s="145" t="inlineStr">
        <is>
          <t>Poppy Bank</t>
        </is>
      </c>
      <c r="D213" s="145" t="inlineStr">
        <is>
          <t>Bank</t>
        </is>
      </c>
      <c r="E213" s="145" t="inlineStr">
        <is>
          <t>✅ 0% 12 cycles → 17.24-26.24%; $0 AF</t>
        </is>
      </c>
      <c r="F213" s="145" t="inlineStr">
        <is>
          <t>None (SBA/USDA/CRE/LOC underwritten)</t>
        </is>
      </c>
      <c r="G213" s="145" t="inlineStr">
        <is>
          <t>Elan platform: ~$3K–$10K start, to ~$20K strong files (~$500 seen at 800+ FICO)  [myFICO #6658960]</t>
        </is>
      </c>
      <c r="H213" s="145" t="inlineStr">
        <is>
          <t>PG yes; no tax returns (&lt;$25K)</t>
        </is>
      </c>
      <c r="I213" s="145" t="inlineStr">
        <is>
          <t>Elan</t>
        </is>
      </c>
      <c r="J213" s="145" t="inlineStr">
        <is>
          <t>TransUnion (varies EX/EQ)</t>
        </is>
      </c>
      <c r="K213" s="145" t="n"/>
      <c r="L213" s="145" t="n"/>
      <c r="M213" s="145" t="inlineStr">
        <is>
          <t>No</t>
        </is>
      </c>
      <c r="N213" s="145" t="inlineStr">
        <is>
          <t>Online</t>
        </is>
      </c>
      <c r="O213" s="145" t="inlineStr">
        <is>
          <t>6290 E Pacific Coast Hwy, Long Beach 90803 (Los Angeles)</t>
        </is>
      </c>
      <c r="P213" s="145" t="inlineStr">
        <is>
          <t>2.1</t>
        </is>
      </c>
      <c r="Q213" s="145" t="inlineStr">
        <is>
          <t>22.3</t>
        </is>
      </c>
      <c r="R213" s="145" t="inlineStr">
        <is>
          <t>693420</t>
        </is>
      </c>
      <c r="S213" s="145" t="n"/>
      <c r="T213" s="145" t="inlineStr">
        <is>
          <t>Elan platform: starts ~$3-10K (to $20K strong files; ~$500 seen even at 800+ FICO). PG required; ~2yr TIB pref</t>
        </is>
      </c>
      <c r="U213" s="145" t="inlineStr">
        <is>
          <t>(base-covered)</t>
        </is>
      </c>
      <c r="V213" s="145" t="inlineStr">
        <is>
          <t>poppy.bank/business-checking-accounts; creditcardlearnmore.com (07362)</t>
        </is>
      </c>
    </row>
    <row r="214">
      <c r="A214" s="145" t="inlineStr">
        <is>
          <t>D</t>
        </is>
      </c>
      <c r="B214" s="145" t="inlineStr">
        <is>
          <t>🥈 unknown/silent</t>
        </is>
      </c>
      <c r="C214" s="145" t="inlineStr">
        <is>
          <t>East West Bank</t>
        </is>
      </c>
      <c r="D214" s="145" t="inlineStr">
        <is>
          <t>Bank</t>
        </is>
      </c>
      <c r="E214" s="145" t="inlineStr">
        <is>
          <t>⚠️ Commercial only — One Card (corporate); terms N/M; no online apply</t>
        </is>
      </c>
      <c r="F214" s="145" t="inlineStr">
        <is>
          <t>None (commercial LOC/term/SBA 'subject to review')</t>
        </is>
      </c>
      <c r="G214" s="145" t="inlineStr">
        <is>
          <t>—</t>
        </is>
      </c>
      <c r="H214" s="145" t="inlineStr">
        <is>
          <t>PG yes (Elan); full commercial underwriting</t>
        </is>
      </c>
      <c r="I214" s="145" t="inlineStr">
        <is>
          <t>Elan</t>
        </is>
      </c>
      <c r="J214" s="145" t="inlineStr">
        <is>
          <t>TransUnion (varies EX/EQ)</t>
        </is>
      </c>
      <c r="K214" s="145" t="n"/>
      <c r="L214" s="145" t="n"/>
      <c r="M214" s="145" t="inlineStr">
        <is>
          <t>N/M</t>
        </is>
      </c>
      <c r="N214" s="145" t="inlineStr">
        <is>
          <t>In-person</t>
        </is>
      </c>
      <c r="O214" s="145" t="inlineStr">
        <is>
          <t>22008 Avalon Blvd, Carson 90745 (Los Angeles)</t>
        </is>
      </c>
      <c r="P214" s="145" t="inlineStr">
        <is>
          <t>2.9</t>
        </is>
      </c>
      <c r="Q214" s="145" t="inlineStr">
        <is>
          <t>24.7</t>
        </is>
      </c>
      <c r="R214" s="145" t="inlineStr">
        <is>
          <t>38335997</t>
        </is>
      </c>
      <c r="S214" s="145" t="n"/>
      <c r="T214" s="145" t="inlineStr">
        <is>
          <t>N/M East West-specific; Elan issuer-level only</t>
        </is>
      </c>
      <c r="U214" s="145" t="inlineStr">
        <is>
          <t>(base-covered)</t>
        </is>
      </c>
      <c r="V214" s="145" t="inlineStr">
        <is>
          <t>eastwestbank.com corporate-card page (Elan disclosure); wallethub.com</t>
        </is>
      </c>
    </row>
    <row r="215">
      <c r="A215" s="145" t="inlineStr">
        <is>
          <t>D</t>
        </is>
      </c>
      <c r="B215" s="145" t="inlineStr">
        <is>
          <t>🥈 unknown/silent</t>
        </is>
      </c>
      <c r="C215" s="145" t="inlineStr">
        <is>
          <t>Pacific Premier Bank, National Association</t>
        </is>
      </c>
      <c r="D215" s="145" t="inlineStr">
        <is>
          <t>Bank</t>
        </is>
      </c>
      <c r="E215" s="145" t="inlineStr">
        <is>
          <t>⚠️ DEFUNCT — brand retired Aug 2025 (acquired by Columbia Banking); legacy cards FNBO-issued; successor = Columbia Bank (Elan)</t>
        </is>
      </c>
      <c r="F215" s="145" t="inlineStr">
        <is>
          <t>None</t>
        </is>
      </c>
      <c r="G215" s="145" t="inlineStr">
        <is>
          <t>—</t>
        </is>
      </c>
      <c r="H215" s="145" t="inlineStr">
        <is>
          <t>N/M</t>
        </is>
      </c>
      <c r="I215" s="145" t="inlineStr">
        <is>
          <t>(legacy FNBO; now Columbia / Elan)</t>
        </is>
      </c>
      <c r="J215" s="145" t="inlineStr">
        <is>
          <t>N/M</t>
        </is>
      </c>
      <c r="K215" s="145" t="n"/>
      <c r="L215" s="145" t="n"/>
      <c r="M215" s="145" t="inlineStr">
        <is>
          <t>N/M</t>
        </is>
      </c>
      <c r="N215" s="145" t="inlineStr">
        <is>
          <t>No</t>
        </is>
      </c>
      <c r="O215" s="145" t="inlineStr">
        <is>
          <t>1000 N Western Ave, Ste 101, San Pedro 90732 (Los Angeles)</t>
        </is>
      </c>
      <c r="P215" s="145" t="inlineStr">
        <is>
          <t>3.1</t>
        </is>
      </c>
      <c r="Q215" s="145" t="inlineStr">
        <is>
          <t>27.2</t>
        </is>
      </c>
      <c r="R215" s="145" t="inlineStr">
        <is>
          <t>10844223</t>
        </is>
      </c>
      <c r="S215" s="145" t="n"/>
      <c r="T215" s="145" t="inlineStr">
        <is>
          <t>Brand retired; customers migrated to Columbia Bank (Elan cards).</t>
        </is>
      </c>
      <c r="U215" s="145" t="inlineStr">
        <is>
          <t>(base-covered)</t>
        </is>
      </c>
      <c r="V215" s="145" t="inlineStr">
        <is>
          <t>columbiabank.com/ppbi (transition); card.fnbo.com/mpp/fi/ppb/business/pb-visa (legacy, 404); prnewswire (merger close)</t>
        </is>
      </c>
    </row>
    <row r="216">
      <c r="A216" s="145" t="inlineStr">
        <is>
          <t>D</t>
        </is>
      </c>
      <c r="B216" s="145" t="inlineStr">
        <is>
          <t>🥈 unknown/silent</t>
        </is>
      </c>
      <c r="C216" s="145" t="inlineStr">
        <is>
          <t>SOUTH BAY CU</t>
        </is>
      </c>
      <c r="D216" s="145" t="inlineStr">
        <is>
          <t>Credit Union</t>
        </is>
      </c>
      <c r="E216" s="145" t="inlineStr">
        <is>
          <t>N</t>
        </is>
      </c>
      <c r="F216" s="145" t="inlineStr">
        <is>
          <t>Not published (marketing only)</t>
        </is>
      </c>
      <c r="G216" s="145" t="inlineStr">
        <is>
          <t>n/a</t>
        </is>
      </c>
      <c r="H216" s="145" t="inlineStr">
        <is>
          <t>n/a</t>
        </is>
      </c>
      <c r="I216" s="145" t="inlineStr">
        <is>
          <t>n/a</t>
        </is>
      </c>
      <c r="J216" s="145" t="inlineStr">
        <is>
          <t>N/M</t>
        </is>
      </c>
      <c r="K216" s="145" t="inlineStr">
        <is>
          <t>N/M</t>
        </is>
      </c>
      <c r="L216" s="145" t="inlineStr">
        <is>
          <t>N/M</t>
        </is>
      </c>
      <c r="M216" s="145" t="inlineStr">
        <is>
          <t>South Bay live/work</t>
        </is>
      </c>
      <c r="N216" s="145" t="inlineStr">
        <is>
          <t>Appointment</t>
        </is>
      </c>
      <c r="O216" s="145" t="inlineStr">
        <is>
          <t>24520 Narbonne Ave, Lomita 90717 (Los Angeles)</t>
        </is>
      </c>
      <c r="P216" s="145" t="inlineStr">
        <is>
          <t>3.5</t>
        </is>
      </c>
      <c r="Q216" s="145" t="inlineStr">
        <is>
          <t>26.4</t>
        </is>
      </c>
      <c r="R216" s="145" t="n"/>
      <c r="S216" s="145" t="inlineStr">
        <is>
          <t>164333499</t>
        </is>
      </c>
      <c r="T216" s="145" t="n"/>
      <c r="U216" s="145" t="inlineStr">
        <is>
          <t>NO-GO</t>
        </is>
      </c>
      <c r="V216" s="145" t="inlineStr">
        <is>
          <t>https://www.southbaycu.com/business-accounts/</t>
        </is>
      </c>
    </row>
    <row r="217">
      <c r="A217" s="145" t="inlineStr">
        <is>
          <t>D</t>
        </is>
      </c>
      <c r="B217" s="145" t="inlineStr">
        <is>
          <t>🥈 unknown/silent</t>
        </is>
      </c>
      <c r="C217" s="145" t="inlineStr">
        <is>
          <t>SMBC MANUBANK</t>
        </is>
      </c>
      <c r="D217" s="145" t="inlineStr">
        <is>
          <t>Bank</t>
        </is>
      </c>
      <c r="E217" s="145" t="inlineStr">
        <is>
          <t>✅ 0% 18 mo → 17.24-26.24%; $0 AF (being acquired by Bank of Hope)</t>
        </is>
      </c>
      <c r="F217" s="145" t="inlineStr">
        <is>
          <t>None (term/LOC/SBA/CRE/ABL full-doc)</t>
        </is>
      </c>
      <c r="G217" s="145" t="inlineStr">
        <is>
          <t>Elan platform: ~$3K–$10K start, to ~$20K strong files (~$500 seen at 800+ FICO)  [myFICO #6658960]</t>
        </is>
      </c>
      <c r="H217" s="145" t="inlineStr">
        <is>
          <t>PG yes; no tax returns (&lt;$25K)</t>
        </is>
      </c>
      <c r="I217" s="145" t="inlineStr">
        <is>
          <t>Elan</t>
        </is>
      </c>
      <c r="J217" s="145" t="inlineStr">
        <is>
          <t>Experian most-reported (Elan; varies)</t>
        </is>
      </c>
      <c r="K217" s="145" t="n"/>
      <c r="L217" s="145" t="n"/>
      <c r="M217" s="145" t="inlineStr">
        <is>
          <t>N/M</t>
        </is>
      </c>
      <c r="N217" s="145" t="inlineStr">
        <is>
          <t>In-person</t>
        </is>
      </c>
      <c r="O217" s="145" t="inlineStr">
        <is>
          <t>970 W 190th St, Ste 500, Torrance 90502 (Los Angeles)</t>
        </is>
      </c>
      <c r="P217" s="145" t="inlineStr">
        <is>
          <t>3.7</t>
        </is>
      </c>
      <c r="Q217" s="145" t="inlineStr">
        <is>
          <t>25.3</t>
        </is>
      </c>
      <c r="R217" s="145" t="inlineStr">
        <is>
          <t>5568959</t>
        </is>
      </c>
      <c r="S217" s="145" t="n"/>
      <c r="T217" s="145" t="inlineStr">
        <is>
          <t>Elan platform: starts ~$3-10K (to $20K strong files; ~$500 seen even at 800+ FICO). PG required; ~2yr TIB pref</t>
        </is>
      </c>
      <c r="U217" s="145" t="inlineStr">
        <is>
          <t>(base-covered)</t>
        </is>
      </c>
      <c r="V217" s="145" t="inlineStr">
        <is>
          <t>smbcmanubank.com business-credit-cards; card.myaccountaccess.com (Elan disclosure); supermoney.com</t>
        </is>
      </c>
    </row>
    <row r="218">
      <c r="A218" s="145" t="inlineStr">
        <is>
          <t>D</t>
        </is>
      </c>
      <c r="B218" s="145" t="inlineStr">
        <is>
          <t>🥈 unknown/silent</t>
        </is>
      </c>
      <c r="C218" s="145" t="inlineStr">
        <is>
          <t>COMMUNITYAMERICA CU</t>
        </is>
      </c>
      <c r="D218" s="145" t="inlineStr">
        <is>
          <t>Credit Union</t>
        </is>
      </c>
      <c r="E218" s="145" t="inlineStr">
        <is>
          <t>Y — CommunityAmerica Business Visa Rewards: as low as 16.99%, $0 AF, 1% CB</t>
        </is>
      </c>
      <c r="F218" s="145" t="inlineStr">
        <is>
          <t>Y (commercial banking advertised; terms N/M)</t>
        </is>
      </c>
      <c r="G218" s="145" t="inlineStr">
        <is>
          <t>N/M (not advertised)</t>
        </is>
      </c>
      <c r="H218" s="145" t="inlineStr">
        <is>
          <t>N/M</t>
        </is>
      </c>
      <c r="I218" s="145" t="inlineStr">
        <is>
          <t>SELF-serviced (in-app My Cards; NO Elan disclosure on site — search-engine Elan co-occurrence REJECTED on primary check)</t>
        </is>
      </c>
      <c r="J218" s="145" t="inlineStr">
        <is>
          <t>N/M (zero DPs)</t>
        </is>
      </c>
      <c r="K218" s="145" t="inlineStr">
        <is>
          <t>UNKNOWN</t>
        </is>
      </c>
      <c r="L218" s="145" t="inlineStr">
        <is>
          <t>N/M</t>
        </is>
      </c>
      <c r="M218" s="145" t="inlineStr">
        <is>
          <t>OPEN nationwide: 'Friends of Hobbs' non-profit, CU registers you AT NO COST. LB=YES / Fontana=YES. UNIFY's 15 LA/OC branches = legacy until mid-2026 integration</t>
        </is>
      </c>
      <c r="N218" s="145" t="inlineStr">
        <is>
          <t>Membership online; biz card = phone/Message-Us mediated (800-892-7957)</t>
        </is>
      </c>
      <c r="O218" s="145" t="inlineStr">
        <is>
          <t>19191 S Vermont Ave Ste 680, Torrance 90502 (Los Angeles)</t>
        </is>
      </c>
      <c r="P218" s="145" t="inlineStr">
        <is>
          <t>3.7</t>
        </is>
      </c>
      <c r="Q218" s="145" t="inlineStr">
        <is>
          <t>25.3</t>
        </is>
      </c>
      <c r="R218" s="145" t="n"/>
      <c r="S218" s="145" t="inlineStr">
        <is>
          <t>8983073793</t>
        </is>
      </c>
      <c r="T218" s="145" t="inlineStr">
        <is>
          <t>$9B, absorbed UNIFY 2025-11-01</t>
        </is>
      </c>
      <c r="U218" s="145" t="inlineStr">
        <is>
          <t>CONDITIONAL GO — untested probe; re-screen after mid-2026 integration</t>
        </is>
      </c>
      <c r="V218" s="145" t="inlineStr">
        <is>
          <t>https://www.communityamerica.com/business/borrow/business-financing/business-credit-cards</t>
        </is>
      </c>
    </row>
    <row r="219">
      <c r="A219" s="145" t="inlineStr">
        <is>
          <t>D</t>
        </is>
      </c>
      <c r="B219" s="145" t="inlineStr">
        <is>
          <t>🥈 unknown/silent</t>
        </is>
      </c>
      <c r="C219" s="145" t="inlineStr">
        <is>
          <t>THE FIRST FINANCIAL CU</t>
        </is>
      </c>
      <c r="D219" s="145" t="inlineStr">
        <is>
          <t>Credit Union</t>
        </is>
      </c>
      <c r="E219" s="145" t="inlineStr">
        <is>
          <t>N</t>
        </is>
      </c>
      <c r="F219" s="145" t="inlineStr">
        <is>
          <t>N</t>
        </is>
      </c>
      <c r="G219" s="145" t="inlineStr">
        <is>
          <t>n/a</t>
        </is>
      </c>
      <c r="H219" s="145" t="inlineStr">
        <is>
          <t>n/a</t>
        </is>
      </c>
      <c r="I219" s="145" t="inlineStr">
        <is>
          <t>n/a</t>
        </is>
      </c>
      <c r="J219" s="145" t="inlineStr">
        <is>
          <t>N/M</t>
        </is>
      </c>
      <c r="K219" s="145" t="inlineStr">
        <is>
          <t>N/M</t>
        </is>
      </c>
      <c r="L219" s="145" t="inlineStr">
        <is>
          <t>N/M</t>
        </is>
      </c>
      <c r="M219" s="145" t="inlineStr">
        <is>
          <t>CA Teachers Assoc + edu SEGs; LB/Fontana generic = NO</t>
        </is>
      </c>
      <c r="N219" s="145" t="inlineStr">
        <is>
          <t>n/a</t>
        </is>
      </c>
      <c r="O219" s="145" t="inlineStr">
        <is>
          <t>4018 Hardwick ST, Lakewood 90712 (Los Angeles)</t>
        </is>
      </c>
      <c r="P219" s="145" t="inlineStr">
        <is>
          <t>3.8</t>
        </is>
      </c>
      <c r="Q219" s="145" t="inlineStr">
        <is>
          <t>21.2</t>
        </is>
      </c>
      <c r="R219" s="145" t="n"/>
      <c r="S219" s="145" t="inlineStr">
        <is>
          <t>746455820</t>
        </is>
      </c>
      <c r="T219" s="145" t="n"/>
      <c r="U219" s="145" t="inlineStr">
        <is>
          <t>NO-GO — CTA educator FOM + no business products</t>
        </is>
      </c>
      <c r="V219" s="145" t="inlineStr">
        <is>
          <t>https://www.ffcu.org/about/membership/membership-eligibility</t>
        </is>
      </c>
    </row>
    <row r="220">
      <c r="A220" s="145" t="inlineStr">
        <is>
          <t>D</t>
        </is>
      </c>
      <c r="B220" s="145" t="inlineStr">
        <is>
          <t>🥈 unknown/silent</t>
        </is>
      </c>
      <c r="C220" s="145" t="inlineStr">
        <is>
          <t>Bank of Hope</t>
        </is>
      </c>
      <c r="D220" s="145" t="inlineStr">
        <is>
          <t>Bank</t>
        </is>
      </c>
      <c r="E220" s="145" t="inlineStr">
        <is>
          <t>✅ 0% 9 cycles → 17.74-25.74%; $0 AF; no FX fee</t>
        </is>
      </c>
      <c r="F220" s="145" t="inlineStr">
        <is>
          <t>None (SBA Express needs 2yr tax returns)</t>
        </is>
      </c>
      <c r="G220" s="145" t="inlineStr">
        <is>
          <t>Elan platform: ~$3K–$10K start, to ~$20K strong files (~$500 seen at 800+ FICO)  [myFICO #6658960]</t>
        </is>
      </c>
      <c r="H220" s="145" t="inlineStr">
        <is>
          <t>PG yes; no tax returns (&lt;$25K)</t>
        </is>
      </c>
      <c r="I220" s="145" t="inlineStr">
        <is>
          <t>Elan</t>
        </is>
      </c>
      <c r="J220" s="145" t="inlineStr">
        <is>
          <t>TransUnion (varies EX/EQ)</t>
        </is>
      </c>
      <c r="K220" s="145" t="n"/>
      <c r="L220" s="145" t="n"/>
      <c r="M220" s="145" t="inlineStr">
        <is>
          <t>N/M</t>
        </is>
      </c>
      <c r="N220" s="145" t="inlineStr">
        <is>
          <t>In-person</t>
        </is>
      </c>
      <c r="O220" s="145" t="inlineStr">
        <is>
          <t>2424 Sepulveda Blvd, Ste A, Torrance 90501 (Los Angeles)</t>
        </is>
      </c>
      <c r="P220" s="145" t="inlineStr">
        <is>
          <t>4.2</t>
        </is>
      </c>
      <c r="Q220" s="145" t="inlineStr">
        <is>
          <t>25.9</t>
        </is>
      </c>
      <c r="R220" s="145" t="inlineStr">
        <is>
          <t>9469233</t>
        </is>
      </c>
      <c r="S220" s="145" t="n"/>
      <c r="T220" s="145" t="inlineStr">
        <is>
          <t>Elan platform: starts ~$3-10K (to $20K strong files; ~$500 seen even at 800+ FICO). PG required; ~2yr TIB pref</t>
        </is>
      </c>
      <c r="U220" s="145" t="inlineStr">
        <is>
          <t>(base-covered)</t>
        </is>
      </c>
      <c r="V220" s="145" t="inlineStr">
        <is>
          <t>bankofhope.com/business-banking/credit-cards + agreements + Business Rewards disclosure PDF</t>
        </is>
      </c>
    </row>
    <row r="221">
      <c r="A221" s="145" t="inlineStr">
        <is>
          <t>D</t>
        </is>
      </c>
      <c r="B221" s="145" t="inlineStr">
        <is>
          <t>🥈 unknown/silent</t>
        </is>
      </c>
      <c r="C221" s="145" t="inlineStr">
        <is>
          <t>Royal Business Bank</t>
        </is>
      </c>
      <c r="D221" s="145" t="inlineStr">
        <is>
          <t>Bank</t>
        </is>
      </c>
      <c r="E221" s="145" t="inlineStr">
        <is>
          <t>✅ 0% 12 cycles → 17.24-26.24%; $0 AF</t>
        </is>
      </c>
      <c r="F221" s="145" t="inlineStr">
        <is>
          <t>None (SBA 7(a)/504, C&amp;I, CRE full-doc)</t>
        </is>
      </c>
      <c r="G221" s="145" t="inlineStr">
        <is>
          <t>Elan platform: ~$3K–$10K start, to ~$20K strong files (~$500 seen at 800+ FICO)  [myFICO #6658960]</t>
        </is>
      </c>
      <c r="H221" s="145" t="inlineStr">
        <is>
          <t>PG yes; no tax returns (&lt;$25K)</t>
        </is>
      </c>
      <c r="I221" s="145" t="inlineStr">
        <is>
          <t>Elan</t>
        </is>
      </c>
      <c r="J221" s="145" t="inlineStr">
        <is>
          <t>TransUnion (varies EX/EQ)</t>
        </is>
      </c>
      <c r="K221" s="145" t="n"/>
      <c r="L221" s="145" t="n"/>
      <c r="M221" s="145" t="inlineStr">
        <is>
          <t>No (Elan 'None' relationship option)</t>
        </is>
      </c>
      <c r="N221" s="145" t="inlineStr">
        <is>
          <t>Online</t>
        </is>
      </c>
      <c r="O221" s="145" t="inlineStr">
        <is>
          <t>23740 Hawthorne Blvd, Ste 103, Torrance 90505 (Los Angeles)</t>
        </is>
      </c>
      <c r="P221" s="145" t="inlineStr">
        <is>
          <t>4.5</t>
        </is>
      </c>
      <c r="Q221" s="145" t="inlineStr">
        <is>
          <t>27.1</t>
        </is>
      </c>
      <c r="R221" s="145" t="inlineStr">
        <is>
          <t>2040673</t>
        </is>
      </c>
      <c r="S221" s="145" t="n"/>
      <c r="T221" s="145" t="inlineStr">
        <is>
          <t>Elan platform: starts ~$3-10K (to $20K strong files; ~$500 seen even at 800+ FICO). PG required; ~2yr TIB pref</t>
        </is>
      </c>
      <c r="U221" s="145" t="inlineStr">
        <is>
          <t>(base-covered)</t>
        </is>
      </c>
      <c r="V221" s="145" t="inlineStr">
        <is>
          <t>royalbusinessbankusa.com/business/services/business-credit-card; creditcardlearnmore.com (27904)</t>
        </is>
      </c>
    </row>
    <row r="222">
      <c r="A222" s="145" t="inlineStr">
        <is>
          <t>D</t>
        </is>
      </c>
      <c r="B222" s="145" t="inlineStr">
        <is>
          <t>🥈 unknown/silent</t>
        </is>
      </c>
      <c r="C222" s="145" t="inlineStr">
        <is>
          <t>Commonwealth Business Bank</t>
        </is>
      </c>
      <c r="D222" s="145" t="inlineStr">
        <is>
          <t>Bank</t>
        </is>
      </c>
      <c r="E222" s="145" t="inlineStr">
        <is>
          <t>✅ 0% 6 cycles (Real Rewards); $0 AF; 1.5% + 5.5% travel</t>
        </is>
      </c>
      <c r="F222" s="145" t="inlineStr">
        <is>
          <t>None (SBA 7(a)/504/LOC/CRE full-doc; 2yr returns)</t>
        </is>
      </c>
      <c r="G222" s="145" t="inlineStr">
        <is>
          <t>Elan platform: ~$3K–$10K start, to ~$20K strong files (~$500 seen at 800+ FICO)  [myFICO #6658960]</t>
        </is>
      </c>
      <c r="H222" s="145" t="inlineStr">
        <is>
          <t>PG yes; no tax returns (&lt;$25K)</t>
        </is>
      </c>
      <c r="I222" s="145" t="inlineStr">
        <is>
          <t>Elan</t>
        </is>
      </c>
      <c r="J222" s="145" t="inlineStr">
        <is>
          <t>TransUnion (varies EX/EQ)</t>
        </is>
      </c>
      <c r="K222" s="145" t="n"/>
      <c r="L222" s="145" t="n"/>
      <c r="M222" s="145" t="inlineStr">
        <is>
          <t>No</t>
        </is>
      </c>
      <c r="N222" s="145" t="inlineStr">
        <is>
          <t>Online</t>
        </is>
      </c>
      <c r="O222" s="145" t="inlineStr">
        <is>
          <t>3770 Sepulveda Blvd, Torrance 90505 (Los Angeles)</t>
        </is>
      </c>
      <c r="P222" s="145" t="inlineStr">
        <is>
          <t>4.5</t>
        </is>
      </c>
      <c r="Q222" s="145" t="inlineStr">
        <is>
          <t>27.1</t>
        </is>
      </c>
      <c r="R222" s="145" t="inlineStr">
        <is>
          <t>1106590</t>
        </is>
      </c>
      <c r="S222" s="145" t="n"/>
      <c r="T222" s="145" t="inlineStr">
        <is>
          <t>Elan platform: starts ~$3-10K (to $20K strong files; ~$500 seen even at 800+ FICO). PG required; ~2yr TIB pref</t>
        </is>
      </c>
      <c r="U222" s="145" t="inlineStr">
        <is>
          <t>(base-covered)</t>
        </is>
      </c>
      <c r="V222" s="145" t="inlineStr">
        <is>
          <t>cbb-bank.com/en/business/lending/creditcards; creditcardlearnmore.com/11t3; card.myaccountaccess.com</t>
        </is>
      </c>
    </row>
    <row r="223">
      <c r="A223" s="145" t="inlineStr">
        <is>
          <t>D</t>
        </is>
      </c>
      <c r="B223" s="145" t="inlineStr">
        <is>
          <t>🥈 unknown/silent</t>
        </is>
      </c>
      <c r="C223" s="145" t="inlineStr">
        <is>
          <t>Hanmi Bank</t>
        </is>
      </c>
      <c r="D223" s="145" t="inlineStr">
        <is>
          <t>Bank</t>
        </is>
      </c>
      <c r="E223" s="145" t="inlineStr">
        <is>
          <t>✅ 0% 18 cycles (Business Zero+); APR/AF N/M</t>
        </is>
      </c>
      <c r="F223" s="145" t="inlineStr">
        <is>
          <t>None (SBA/CRE/term/trade full-doc)</t>
        </is>
      </c>
      <c r="G223" s="145" t="inlineStr">
        <is>
          <t>Elan platform: ~$3K–$10K start, to ~$20K strong files (~$500 seen at 800+ FICO)  [myFICO #6658960]</t>
        </is>
      </c>
      <c r="H223" s="145" t="inlineStr">
        <is>
          <t>PG yes; no tax returns (&lt;$25K)</t>
        </is>
      </c>
      <c r="I223" s="145" t="inlineStr">
        <is>
          <t>Elan</t>
        </is>
      </c>
      <c r="J223" s="145" t="inlineStr">
        <is>
          <t>TransUnion (varies EX/EQ)</t>
        </is>
      </c>
      <c r="K223" s="145" t="n"/>
      <c r="L223" s="145" t="n"/>
      <c r="M223" s="145" t="inlineStr">
        <is>
          <t>No</t>
        </is>
      </c>
      <c r="N223" s="145" t="inlineStr">
        <is>
          <t>Online</t>
        </is>
      </c>
      <c r="O223" s="145" t="inlineStr">
        <is>
          <t>21838 Hawthorne Blvd, Torrance 90503 (Los Angeles)</t>
        </is>
      </c>
      <c r="P223" s="145" t="inlineStr">
        <is>
          <t>5.2</t>
        </is>
      </c>
      <c r="Q223" s="145" t="inlineStr">
        <is>
          <t>26.9</t>
        </is>
      </c>
      <c r="R223" s="145" t="inlineStr">
        <is>
          <t>5249625</t>
        </is>
      </c>
      <c r="S223" s="145" t="n"/>
      <c r="T223" s="145" t="inlineStr">
        <is>
          <t>Elan platform: starts ~$3-10K (to $20K strong files; ~$500 seen even at 800+ FICO). PG required; ~2yr TIB pref</t>
        </is>
      </c>
      <c r="U223" s="145" t="inlineStr">
        <is>
          <t>(base-covered)</t>
        </is>
      </c>
      <c r="V223" s="145" t="inlineStr">
        <is>
          <t>hanmi.com/business/business-credit-cards; mycardapply.com; online1.elancard.com STD_BIZ.pdf</t>
        </is>
      </c>
    </row>
    <row r="224">
      <c r="A224" s="145" t="inlineStr">
        <is>
          <t>D</t>
        </is>
      </c>
      <c r="B224" s="145" t="inlineStr">
        <is>
          <t>🥈 unknown/silent</t>
        </is>
      </c>
      <c r="C224" s="145" t="inlineStr">
        <is>
          <t>CTBC Bank Corp. (USA)</t>
        </is>
      </c>
      <c r="D224" s="145" t="inlineStr">
        <is>
          <t>Bank</t>
        </is>
      </c>
      <c r="E224" s="145" t="inlineStr">
        <is>
          <t>❌ No BUSINESS card (consumer-only via TCM)</t>
        </is>
      </c>
      <c r="F224" s="145" t="inlineStr">
        <is>
          <t>None (SBA/ABL/equipment/trade/CRE full-doc)</t>
        </is>
      </c>
      <c r="G224" s="145" t="inlineStr">
        <is>
          <t>—</t>
        </is>
      </c>
      <c r="H224" s="145" t="inlineStr">
        <is>
          <t>N/M</t>
        </is>
      </c>
      <c r="I224" s="145" t="inlineStr">
        <is>
          <t>None for business (TCM issues its consumer cards)</t>
        </is>
      </c>
      <c r="J224" s="145" t="inlineStr">
        <is>
          <t>N/M</t>
        </is>
      </c>
      <c r="K224" s="145" t="n"/>
      <c r="L224" s="145" t="n"/>
      <c r="M224" s="145" t="inlineStr">
        <is>
          <t>N/M</t>
        </is>
      </c>
      <c r="N224" s="145" t="inlineStr">
        <is>
          <t>No</t>
        </is>
      </c>
      <c r="O224" s="145" t="inlineStr">
        <is>
          <t>21705 Hawthorne Blvd, Torrance 90503 (Los Angeles)</t>
        </is>
      </c>
      <c r="P224" s="145" t="inlineStr">
        <is>
          <t>5.2</t>
        </is>
      </c>
      <c r="Q224" s="145" t="inlineStr">
        <is>
          <t>26.9</t>
        </is>
      </c>
      <c r="R224" s="145" t="inlineStr">
        <is>
          <t>2738287</t>
        </is>
      </c>
      <c r="S224" s="145" t="n"/>
      <c r="T224" s="145" t="inlineStr">
        <is>
          <t>N/M (no business card)</t>
        </is>
      </c>
      <c r="U224" s="145" t="inlineStr">
        <is>
          <t>(base-covered)</t>
        </is>
      </c>
      <c r="V224" s="145" t="inlineStr">
        <is>
          <t>ctbcbankusa.com/Consumer-Credit-Cards + /Commercial-Banking; tcmbank.com</t>
        </is>
      </c>
    </row>
    <row r="225">
      <c r="A225" s="145" t="inlineStr">
        <is>
          <t>D</t>
        </is>
      </c>
      <c r="B225" s="145" t="inlineStr">
        <is>
          <t>🥈 unknown/silent</t>
        </is>
      </c>
      <c r="C225" s="145" t="inlineStr">
        <is>
          <t>PCB Bank</t>
        </is>
      </c>
      <c r="D225" s="145" t="inlineStr">
        <is>
          <t>Bank</t>
        </is>
      </c>
      <c r="E225" s="145" t="inlineStr">
        <is>
          <t>✅ 0% 12 cycles → 17.24-26.24%; $0 AF</t>
        </is>
      </c>
      <c r="F225" s="145" t="inlineStr">
        <is>
          <t>None (LOC/term/CRE/SBA PLP conventional)</t>
        </is>
      </c>
      <c r="G225" s="145" t="inlineStr">
        <is>
          <t>Elan platform: ~$3K–$10K start, to ~$20K strong files (~$500 seen at 800+ FICO)  [myFICO #6658960]</t>
        </is>
      </c>
      <c r="H225" s="145" t="inlineStr">
        <is>
          <t>PG yes; no tax returns (&lt;$25K)</t>
        </is>
      </c>
      <c r="I225" s="145" t="inlineStr">
        <is>
          <t>Elan</t>
        </is>
      </c>
      <c r="J225" s="145" t="inlineStr">
        <is>
          <t>TransUnion (varies EX/EQ)</t>
        </is>
      </c>
      <c r="K225" s="145" t="n"/>
      <c r="L225" s="145" t="n"/>
      <c r="M225" s="145" t="inlineStr">
        <is>
          <t>No</t>
        </is>
      </c>
      <c r="N225" s="145" t="inlineStr">
        <is>
          <t>Online</t>
        </is>
      </c>
      <c r="O225" s="145" t="inlineStr">
        <is>
          <t>21303 Hawthorne Blvd, Torrance 90503 (Los Angeles)</t>
        </is>
      </c>
      <c r="P225" s="145" t="inlineStr">
        <is>
          <t>5.2</t>
        </is>
      </c>
      <c r="Q225" s="145" t="inlineStr">
        <is>
          <t>26.9</t>
        </is>
      </c>
      <c r="R225" s="145" t="inlineStr">
        <is>
          <t>2506472</t>
        </is>
      </c>
      <c r="S225" s="145" t="n"/>
      <c r="T225" s="145" t="inlineStr">
        <is>
          <t>Elan platform: starts ~$3-10K (to $20K strong files; ~$500 seen even at 800+ FICO). PG required; ~2yr TIB pref</t>
        </is>
      </c>
      <c r="U225" s="145" t="inlineStr">
        <is>
          <t>(base-covered)</t>
        </is>
      </c>
      <c r="V225" s="145" t="inlineStr">
        <is>
          <t>mypcbbank.com/business/business-credit-cards; creditcardlearnmore.com (33608)</t>
        </is>
      </c>
    </row>
    <row r="226">
      <c r="A226" s="145" t="inlineStr">
        <is>
          <t>D</t>
        </is>
      </c>
      <c r="B226" s="145" t="inlineStr">
        <is>
          <t>🥈 unknown/silent</t>
        </is>
      </c>
      <c r="C226" s="145" t="inlineStr">
        <is>
          <t>Preferred Bank</t>
        </is>
      </c>
      <c r="D226" s="145" t="inlineStr">
        <is>
          <t>Bank</t>
        </is>
      </c>
      <c r="E226" s="145" t="inlineStr">
        <is>
          <t>✅ 0% 12 cycles → 17.24-26.24%; $0 AF</t>
        </is>
      </c>
      <c r="F226" s="145" t="inlineStr">
        <is>
          <t>None (LOC/term/SBA full-doc)</t>
        </is>
      </c>
      <c r="G226" s="145" t="inlineStr">
        <is>
          <t>Elan platform: ~$3K–$10K start, to ~$20K strong files (~$500 seen at 800+ FICO)  [myFICO #6658960]</t>
        </is>
      </c>
      <c r="H226" s="145" t="inlineStr">
        <is>
          <t>PG yes; no tax returns (&lt;$25K)</t>
        </is>
      </c>
      <c r="I226" s="145" t="inlineStr">
        <is>
          <t>Elan</t>
        </is>
      </c>
      <c r="J226" s="145" t="inlineStr">
        <is>
          <t>TransUnion (varies EX/EQ)</t>
        </is>
      </c>
      <c r="K226" s="145" t="n"/>
      <c r="L226" s="145" t="n"/>
      <c r="M226" s="145" t="inlineStr">
        <is>
          <t>No</t>
        </is>
      </c>
      <c r="N226" s="145" t="inlineStr">
        <is>
          <t>Online</t>
        </is>
      </c>
      <c r="O226" s="145" t="inlineStr">
        <is>
          <t>21615 Hawthorne Blvd, Ste 100, Torrance 90503 (Los Angeles)</t>
        </is>
      </c>
      <c r="P226" s="145" t="inlineStr">
        <is>
          <t>5.2</t>
        </is>
      </c>
      <c r="Q226" s="145" t="inlineStr">
        <is>
          <t>26.9</t>
        </is>
      </c>
      <c r="R226" s="145" t="inlineStr">
        <is>
          <t>5173604</t>
        </is>
      </c>
      <c r="S226" s="145" t="n"/>
      <c r="T226" s="145" t="inlineStr">
        <is>
          <t>Elan platform: starts ~$3-10K (to $20K strong files; ~$500 seen even at 800+ FICO). PG required; ~2yr TIB pref</t>
        </is>
      </c>
      <c r="U226" s="145" t="inlineStr">
        <is>
          <t>(base-covered)</t>
        </is>
      </c>
      <c r="V226" s="145" t="inlineStr">
        <is>
          <t>preferredbank.com/business/loans-and-credit/credit-cards; creditcardlearnmore.com (25483)</t>
        </is>
      </c>
    </row>
    <row r="227">
      <c r="A227" s="145" t="inlineStr">
        <is>
          <t>D</t>
        </is>
      </c>
      <c r="B227" s="145" t="inlineStr">
        <is>
          <t>🥈 unknown/silent</t>
        </is>
      </c>
      <c r="C227" s="145" t="inlineStr">
        <is>
          <t>Open Bank</t>
        </is>
      </c>
      <c r="D227" s="145" t="inlineStr">
        <is>
          <t>Bank</t>
        </is>
      </c>
      <c r="E227" s="145" t="inlineStr">
        <is>
          <t>✅ Elan biz cards; APR/AF N/M (1.5% Real Rewards)</t>
        </is>
      </c>
      <c r="F227" s="145" t="inlineStr">
        <is>
          <t>None (SBA 7(a)/commercial/trade full-doc)</t>
        </is>
      </c>
      <c r="G227" s="145" t="inlineStr">
        <is>
          <t>Elan platform: ~$3K–$10K start, to ~$20K strong files (~$500 seen at 800+ FICO)  [myFICO #6658960]</t>
        </is>
      </c>
      <c r="H227" s="145" t="inlineStr">
        <is>
          <t>PG yes; no tax returns (&lt;$25K)</t>
        </is>
      </c>
      <c r="I227" s="145" t="inlineStr">
        <is>
          <t>Elan</t>
        </is>
      </c>
      <c r="J227" s="145" t="inlineStr">
        <is>
          <t>TransUnion (varies EX/EQ)</t>
        </is>
      </c>
      <c r="K227" s="145" t="n"/>
      <c r="L227" s="145" t="n"/>
      <c r="M227" s="145" t="inlineStr">
        <is>
          <t>No</t>
        </is>
      </c>
      <c r="N227" s="145" t="inlineStr">
        <is>
          <t>Online</t>
        </is>
      </c>
      <c r="O227" s="145" t="inlineStr">
        <is>
          <t>11811 South St, Cerritos 90703 (Los Angeles)</t>
        </is>
      </c>
      <c r="P227" s="145" t="inlineStr">
        <is>
          <t>5.6</t>
        </is>
      </c>
      <c r="Q227" s="145" t="inlineStr">
        <is>
          <t>18.9</t>
        </is>
      </c>
      <c r="R227" s="145" t="inlineStr">
        <is>
          <t>2082907</t>
        </is>
      </c>
      <c r="S227" s="145" t="n"/>
      <c r="T227" s="145" t="inlineStr">
        <is>
          <t>Elan platform: starts ~$3-10K (to $20K strong files; ~$500 seen even at 800+ FICO). PG required; ~2yr TIB pref</t>
        </is>
      </c>
      <c r="U227" s="145" t="inlineStr">
        <is>
          <t>(base-covered)</t>
        </is>
      </c>
      <c r="V227" s="145" t="inlineStr">
        <is>
          <t>myopenbank.com/additional-services; creditcardlearnmore.com/11t3; elanfinancialservices.com</t>
        </is>
      </c>
    </row>
    <row r="228">
      <c r="A228" s="145" t="inlineStr">
        <is>
          <t>D</t>
        </is>
      </c>
      <c r="B228" s="145" t="inlineStr">
        <is>
          <t>🥈 unknown/silent</t>
        </is>
      </c>
      <c r="C228" s="145" t="inlineStr">
        <is>
          <t>EverTrust Bank</t>
        </is>
      </c>
      <c r="D228" s="145" t="inlineStr">
        <is>
          <t>Bank</t>
        </is>
      </c>
      <c r="E228" s="145" t="inlineStr">
        <is>
          <t>✅ Elan business Visa (low rate / cash back / rewards); terms N/M</t>
        </is>
      </c>
      <c r="F228" s="145" t="inlineStr">
        <is>
          <t>None (commercial LOC/CRE/SBA/C&amp;I/trade full-doc)</t>
        </is>
      </c>
      <c r="G228" s="145" t="inlineStr">
        <is>
          <t>Elan platform: ~$3K–$10K start, to ~$20K strong files (~$500 seen at 800+ FICO)  [myFICO #6658960]</t>
        </is>
      </c>
      <c r="H228" s="145" t="inlineStr">
        <is>
          <t>PG yes; no tax returns (&lt;$25K)</t>
        </is>
      </c>
      <c r="I228" s="145" t="inlineStr">
        <is>
          <t>Elan</t>
        </is>
      </c>
      <c r="J228" s="145" t="inlineStr">
        <is>
          <t>TransUnion (varies EX/EQ)</t>
        </is>
      </c>
      <c r="K228" s="145" t="n"/>
      <c r="L228" s="145" t="n"/>
      <c r="M228" s="145" t="inlineStr">
        <is>
          <t>N/M</t>
        </is>
      </c>
      <c r="N228" s="145" t="inlineStr">
        <is>
          <t>Online</t>
        </is>
      </c>
      <c r="O228" s="145" t="inlineStr">
        <is>
          <t>11458 South St, Cerritos 90703 (Los Angeles)</t>
        </is>
      </c>
      <c r="P228" s="145" t="inlineStr">
        <is>
          <t>5.6</t>
        </is>
      </c>
      <c r="Q228" s="145" t="inlineStr">
        <is>
          <t>18.9</t>
        </is>
      </c>
      <c r="R228" s="145" t="inlineStr">
        <is>
          <t>499384</t>
        </is>
      </c>
      <c r="S228" s="145" t="n"/>
      <c r="T228" s="145" t="inlineStr">
        <is>
          <t>Elan platform: starts ~$3-10K (to $20K strong files; ~$500 seen even at 800+ FICO). PG required; ~2yr TIB pref</t>
        </is>
      </c>
      <c r="U228" s="145" t="inlineStr">
        <is>
          <t>(base-covered)</t>
        </is>
      </c>
      <c r="V228" s="145" t="inlineStr">
        <is>
          <t>evertrustbank.com/Business/Visa-Credit-Cards (Elan creditor disclosure); FDIC cert 34010</t>
        </is>
      </c>
    </row>
    <row r="229">
      <c r="A229" s="145" t="inlineStr">
        <is>
          <t>D</t>
        </is>
      </c>
      <c r="B229" s="145" t="inlineStr">
        <is>
          <t>🥈 unknown/silent</t>
        </is>
      </c>
      <c r="C229" s="145" t="inlineStr">
        <is>
          <t>State Bank of India (California)</t>
        </is>
      </c>
      <c r="D229" s="145" t="inlineStr">
        <is>
          <t>Bank</t>
        </is>
      </c>
      <c r="E229" s="145" t="inlineStr">
        <is>
          <t>✅ Elan biz cards; terms N/M (not published on site); $0 AF likely</t>
        </is>
      </c>
      <c r="F229" s="145" t="inlineStr">
        <is>
          <t>None (commercial/SBA full-doc)</t>
        </is>
      </c>
      <c r="G229" s="145" t="inlineStr">
        <is>
          <t>Elan platform: ~$3K–$10K start, to ~$20K strong files (~$500 seen at 800+ FICO)  [myFICO #6658960]</t>
        </is>
      </c>
      <c r="H229" s="145" t="inlineStr">
        <is>
          <t>PG yes; no tax returns (&lt;$25K)</t>
        </is>
      </c>
      <c r="I229" s="145" t="inlineStr">
        <is>
          <t>Elan</t>
        </is>
      </c>
      <c r="J229" s="145" t="inlineStr">
        <is>
          <t>TransUnion (varies EX/EQ)</t>
        </is>
      </c>
      <c r="K229" s="145" t="n"/>
      <c r="L229" s="145" t="n"/>
      <c r="M229" s="145" t="inlineStr">
        <is>
          <t>N/M</t>
        </is>
      </c>
      <c r="N229" s="145" t="inlineStr">
        <is>
          <t>Online</t>
        </is>
      </c>
      <c r="O229" s="145" t="inlineStr">
        <is>
          <t>17500 Bloomfield Ave, Cerritos 90703 (Los Angeles)</t>
        </is>
      </c>
      <c r="P229" s="145" t="inlineStr">
        <is>
          <t>5.6</t>
        </is>
      </c>
      <c r="Q229" s="145" t="inlineStr">
        <is>
          <t>18.9</t>
        </is>
      </c>
      <c r="R229" s="145" t="inlineStr">
        <is>
          <t>561046</t>
        </is>
      </c>
      <c r="S229" s="145" t="n"/>
      <c r="T229" s="145" t="inlineStr">
        <is>
          <t>Elan platform: starts ~$3-10K (to $20K strong files; ~$500 seen even at 800+ FICO). PG required; ~2yr TIB pref</t>
        </is>
      </c>
      <c r="U229" s="145" t="inlineStr">
        <is>
          <t>(base-covered)</t>
        </is>
      </c>
      <c r="V229" s="145" t="inlineStr">
        <is>
          <t>sbical.bank/business-banking/business-credit-cards (Elan creditor disclosure); elanfinancialservices.com</t>
        </is>
      </c>
    </row>
    <row r="230">
      <c r="A230" s="145" t="inlineStr">
        <is>
          <t>D</t>
        </is>
      </c>
      <c r="B230" s="145" t="inlineStr">
        <is>
          <t>🥈 unknown/silent</t>
        </is>
      </c>
      <c r="C230" s="145" t="inlineStr">
        <is>
          <t>GBC International Bank</t>
        </is>
      </c>
      <c r="D230" s="145" t="inlineStr">
        <is>
          <t>Bank</t>
        </is>
      </c>
      <c r="E230" s="145" t="inlineStr">
        <is>
          <t>✅ TCM business Visa; terms N/M; $0 AF likely</t>
        </is>
      </c>
      <c r="F230" s="145" t="inlineStr">
        <is>
          <t>None (BELOC real-estate-secured / SBA / Ex-Im / LC / CRE full-doc)</t>
        </is>
      </c>
      <c r="G230" s="145" t="inlineStr">
        <is>
          <t>N/M (TCM; conservative, Experian-driven)</t>
        </is>
      </c>
      <c r="H230" s="145" t="inlineStr">
        <is>
          <t>PG likely; SBA-eligible only</t>
        </is>
      </c>
      <c r="I230" s="145" t="inlineStr">
        <is>
          <t>TCM Bank, N.A.</t>
        </is>
      </c>
      <c r="J230" s="145" t="inlineStr">
        <is>
          <t>Experian (TCM; BBB DPs)</t>
        </is>
      </c>
      <c r="K230" s="145" t="n"/>
      <c r="L230" s="145" t="n"/>
      <c r="M230" s="145" t="inlineStr">
        <is>
          <t>N/M</t>
        </is>
      </c>
      <c r="N230" s="145" t="inlineStr">
        <is>
          <t>Online</t>
        </is>
      </c>
      <c r="O230" s="145" t="inlineStr">
        <is>
          <t>9113 Bolsa Ave, Westminster 92683 (Orange)</t>
        </is>
      </c>
      <c r="P230" s="145" t="inlineStr">
        <is>
          <t>6.1</t>
        </is>
      </c>
      <c r="Q230" s="145" t="inlineStr">
        <is>
          <t>19.1</t>
        </is>
      </c>
      <c r="R230" s="145" t="inlineStr">
        <is>
          <t>319052</t>
        </is>
      </c>
      <c r="S230" s="145" t="n"/>
      <c r="T230" s="145" t="inlineStr">
        <is>
          <t>TCM platform: Experian pull (apps + CLIs); SBA-eligible only; conservative. myfico.com #6303273</t>
        </is>
      </c>
      <c r="U230" s="145" t="inlineStr">
        <is>
          <t>(base-covered)</t>
        </is>
      </c>
      <c r="V230" s="145" t="inlineStr">
        <is>
          <t>gbcib.com/business; mycommunitycc.com/k7OgnYPt1fSE; tcmbank.com; FDIC cert 22366</t>
        </is>
      </c>
    </row>
    <row r="231">
      <c r="A231" s="145" t="inlineStr">
        <is>
          <t>D</t>
        </is>
      </c>
      <c r="B231" s="145" t="inlineStr">
        <is>
          <t>🥈 unknown/silent</t>
        </is>
      </c>
      <c r="C231" s="145" t="inlineStr">
        <is>
          <t>AMERICAN FIRST CU</t>
        </is>
      </c>
      <c r="D231" s="145" t="inlineStr">
        <is>
          <t>Credit Union</t>
        </is>
      </c>
      <c r="E231" s="145" t="inlineStr">
        <is>
          <t>N</t>
        </is>
      </c>
      <c r="F231" s="145" t="inlineStr">
        <is>
          <t>N</t>
        </is>
      </c>
      <c r="G231" s="145" t="inlineStr">
        <is>
          <t>n/a</t>
        </is>
      </c>
      <c r="H231" s="145" t="inlineStr">
        <is>
          <t>n/a</t>
        </is>
      </c>
      <c r="I231" s="145" t="inlineStr">
        <is>
          <t>n/a</t>
        </is>
      </c>
      <c r="J231" s="145" t="inlineStr">
        <is>
          <t>N/M</t>
        </is>
      </c>
      <c r="K231" s="145" t="inlineStr">
        <is>
          <t>N/M</t>
        </is>
      </c>
      <c r="L231" s="145" t="inlineStr">
        <is>
          <t>N/M</t>
        </is>
      </c>
      <c r="M231" s="145" t="inlineStr">
        <is>
          <t>BEST FOM of the 12: Orange/Riverside/San Bernardino counties + 14 cities INCL. LONG BEACH. $5 fee. LB=YES / Fontana=YES</t>
        </is>
      </c>
      <c r="N231" s="145" t="inlineStr">
        <is>
          <t>apply.amerfirst.org online</t>
        </is>
      </c>
      <c r="O231" s="145" t="inlineStr">
        <is>
          <t>6011 Lincoln Ave Ste B, Buena Park 90620 (Orange)</t>
        </is>
      </c>
      <c r="P231" s="145" t="inlineStr">
        <is>
          <t>6.4</t>
        </is>
      </c>
      <c r="Q231" s="145" t="inlineStr">
        <is>
          <t>17.8</t>
        </is>
      </c>
      <c r="R231" s="145" t="n"/>
      <c r="S231" s="145" t="inlineStr">
        <is>
          <t>1310342468</t>
        </is>
      </c>
      <c r="T231" s="145" t="inlineStr">
        <is>
          <t>$50 biz checking opening deposit</t>
        </is>
      </c>
      <c r="U231" s="145" t="inlineStr">
        <is>
          <t>NO-GO for cards — ZERO biz card/LOC (checking/SBA 7a/CRE only). Membership-base utility</t>
        </is>
      </c>
      <c r="V231" s="145" t="inlineStr">
        <is>
          <t>https://www.amerfirst.org/products/business-services</t>
        </is>
      </c>
    </row>
    <row r="232">
      <c r="A232" s="145" t="inlineStr">
        <is>
          <t>D</t>
        </is>
      </c>
      <c r="B232" s="145" t="inlineStr">
        <is>
          <t>🥈 unknown/silent</t>
        </is>
      </c>
      <c r="C232" s="145" t="inlineStr">
        <is>
          <t>First Pacific Bank</t>
        </is>
      </c>
      <c r="D232" s="145" t="inlineStr">
        <is>
          <t>Bank</t>
        </is>
      </c>
      <c r="E232" s="145" t="inlineStr">
        <is>
          <t>✅ Elan biz cards (low rate / cash back / rewards); terms N/M</t>
        </is>
      </c>
      <c r="F232" s="145" t="inlineStr">
        <is>
          <t>None (LOC/equipment/CRE/construction/truck/SBA full-doc)</t>
        </is>
      </c>
      <c r="G232" s="145" t="inlineStr">
        <is>
          <t>Elan platform: ~$3K–$10K start, to ~$20K strong files (~$500 seen at 800+ FICO)  [myFICO #6658960]</t>
        </is>
      </c>
      <c r="H232" s="145" t="inlineStr">
        <is>
          <t>PG yes; no tax returns (&lt;$25K)</t>
        </is>
      </c>
      <c r="I232" s="145" t="inlineStr">
        <is>
          <t>Elan</t>
        </is>
      </c>
      <c r="J232" s="145" t="inlineStr">
        <is>
          <t>TransUnion (varies EX/EQ)</t>
        </is>
      </c>
      <c r="K232" s="145" t="n"/>
      <c r="L232" s="145" t="n"/>
      <c r="M232" s="145" t="inlineStr">
        <is>
          <t>N/M</t>
        </is>
      </c>
      <c r="N232" s="145" t="inlineStr">
        <is>
          <t>Online</t>
        </is>
      </c>
      <c r="O232" s="145" t="inlineStr">
        <is>
          <t>12070 Telegraph Rd, Ste 100, Santa Fe Springs 90670 (Los Angeles)</t>
        </is>
      </c>
      <c r="P232" s="145" t="inlineStr">
        <is>
          <t>7.5</t>
        </is>
      </c>
      <c r="Q232" s="145" t="inlineStr">
        <is>
          <t>17.9</t>
        </is>
      </c>
      <c r="R232" s="145" t="inlineStr">
        <is>
          <t>290962</t>
        </is>
      </c>
      <c r="S232" s="145" t="n"/>
      <c r="T232" s="145" t="inlineStr">
        <is>
          <t>Elan platform: starts ~$3-10K (to $20K strong files; ~$500 seen even at 800+ FICO). PG required; ~2yr TIB pref</t>
        </is>
      </c>
      <c r="U232" s="145" t="inlineStr">
        <is>
          <t>(base-covered)</t>
        </is>
      </c>
      <c r="V232" s="145" t="inlineStr">
        <is>
          <t>firstpacbank.com/business-banking/business-loans-and-lines-of-credit (Elan disclosure); creditcardlearnmore.com; FDIC ce</t>
        </is>
      </c>
    </row>
    <row r="233">
      <c r="A233" s="145" t="inlineStr">
        <is>
          <t>D</t>
        </is>
      </c>
      <c r="B233" s="145" t="inlineStr">
        <is>
          <t>🥈 unknown/silent</t>
        </is>
      </c>
      <c r="C233" s="145" t="inlineStr">
        <is>
          <t>PRIORITY ONE CU</t>
        </is>
      </c>
      <c r="D233" s="145" t="inlineStr">
        <is>
          <t>Credit Union</t>
        </is>
      </c>
      <c r="E233" s="145" t="inlineStr">
        <is>
          <t>N</t>
        </is>
      </c>
      <c r="F233" s="145" t="inlineStr">
        <is>
          <t>N</t>
        </is>
      </c>
      <c r="G233" s="145" t="inlineStr">
        <is>
          <t>n/a</t>
        </is>
      </c>
      <c r="H233" s="145" t="inlineStr">
        <is>
          <t>n/a</t>
        </is>
      </c>
      <c r="I233" s="145" t="inlineStr">
        <is>
          <t>n/a</t>
        </is>
      </c>
      <c r="J233" s="145" t="inlineStr">
        <is>
          <t>N/M</t>
        </is>
      </c>
      <c r="K233" s="145" t="inlineStr">
        <is>
          <t>N/M</t>
        </is>
      </c>
      <c r="L233" s="145" t="inlineStr">
        <is>
          <t>N/M</t>
        </is>
      </c>
      <c r="M233" s="145" t="inlineStr">
        <is>
          <t>SCV/SFV/South Pasadena + postal employees LA/Riv/SB counties + GSA/Providence; generic LB/Fontana = NO</t>
        </is>
      </c>
      <c r="N233" s="145" t="inlineStr">
        <is>
          <t>n/a</t>
        </is>
      </c>
      <c r="O233" s="145" t="inlineStr">
        <is>
          <t>7001 S Central Ave Rm 100, Los Angeles 90052 (Los Angeles)</t>
        </is>
      </c>
      <c r="P233" s="145" t="inlineStr">
        <is>
          <t>8.0</t>
        </is>
      </c>
      <c r="Q233" s="145" t="inlineStr">
        <is>
          <t>23.0</t>
        </is>
      </c>
      <c r="R233" s="145" t="n"/>
      <c r="S233" s="145" t="inlineStr">
        <is>
          <t>205736783</t>
        </is>
      </c>
      <c r="T233" s="145" t="n"/>
      <c r="U233" s="145" t="inlineStr">
        <is>
          <t>NO-GO — postal/SFV gate + no business products. DECOY: prioritycu.org (Orlando FL) has the Business Visa — different CU</t>
        </is>
      </c>
      <c r="V233" s="145" t="inlineStr">
        <is>
          <t>https://www.creditunionmatch.com/credit-union/priority-one-credit-union-ca</t>
        </is>
      </c>
    </row>
    <row r="234">
      <c r="A234" s="145" t="inlineStr">
        <is>
          <t>D</t>
        </is>
      </c>
      <c r="B234" s="145" t="inlineStr">
        <is>
          <t>🥈 unknown/silent</t>
        </is>
      </c>
      <c r="C234" s="145" t="inlineStr">
        <is>
          <t>Infinity Bank</t>
        </is>
      </c>
      <c r="D234" s="145" t="inlineStr">
        <is>
          <t>Bank</t>
        </is>
      </c>
      <c r="E234" s="145" t="inlineStr">
        <is>
          <t>✅ Elan business Visa (cash back / travel rewards); terms N/M</t>
        </is>
      </c>
      <c r="F234" s="145" t="inlineStr">
        <is>
          <t>None (business LOC/merchant services full-doc)</t>
        </is>
      </c>
      <c r="G234" s="145" t="inlineStr">
        <is>
          <t>Elan platform: ~$3K–$10K start, to ~$20K strong files (~$500 seen at 800+ FICO)  [myFICO #6658960]</t>
        </is>
      </c>
      <c r="H234" s="145" t="inlineStr">
        <is>
          <t>PG yes; no tax returns (&lt;$25K)</t>
        </is>
      </c>
      <c r="I234" s="145" t="inlineStr">
        <is>
          <t>Elan</t>
        </is>
      </c>
      <c r="J234" s="145" t="inlineStr">
        <is>
          <t>TransUnion (varies EX/EQ)</t>
        </is>
      </c>
      <c r="K234" s="145" t="n"/>
      <c r="L234" s="145" t="n"/>
      <c r="M234" s="145" t="inlineStr">
        <is>
          <t>N/M</t>
        </is>
      </c>
      <c r="N234" s="145" t="inlineStr">
        <is>
          <t>Online</t>
        </is>
      </c>
      <c r="O234" s="145" t="inlineStr">
        <is>
          <t>6 Hutton Centre Dr, Ste 100, Santa Ana 92707 (Orange)</t>
        </is>
      </c>
      <c r="P234" s="145" t="inlineStr">
        <is>
          <t>9.8</t>
        </is>
      </c>
      <c r="Q234" s="145" t="inlineStr">
        <is>
          <t>17.5</t>
        </is>
      </c>
      <c r="R234" s="145" t="inlineStr">
        <is>
          <t>291622</t>
        </is>
      </c>
      <c r="S234" s="145" t="n"/>
      <c r="T234" s="145" t="inlineStr">
        <is>
          <t>Elan platform: starts ~$3-10K (to $20K strong files; ~$500 seen even at 800+ FICO). PG required; ~2yr TIB pref</t>
        </is>
      </c>
      <c r="U234" s="145" t="inlineStr">
        <is>
          <t>(base-covered)</t>
        </is>
      </c>
      <c r="V234" s="145" t="inlineStr">
        <is>
          <t>infinity.bank/business/credit-financing/business-credit-cards; app.ccdepartment.com (Elan); FDIC cert 59098</t>
        </is>
      </c>
    </row>
    <row r="235">
      <c r="A235" s="145" t="inlineStr">
        <is>
          <t>D</t>
        </is>
      </c>
      <c r="B235" s="145" t="inlineStr">
        <is>
          <t>🥈 unknown/silent</t>
        </is>
      </c>
      <c r="C235" s="145" t="inlineStr">
        <is>
          <t>Mechanics Bank</t>
        </is>
      </c>
      <c r="D235" s="145" t="inlineStr">
        <is>
          <t>Bank</t>
        </is>
      </c>
      <c r="E235" s="145" t="inlineStr">
        <is>
          <t>✅ 0% 12 cycles → 17.24-26.24%; $0 AF; 3% gas/dining/office/cell</t>
        </is>
      </c>
      <c r="F235" s="145" t="inlineStr">
        <is>
          <t>Business LOC (CA-only promo to $250K) — relationship-underwritten</t>
        </is>
      </c>
      <c r="G235" s="145" t="inlineStr">
        <is>
          <t>Elan platform: ~$3K–$10K start, to ~$20K strong files (~$500 seen at 800+ FICO)  [myFICO #6658960]</t>
        </is>
      </c>
      <c r="H235" s="145" t="inlineStr">
        <is>
          <t>PG yes; no tax returns (&lt;$25K)</t>
        </is>
      </c>
      <c r="I235" s="145" t="inlineStr">
        <is>
          <t>Elan</t>
        </is>
      </c>
      <c r="J235" s="145" t="inlineStr">
        <is>
          <t>TransUnion (varies EX/EQ)</t>
        </is>
      </c>
      <c r="K235" s="145" t="n"/>
      <c r="L235" s="145" t="n"/>
      <c r="M235" s="145" t="inlineStr">
        <is>
          <t>No</t>
        </is>
      </c>
      <c r="N235" s="145" t="inlineStr">
        <is>
          <t>Online</t>
        </is>
      </c>
      <c r="O235" s="145" t="inlineStr">
        <is>
          <t>610 Newport Center Dr, Ste 100, Newport Beach 92660 (Orange)</t>
        </is>
      </c>
      <c r="P235" s="145" t="inlineStr">
        <is>
          <t>10.4</t>
        </is>
      </c>
      <c r="Q235" s="145" t="inlineStr">
        <is>
          <t>19.6</t>
        </is>
      </c>
      <c r="R235" s="145" t="inlineStr">
        <is>
          <t>1749691</t>
        </is>
      </c>
      <c r="S235" s="145" t="n"/>
      <c r="T235" s="145" t="inlineStr">
        <is>
          <t>Elan platform: starts ~$3-10K (to $20K strong files; ~$500 seen even at 800+ FICO). PG required; ~2yr TIB pref</t>
        </is>
      </c>
      <c r="U235" s="145" t="inlineStr">
        <is>
          <t>(base-covered)</t>
        </is>
      </c>
      <c r="V235" s="145" t="inlineStr">
        <is>
          <t>mymechanics.com business-credit-cards; creditcardlearnmore.com; online1.elancard.com STD_BIZ.pdf</t>
        </is>
      </c>
    </row>
    <row r="236">
      <c r="A236" s="145" t="inlineStr">
        <is>
          <t>D</t>
        </is>
      </c>
      <c r="B236" s="145" t="inlineStr">
        <is>
          <t>🥈 unknown/silent</t>
        </is>
      </c>
      <c r="C236" s="145" t="inlineStr">
        <is>
          <t>Universal Bank</t>
        </is>
      </c>
      <c r="D236" s="145" t="inlineStr">
        <is>
          <t>Bank</t>
        </is>
      </c>
      <c r="E236" s="145" t="inlineStr">
        <is>
          <t>❌ No BUSINESS card (Elan PERSONAL card only; business = deposits + commercial lending)</t>
        </is>
      </c>
      <c r="F236" s="145" t="inlineStr">
        <is>
          <t>None (commercial lending relationship-underwritten)</t>
        </is>
      </c>
      <c r="G236" s="145" t="inlineStr">
        <is>
          <t>—</t>
        </is>
      </c>
      <c r="H236" s="145" t="inlineStr">
        <is>
          <t>N/M</t>
        </is>
      </c>
      <c r="I236" s="145" t="inlineStr">
        <is>
          <t>None for business (Elan issues its personal card)</t>
        </is>
      </c>
      <c r="J236" s="145" t="inlineStr">
        <is>
          <t>N/M</t>
        </is>
      </c>
      <c r="K236" s="145" t="n"/>
      <c r="L236" s="145" t="n"/>
      <c r="M236" s="145" t="inlineStr">
        <is>
          <t>N/M</t>
        </is>
      </c>
      <c r="N236" s="145" t="inlineStr">
        <is>
          <t>No</t>
        </is>
      </c>
      <c r="O236" s="145" t="inlineStr">
        <is>
          <t>404 S Atlantic Blvd, Monterey Park 91754 (Los Angeles)</t>
        </is>
      </c>
      <c r="P236" s="145" t="inlineStr">
        <is>
          <t>10.6</t>
        </is>
      </c>
      <c r="Q236" s="145" t="inlineStr">
        <is>
          <t>19.4</t>
        </is>
      </c>
      <c r="R236" s="145" t="inlineStr">
        <is>
          <t>266100</t>
        </is>
      </c>
      <c r="S236" s="145" t="n"/>
      <c r="T236" s="145" t="inlineStr">
        <is>
          <t>N/M (no business card; personal Elan card exists)</t>
        </is>
      </c>
      <c r="U236" s="145" t="inlineStr">
        <is>
          <t>(base-covered)</t>
        </is>
      </c>
      <c r="V236" s="145" t="inlineStr">
        <is>
          <t>universalbank.com/Resources/All-Services (personal card 'through Elan'); FDIC cert 30722</t>
        </is>
      </c>
    </row>
    <row r="237">
      <c r="A237" s="145" t="inlineStr">
        <is>
          <t>D</t>
        </is>
      </c>
      <c r="B237" s="145" t="inlineStr">
        <is>
          <t>🥈 unknown/silent</t>
        </is>
      </c>
      <c r="C237" s="145" t="inlineStr">
        <is>
          <t>United Pacific Bank</t>
        </is>
      </c>
      <c r="D237" s="145" t="inlineStr">
        <is>
          <t>Bank</t>
        </is>
      </c>
      <c r="E237" s="145" t="inlineStr">
        <is>
          <t>⚠️ TCM CONSUMER card only; NO business card marketed</t>
        </is>
      </c>
      <c r="F237" s="145" t="inlineStr">
        <is>
          <t>None (business loans/LOC/SBA/CRE/truck full-doc)</t>
        </is>
      </c>
      <c r="G237" s="145" t="inlineStr">
        <is>
          <t>—</t>
        </is>
      </c>
      <c r="H237" s="145" t="inlineStr">
        <is>
          <t>N/M</t>
        </is>
      </c>
      <c r="I237" s="145" t="inlineStr">
        <is>
          <t>TCM Bank, N.A. (consumer card)</t>
        </is>
      </c>
      <c r="J237" s="145" t="inlineStr">
        <is>
          <t>N/M (TCM)</t>
        </is>
      </c>
      <c r="K237" s="145" t="n"/>
      <c r="L237" s="145" t="n"/>
      <c r="M237" s="145" t="inlineStr">
        <is>
          <t>N/M</t>
        </is>
      </c>
      <c r="N237" s="145" t="inlineStr">
        <is>
          <t>No</t>
        </is>
      </c>
      <c r="O237" s="145" t="inlineStr">
        <is>
          <t>101 W Garvey Ave, Montery Park 91754 (Los Angeles)</t>
        </is>
      </c>
      <c r="P237" s="145" t="inlineStr">
        <is>
          <t>10.6</t>
        </is>
      </c>
      <c r="Q237" s="145" t="inlineStr">
        <is>
          <t>19.4</t>
        </is>
      </c>
      <c r="R237" s="145" t="inlineStr">
        <is>
          <t>142596</t>
        </is>
      </c>
      <c r="S237" s="145" t="n"/>
      <c r="T237" s="145" t="inlineStr">
        <is>
          <t>N/M (only a 'Consumer Credit Card' page; no business card published)</t>
        </is>
      </c>
      <c r="U237" s="145" t="inlineStr">
        <is>
          <t>(base-covered)</t>
        </is>
      </c>
      <c r="V237" s="145" t="inlineStr">
        <is>
          <t>upbnet.com/Consumer-Credit-Card (TCM); FDIC cert 23805</t>
        </is>
      </c>
    </row>
    <row r="238">
      <c r="A238" s="145" t="inlineStr">
        <is>
          <t>D</t>
        </is>
      </c>
      <c r="B238" s="145" t="inlineStr">
        <is>
          <t>🥈 unknown/silent</t>
        </is>
      </c>
      <c r="C238" s="145" t="inlineStr">
        <is>
          <t>Mega Bank</t>
        </is>
      </c>
      <c r="D238" s="145" t="inlineStr">
        <is>
          <t>Bank</t>
        </is>
      </c>
      <c r="E238" s="145" t="inlineStr">
        <is>
          <t>✅ TCM business + personal Visa; terms N/M; $0/low AF likely</t>
        </is>
      </c>
      <c r="F238" s="145" t="inlineStr">
        <is>
          <t>None (CRE/construction/commercial/small-business full-doc)</t>
        </is>
      </c>
      <c r="G238" s="145" t="inlineStr">
        <is>
          <t>N/M (TCM; conservative, Experian-driven)</t>
        </is>
      </c>
      <c r="H238" s="145" t="inlineStr">
        <is>
          <t>PG likely; SBA-eligible only</t>
        </is>
      </c>
      <c r="I238" s="145" t="inlineStr">
        <is>
          <t>TCM Bank, N.A.</t>
        </is>
      </c>
      <c r="J238" s="145" t="inlineStr">
        <is>
          <t>Experian (TCM)</t>
        </is>
      </c>
      <c r="K238" s="145" t="n"/>
      <c r="L238" s="145" t="n"/>
      <c r="M238" s="145" t="inlineStr">
        <is>
          <t>N/M</t>
        </is>
      </c>
      <c r="N238" s="145" t="inlineStr">
        <is>
          <t>Online</t>
        </is>
      </c>
      <c r="O238" s="145" t="inlineStr">
        <is>
          <t>17188 Colima Rd, Ste A, Hacienda Heights 91745 (Los Angeles)</t>
        </is>
      </c>
      <c r="P238" s="145" t="inlineStr">
        <is>
          <t>10.9</t>
        </is>
      </c>
      <c r="Q238" s="145" t="inlineStr">
        <is>
          <t>14.8</t>
        </is>
      </c>
      <c r="R238" s="145" t="inlineStr">
        <is>
          <t>434578</t>
        </is>
      </c>
      <c r="S238" s="145" t="n"/>
      <c r="T238" s="145" t="inlineStr">
        <is>
          <t>TCM platform (mycommunitycc.com): Experian pull; SBA-eligible only; conservative. myfico.com #6303273</t>
        </is>
      </c>
      <c r="U238" s="145" t="inlineStr">
        <is>
          <t>(base-covered)</t>
        </is>
      </c>
      <c r="V238" s="145" t="inlineStr">
        <is>
          <t>megabankusa.com/Other-Services; mycommunitycc.com/vsqcwJmaxwd7; FDIC cert 58401</t>
        </is>
      </c>
    </row>
    <row r="239">
      <c r="A239" s="145" t="inlineStr">
        <is>
          <t>D</t>
        </is>
      </c>
      <c r="B239" s="145" t="inlineStr">
        <is>
          <t>🥈 unknown/silent</t>
        </is>
      </c>
      <c r="C239" s="145" t="inlineStr">
        <is>
          <t>Umpqua Bank</t>
        </is>
      </c>
      <c r="D239" s="145" t="inlineStr">
        <is>
          <t>Bank</t>
        </is>
      </c>
      <c r="E239" s="145" t="inlineStr">
        <is>
          <t>✅ Elan: Business Platinum/Zero+ 0% 18cyc; Business Real Rewards 0% 6cyc; Rewards Plus ($99); $0 AF</t>
        </is>
      </c>
      <c r="F239" s="145" t="inlineStr">
        <is>
          <t>Expresslines LOC + term = full-doc (2-3yr tax returns). No no-doc.</t>
        </is>
      </c>
      <c r="G239" s="145" t="inlineStr">
        <is>
          <t>Elan platform: ~$3K–$10K start, to ~$20K strong files (~$500 seen at 800+ FICO)  [myFICO #6658960]</t>
        </is>
      </c>
      <c r="H239" s="145" t="inlineStr">
        <is>
          <t>PG yes (Elan, INFERENCE); no tax returns</t>
        </is>
      </c>
      <c r="I239" s="145" t="inlineStr">
        <is>
          <t>Elan</t>
        </is>
      </c>
      <c r="J239" s="145" t="inlineStr">
        <is>
          <t>Personal, varies (Elan; EX historically / TU recently)</t>
        </is>
      </c>
      <c r="K239" s="145" t="n"/>
      <c r="L239" s="145" t="n"/>
      <c r="M239" s="145" t="inlineStr">
        <is>
          <t>No</t>
        </is>
      </c>
      <c r="N239" s="145" t="inlineStr">
        <is>
          <t>Online</t>
        </is>
      </c>
      <c r="O239" s="145" t="inlineStr">
        <is>
          <t>2010 Main Street, Suite 150, Irvine 92614 (Orange)</t>
        </is>
      </c>
      <c r="P239" s="145" t="inlineStr">
        <is>
          <t>11.0</t>
        </is>
      </c>
      <c r="Q239" s="145" t="inlineStr">
        <is>
          <t>17.7</t>
        </is>
      </c>
      <c r="R239" s="145" t="inlineStr">
        <is>
          <t>920378</t>
        </is>
      </c>
      <c r="S239" s="145" t="n"/>
      <c r="T239" s="145" t="inlineStr">
        <is>
          <t>Elan platform; CA/WA/OR/ID/NV eligibility. Umpqua-specific limits/CLI N/M (myFICO 403). Elan general DPs apply</t>
        </is>
      </c>
      <c r="U239" s="145" t="inlineStr">
        <is>
          <t>(base-covered)</t>
        </is>
      </c>
      <c r="V239" s="145" t="inlineStr">
        <is>
          <t>columbiabank.com/business-banking/credit-cards; branchoffer.com/11t2 (Elan disclosure); maximizingmoney.com; newfrontier</t>
        </is>
      </c>
    </row>
    <row r="240">
      <c r="A240" s="145" t="inlineStr">
        <is>
          <t>D</t>
        </is>
      </c>
      <c r="B240" s="145" t="inlineStr">
        <is>
          <t>🥈 unknown/silent</t>
        </is>
      </c>
      <c r="C240" s="145" t="inlineStr">
        <is>
          <t>Beach Cities Commercial Bank</t>
        </is>
      </c>
      <c r="D240" s="145" t="inlineStr">
        <is>
          <t>Bank</t>
        </is>
      </c>
      <c r="E240" s="145" t="inlineStr">
        <is>
          <t>✅ Elan biz cards incl. Business ZERO+ (extended 0% intro); $0 AF; cash back; tied to select deposit accts</t>
        </is>
      </c>
      <c r="F240" s="145" t="inlineStr">
        <is>
          <t>None (LOC/term/equipment/CRE/bridge/SBA/CA loan guarantee/construction full-doc)</t>
        </is>
      </c>
      <c r="G240" s="145" t="inlineStr">
        <is>
          <t>Elan platform: ~$3K–$10K start, to ~$20K strong files (~$500 seen at 800+ FICO)  [myFICO #6658960]</t>
        </is>
      </c>
      <c r="H240" s="145" t="inlineStr">
        <is>
          <t>PG yes; no tax returns (&lt;$25K)</t>
        </is>
      </c>
      <c r="I240" s="145" t="inlineStr">
        <is>
          <t>Elan</t>
        </is>
      </c>
      <c r="J240" s="145" t="inlineStr">
        <is>
          <t>TransUnion (varies EX/EQ)</t>
        </is>
      </c>
      <c r="K240" s="145" t="n"/>
      <c r="L240" s="145" t="n"/>
      <c r="M240" s="145" t="inlineStr">
        <is>
          <t>Tied to select deposit accounts (per Commercial Banking page)</t>
        </is>
      </c>
      <c r="N240" s="145" t="inlineStr">
        <is>
          <t>Online</t>
        </is>
      </c>
      <c r="O240" s="145" t="inlineStr">
        <is>
          <t>100 Progress, Suite 150, Irvine 92618 (Orange)</t>
        </is>
      </c>
      <c r="P240" s="145" t="inlineStr">
        <is>
          <t>13.9</t>
        </is>
      </c>
      <c r="Q240" s="145" t="inlineStr">
        <is>
          <t>16.4</t>
        </is>
      </c>
      <c r="R240" s="145" t="inlineStr">
        <is>
          <t>108284</t>
        </is>
      </c>
      <c r="S240" s="145" t="n"/>
      <c r="T240" s="145" t="inlineStr">
        <is>
          <t>Elan platform: starts ~$3-10K (to $20K strong files; ~$500 seen even at 800+ FICO). PG required; ~2yr TIB pref</t>
        </is>
      </c>
      <c r="U240" s="145" t="inlineStr">
        <is>
          <t>(base-covered)</t>
        </is>
      </c>
      <c r="V240" s="145" t="inlineStr">
        <is>
          <t>beachcitiescb.com/Card-Solutions ('issuer is Elan Financial Services') + /Commercial-Banking; FDIC cert 59290</t>
        </is>
      </c>
    </row>
    <row r="241">
      <c r="A241" s="145" t="inlineStr">
        <is>
          <t>D</t>
        </is>
      </c>
      <c r="B241" s="145" t="inlineStr">
        <is>
          <t>🥈 unknown/silent</t>
        </is>
      </c>
      <c r="C241" s="145" t="inlineStr">
        <is>
          <t>First Commercial Bank (USA)</t>
        </is>
      </c>
      <c r="D241" s="145" t="inlineStr">
        <is>
          <t>Bank</t>
        </is>
      </c>
      <c r="E241" s="145" t="inlineStr">
        <is>
          <t>❌ No card (deposit + commercial/SBA lending; debit likely)</t>
        </is>
      </c>
      <c r="F241" s="145" t="inlineStr">
        <is>
          <t>None for business ('reduced-doc' program is RESIDENTIAL mortgage, not business; commercial</t>
        </is>
      </c>
      <c r="G241" s="145" t="inlineStr">
        <is>
          <t>—</t>
        </is>
      </c>
      <c r="H241" s="145" t="inlineStr">
        <is>
          <t>N/M</t>
        </is>
      </c>
      <c r="I241" s="145" t="inlineStr">
        <is>
          <t>None (NOTE: an 'Elan' search hit is a MISATTRIBUTION to IL 'FCB Banks' — not this bank)</t>
        </is>
      </c>
      <c r="J241" s="145" t="inlineStr">
        <is>
          <t>N/M</t>
        </is>
      </c>
      <c r="K241" s="145" t="n"/>
      <c r="L241" s="145" t="n"/>
      <c r="M241" s="145" t="inlineStr">
        <is>
          <t>N/M</t>
        </is>
      </c>
      <c r="N241" s="145" t="inlineStr">
        <is>
          <t>No</t>
        </is>
      </c>
      <c r="O241" s="145" t="inlineStr">
        <is>
          <t>2911 Chino Ave, Ste F2, Chino Hills 91709 (San Bernardino)</t>
        </is>
      </c>
      <c r="P241" s="145" t="inlineStr">
        <is>
          <t>15.3</t>
        </is>
      </c>
      <c r="Q241" s="145" t="inlineStr">
        <is>
          <t>9.0</t>
        </is>
      </c>
      <c r="R241" s="145" t="inlineStr">
        <is>
          <t>446788</t>
        </is>
      </c>
      <c r="S241" s="145" t="n"/>
      <c r="T241" s="145" t="inlineStr">
        <is>
          <t>N/M</t>
        </is>
      </c>
      <c r="U241" s="145" t="inlineStr">
        <is>
          <t>(base-covered)</t>
        </is>
      </c>
      <c r="V241" s="145" t="inlineStr">
        <is>
          <t>bankfcb.com (Commercial, Personal, Loans pages); FDIC cert 34496; dfpi.ca.gov</t>
        </is>
      </c>
    </row>
    <row r="242">
      <c r="A242" s="145" t="inlineStr">
        <is>
          <t>D</t>
        </is>
      </c>
      <c r="B242" s="145" t="inlineStr">
        <is>
          <t>🥈 unknown/silent</t>
        </is>
      </c>
      <c r="C242" s="145" t="inlineStr">
        <is>
          <t>Mission Valley Bank</t>
        </is>
      </c>
      <c r="D242" s="145" t="inlineStr">
        <is>
          <t>Bank</t>
        </is>
      </c>
      <c r="E242" s="145" t="inlineStr">
        <is>
          <t>✅ TCM business Visa; terms N/M (see Summary of Credit Terms at app); 1pt/$1 typical</t>
        </is>
      </c>
      <c r="F242" s="145" t="inlineStr">
        <is>
          <t>None (SBA/AR financing/BusinessManager/LOC/term/equipment/CRE full-doc)</t>
        </is>
      </c>
      <c r="G242" s="145" t="inlineStr">
        <is>
          <t>N/M (TCM; conservative, Experian-driven)</t>
        </is>
      </c>
      <c r="H242" s="145" t="inlineStr">
        <is>
          <t>PG likely; SBA-eligible only; no tax returns at app</t>
        </is>
      </c>
      <c r="I242" s="145" t="inlineStr">
        <is>
          <t>TCM Bank, N.A.</t>
        </is>
      </c>
      <c r="J242" s="145" t="inlineStr">
        <is>
          <t>Experian (TCM)</t>
        </is>
      </c>
      <c r="K242" s="145" t="n"/>
      <c r="L242" s="145" t="n"/>
      <c r="M242" s="145" t="inlineStr">
        <is>
          <t>N/M</t>
        </is>
      </c>
      <c r="N242" s="145" t="inlineStr">
        <is>
          <t>Online</t>
        </is>
      </c>
      <c r="O242" s="145" t="inlineStr">
        <is>
          <t>2777 N. Ontario Street, Suite 115, Burbank 91504 (Los Angeles)</t>
        </is>
      </c>
      <c r="P242" s="145" t="inlineStr">
        <is>
          <t>16.3</t>
        </is>
      </c>
      <c r="Q242" s="145" t="inlineStr">
        <is>
          <t>24.8</t>
        </is>
      </c>
      <c r="R242" s="145" t="inlineStr">
        <is>
          <t>599566</t>
        </is>
      </c>
      <c r="S242" s="145" t="n"/>
      <c r="T242" s="145" t="inlineStr">
        <is>
          <t>TCM platform: Experian pull (apps + CLIs); SBA-eligible only; conservative. myfico.com #6303273</t>
        </is>
      </c>
      <c r="U242" s="145" t="inlineStr">
        <is>
          <t>(base-covered)</t>
        </is>
      </c>
      <c r="V242" s="145" t="inlineStr">
        <is>
          <t>missionvalleybank.com/card-services ('issued by TCM Bank, N.A.'); mycommunitycc.com; FDIC cert 57101</t>
        </is>
      </c>
    </row>
    <row r="243">
      <c r="A243" s="145" t="inlineStr">
        <is>
          <t>D</t>
        </is>
      </c>
      <c r="B243" s="145" t="inlineStr">
        <is>
          <t>🥈 unknown/silent</t>
        </is>
      </c>
      <c r="C243" s="145" t="inlineStr">
        <is>
          <t>Cathay Bank</t>
        </is>
      </c>
      <c r="D243" s="145" t="inlineStr">
        <is>
          <t>Bank</t>
        </is>
      </c>
      <c r="E243" s="145" t="inlineStr">
        <is>
          <t>✅ 6-mo intro; 1% cash back; APR N/M</t>
        </is>
      </c>
      <c r="F243" s="145" t="inlineStr">
        <is>
          <t>Smart Loans (simplified-doc LOC) $5K-$250K by time-in-biz</t>
        </is>
      </c>
      <c r="G243" s="145" t="inlineStr">
        <is>
          <t>Elan platform: ~$3K–$10K start, to ~$20K strong files (~$500 seen at 800+ FICO)  [myFICO #6658960]</t>
        </is>
      </c>
      <c r="H243" s="145" t="inlineStr">
        <is>
          <t>PG yes; no tax returns (&lt;$25K)</t>
        </is>
      </c>
      <c r="I243" s="145" t="inlineStr">
        <is>
          <t>Elan</t>
        </is>
      </c>
      <c r="J243" s="145" t="inlineStr">
        <is>
          <t>TransUnion (varies EX/EQ)</t>
        </is>
      </c>
      <c r="K243" s="145" t="n"/>
      <c r="L243" s="145" t="n"/>
      <c r="M243" s="145" t="inlineStr">
        <is>
          <t>N/M (not required to apply)</t>
        </is>
      </c>
      <c r="N243" s="145" t="inlineStr">
        <is>
          <t>Online</t>
        </is>
      </c>
      <c r="O243" s="145" t="inlineStr">
        <is>
          <t>9759 Base Line Rd, Rancho Cucamonga 91730 (San Bernardino)</t>
        </is>
      </c>
      <c r="P243" s="145" t="inlineStr">
        <is>
          <t>21.6</t>
        </is>
      </c>
      <c r="Q243" s="145" t="inlineStr">
        <is>
          <t>3.4</t>
        </is>
      </c>
      <c r="R243" s="145" t="inlineStr">
        <is>
          <t>12024904</t>
        </is>
      </c>
      <c r="S243" s="145" t="n"/>
      <c r="T243" s="145" t="inlineStr">
        <is>
          <t>Elan platform: starts ~$3-10K (to $20K strong files; ~$500 seen even at 800+ FICO). PG required; ~2yr TIB pref</t>
        </is>
      </c>
      <c r="U243" s="145" t="inlineStr">
        <is>
          <t>(base-covered)</t>
        </is>
      </c>
      <c r="V243" s="145" t="inlineStr">
        <is>
          <t>cathaybank.com/business/credit-cards; mycardapply.com; cathaybank.com smart-loans</t>
        </is>
      </c>
    </row>
    <row r="244">
      <c r="A244" s="145" t="inlineStr">
        <is>
          <t>D</t>
        </is>
      </c>
      <c r="B244" s="145" t="inlineStr">
        <is>
          <t>🥈 unknown/silent</t>
        </is>
      </c>
      <c r="C244" s="145" t="inlineStr">
        <is>
          <t>MATADORS COMMUNITY CU</t>
        </is>
      </c>
      <c r="D244" s="145" t="inlineStr">
        <is>
          <t>Credit Union</t>
        </is>
      </c>
      <c r="E244" s="145" t="inlineStr">
        <is>
          <t>Y but Elan</t>
        </is>
      </c>
      <c r="F244" s="145" t="inlineStr">
        <is>
          <t>SBA outsourced to Newtek ($50K-$5M, full-doc)</t>
        </is>
      </c>
      <c r="G244" s="145" t="inlineStr">
        <is>
          <t>N/M</t>
        </is>
      </c>
      <c r="H244" s="145" t="inlineStr">
        <is>
          <t>None (SBA full-doc)</t>
        </is>
      </c>
      <c r="I244" s="145" t="inlineStr">
        <is>
          <t>ELAN — NO-GO</t>
        </is>
      </c>
      <c r="J244" s="145" t="inlineStr">
        <is>
          <t>N/M</t>
        </is>
      </c>
      <c r="K244" s="145" t="inlineStr">
        <is>
          <t>N/M</t>
        </is>
      </c>
      <c r="L244" s="145" t="inlineStr">
        <is>
          <t>N/M</t>
        </is>
      </c>
      <c r="M244" s="145" t="inlineStr">
        <is>
          <t>OPEN $5 CSUN Arts Council donation — easiest join of the 12 (LB/Fontana YES)</t>
        </is>
      </c>
      <c r="N244" s="145" t="inlineStr">
        <is>
          <t>online membership</t>
        </is>
      </c>
      <c r="O244" s="145" t="inlineStr">
        <is>
          <t>20045 Prairie St, Chatsworth 91311 (Los Angeles)</t>
        </is>
      </c>
      <c r="P244" s="145" t="inlineStr">
        <is>
          <t>21.9</t>
        </is>
      </c>
      <c r="Q244" s="145" t="inlineStr">
        <is>
          <t>33.3</t>
        </is>
      </c>
      <c r="R244" s="145" t="n"/>
      <c r="S244" s="145" t="inlineStr">
        <is>
          <t>359947577</t>
        </is>
      </c>
      <c r="T244" s="145" t="inlineStr">
        <is>
          <t>Also serves cannabis businesses</t>
        </is>
      </c>
      <c r="U244" s="145" t="inlineStr">
        <is>
          <t>NO-GO — ELAN (verbatim: 'creditor and issuer of these cards is Elan Financial Services')</t>
        </is>
      </c>
      <c r="V244" s="145" t="inlineStr">
        <is>
          <t>https://www.matadors.org/credit-cards</t>
        </is>
      </c>
    </row>
    <row r="245">
      <c r="A245" s="145" t="inlineStr">
        <is>
          <t>D</t>
        </is>
      </c>
      <c r="B245" s="145" t="inlineStr">
        <is>
          <t>🥈 unknown/silent</t>
        </is>
      </c>
      <c r="C245" s="145" t="inlineStr">
        <is>
          <t>Bank of America, National Association</t>
        </is>
      </c>
      <c r="D245" s="145" t="inlineStr">
        <is>
          <t>Bank</t>
        </is>
      </c>
      <c r="E245" s="145" t="inlineStr">
        <is>
          <t>✅ Business Advantage Cash/Travel: 0% 7-9 cyc, $0 AF; + secured</t>
        </is>
      </c>
      <c r="F245" s="145" t="inlineStr">
        <is>
          <t>Unsecured Business LOC (2yr, $100K rev — full-doc, NOT no-doc); Cash-Secured LOC easier</t>
        </is>
      </c>
      <c r="G245" s="145" t="inlineStr">
        <is>
          <t>$8K–$16K typ.; up to $39.5K instant  [myFICO #6510094]</t>
        </is>
      </c>
      <c r="H245" s="145" t="inlineStr">
        <is>
          <t>PG yes (SSN); NO tax returns for cards (large/recon requests may ask 2yr returns)</t>
        </is>
      </c>
      <c r="I245" s="145" t="inlineStr">
        <is>
          <t>Self (Bank of America NA)</t>
        </is>
      </c>
      <c r="J245" s="145" t="inlineStr">
        <is>
          <t>Experian-dominant in CA (DoC CA: 15 EX / 6 TU / 4 EQ)</t>
        </is>
      </c>
      <c r="K245" s="145" t="n"/>
      <c r="L245" s="145" t="n"/>
      <c r="M245" s="145" t="inlineStr">
        <is>
          <t>No (unsecured)</t>
        </is>
      </c>
      <c r="N245" s="145" t="inlineStr">
        <is>
          <t>Online</t>
        </is>
      </c>
      <c r="O245" s="145" t="inlineStr">
        <is>
          <t>10048 Sierra Ave, Fontana 92335 (San Bernardino)</t>
        </is>
      </c>
      <c r="P245" s="145" t="inlineStr">
        <is>
          <t>24.2</t>
        </is>
      </c>
      <c r="Q245" s="145" t="n"/>
      <c r="R245" s="145" t="inlineStr">
        <is>
          <t>128490729</t>
        </is>
      </c>
      <c r="S245" s="145" t="n"/>
      <c r="T245" s="145" t="inlineStr">
        <is>
          <t>7/12 rule (personal); BUSINESS cards largely EXEMPT + don't add to personal 5/24 -&gt; known workaround. Limits $</t>
        </is>
      </c>
      <c r="U245" s="145" t="inlineStr">
        <is>
          <t>(base-covered)</t>
        </is>
      </c>
      <c r="V245" s="145" t="inlineStr">
        <is>
          <t>business.bankofamerica.com cards; doctorofcredit.com (BofA pull CA, 7/12); wallethub.com; myfico.com #6510094</t>
        </is>
      </c>
    </row>
    <row r="246">
      <c r="A246" s="145" t="inlineStr">
        <is>
          <t>D</t>
        </is>
      </c>
      <c r="B246" s="145" t="inlineStr">
        <is>
          <t>🥈 unknown/silent</t>
        </is>
      </c>
      <c r="C246" s="145" t="inlineStr">
        <is>
          <t>Citibank, National Association</t>
        </is>
      </c>
      <c r="D246" s="145" t="inlineStr">
        <is>
          <t>Bank</t>
        </is>
      </c>
      <c r="E246" s="145" t="n"/>
      <c r="F246" s="145" t="n"/>
      <c r="G246" s="145" t="n"/>
      <c r="H246" s="145" t="n"/>
      <c r="I246" s="145" t="n"/>
      <c r="J246" s="145" t="n"/>
      <c r="K246" s="145" t="n"/>
      <c r="L246" s="145" t="n"/>
      <c r="M246" s="145" t="n"/>
      <c r="N246" s="145" t="n"/>
      <c r="O246" s="145" t="inlineStr">
        <is>
          <t>8501 Sierra Ave, Fontana 92335 (San Bernardino)</t>
        </is>
      </c>
      <c r="P246" s="145" t="inlineStr">
        <is>
          <t>24.2</t>
        </is>
      </c>
      <c r="Q246" s="145" t="n"/>
      <c r="R246" s="145" t="inlineStr">
        <is>
          <t>37164000</t>
        </is>
      </c>
      <c r="S246" s="145" t="n"/>
      <c r="T246" s="145" t="n"/>
      <c r="U246" s="145" t="inlineStr">
        <is>
          <t>logged — no data found</t>
        </is>
      </c>
      <c r="V246" s="145" t="n"/>
    </row>
    <row r="247">
      <c r="A247" s="145" t="inlineStr">
        <is>
          <t>D</t>
        </is>
      </c>
      <c r="B247" s="145" t="inlineStr">
        <is>
          <t>🥈 unknown/silent</t>
        </is>
      </c>
      <c r="C247" s="145" t="inlineStr">
        <is>
          <t>Citizens Business Bank</t>
        </is>
      </c>
      <c r="D247" s="145" t="inlineStr">
        <is>
          <t>Bank</t>
        </is>
      </c>
      <c r="E247" s="145" t="inlineStr">
        <is>
          <t>✅ 0% 12 cycles → 17.24-26.24%; $0 AF</t>
        </is>
      </c>
      <c r="F247" s="145" t="inlineStr">
        <is>
          <t>None (SBA/LOC need biz tax returns)</t>
        </is>
      </c>
      <c r="G247" s="145" t="inlineStr">
        <is>
          <t>Elan platform: ~$3K–$10K start, to ~$20K strong files (~$500 seen at 800+ FICO)  [myFICO #6658960]</t>
        </is>
      </c>
      <c r="H247" s="145" t="inlineStr">
        <is>
          <t>PG yes; no tax returns (&lt;$25K)</t>
        </is>
      </c>
      <c r="I247" s="145" t="inlineStr">
        <is>
          <t>Elan</t>
        </is>
      </c>
      <c r="J247" s="145" t="inlineStr">
        <is>
          <t>TransUnion (varies EX/EQ)</t>
        </is>
      </c>
      <c r="K247" s="145" t="n"/>
      <c r="L247" s="145" t="n"/>
      <c r="M247" s="145" t="inlineStr">
        <is>
          <t>No</t>
        </is>
      </c>
      <c r="N247" s="145" t="inlineStr">
        <is>
          <t>Online</t>
        </is>
      </c>
      <c r="O247" s="145" t="inlineStr">
        <is>
          <t>9244 Sierra Ave, Fontana 92335 (San Bernardino)</t>
        </is>
      </c>
      <c r="P247" s="145" t="inlineStr">
        <is>
          <t>24.2</t>
        </is>
      </c>
      <c r="Q247" s="145" t="n"/>
      <c r="R247" s="145" t="inlineStr">
        <is>
          <t>9773952</t>
        </is>
      </c>
      <c r="S247" s="145" t="n"/>
      <c r="T247" s="145" t="inlineStr">
        <is>
          <t>Elan platform: starts ~$3-10K (to $20K strong files; ~$500 seen even at 800+ FICO). PG required; ~2yr TIB pref</t>
        </is>
      </c>
      <c r="U247" s="145" t="inlineStr">
        <is>
          <t>(base-covered)</t>
        </is>
      </c>
      <c r="V247" s="145" t="inlineStr">
        <is>
          <t>cbbank.com/business-cards; creditcardlearnmore.com; cbbank.com/sba-lending</t>
        </is>
      </c>
    </row>
    <row r="248">
      <c r="A248" s="145" t="inlineStr">
        <is>
          <t>D</t>
        </is>
      </c>
      <c r="B248" s="145" t="inlineStr">
        <is>
          <t>🥈 unknown/silent</t>
        </is>
      </c>
      <c r="C248" s="145" t="inlineStr">
        <is>
          <t>HomeStreet Bank</t>
        </is>
      </c>
      <c r="D248" s="145" t="inlineStr">
        <is>
          <t>Bank</t>
        </is>
      </c>
      <c r="E248" s="145" t="inlineStr">
        <is>
          <t>⚠️ MERGED into Mechanics Bank (Sept 2025); cards = Elan Smart Business Rewards (see Mechanics Bank row)</t>
        </is>
      </c>
      <c r="F248" s="145" t="inlineStr">
        <is>
          <t>None</t>
        </is>
      </c>
      <c r="G248" s="145" t="inlineStr">
        <is>
          <t>—</t>
        </is>
      </c>
      <c r="H248" s="145" t="inlineStr">
        <is>
          <t>N/M</t>
        </is>
      </c>
      <c r="I248" s="145" t="inlineStr">
        <is>
          <t>Elan (now Mechanics Bank)</t>
        </is>
      </c>
      <c r="J248" s="145" t="inlineStr">
        <is>
          <t>N/M</t>
        </is>
      </c>
      <c r="K248" s="145" t="n"/>
      <c r="L248" s="145" t="n"/>
      <c r="M248" s="145" t="inlineStr">
        <is>
          <t>N/M</t>
        </is>
      </c>
      <c r="N248" s="145" t="inlineStr">
        <is>
          <t>No</t>
        </is>
      </c>
      <c r="O248" s="145" t="inlineStr">
        <is>
          <t>9714 Sierra Ave, Ste 101, Fontana 92335 (San Bernardino)</t>
        </is>
      </c>
      <c r="P248" s="145" t="inlineStr">
        <is>
          <t>24.2</t>
        </is>
      </c>
      <c r="Q248" s="145" t="n"/>
      <c r="R248" s="145" t="inlineStr">
        <is>
          <t>1081398</t>
        </is>
      </c>
      <c r="S248" s="145" t="n"/>
      <c r="T248" s="145" t="inlineStr">
        <is>
          <t>HomeStreet merged into Mechanics Bank; Elan-issued (duplicate of Mechanics).</t>
        </is>
      </c>
      <c r="U248" s="145" t="inlineStr">
        <is>
          <t>(base-covered)</t>
        </is>
      </c>
      <c r="V248" s="145" t="inlineStr">
        <is>
          <t>mymechanics.com business credit cards (Elan disclosure); homestreet.com (redirects to mechanicsbank); ir.mechanicsbank.c</t>
        </is>
      </c>
    </row>
    <row r="249">
      <c r="A249" s="145" t="inlineStr">
        <is>
          <t>D</t>
        </is>
      </c>
      <c r="B249" s="145" t="inlineStr">
        <is>
          <t>🥈 unknown/silent</t>
        </is>
      </c>
      <c r="C249" s="145" t="inlineStr">
        <is>
          <t>Provident Savings Bank, F.S.B.</t>
        </is>
      </c>
      <c r="D249" s="145" t="inlineStr">
        <is>
          <t>Bank</t>
        </is>
      </c>
      <c r="E249" s="145" t="inlineStr">
        <is>
          <t>✅ Elan biz cards (Cash Preferred / Smart / Real Rewards); terms N/M</t>
        </is>
      </c>
      <c r="F249" s="145" t="inlineStr">
        <is>
          <t>None (commercial/SBA/CRE relationship-underwritten; residential-heavy lender)</t>
        </is>
      </c>
      <c r="G249" s="145" t="inlineStr">
        <is>
          <t>Elan platform: ~$3K–$10K start, to ~$20K strong files (~$500 seen at 800+ FICO)  [myFICO #6658960]</t>
        </is>
      </c>
      <c r="H249" s="145" t="inlineStr">
        <is>
          <t>PG yes; no tax returns (&lt;$25K)</t>
        </is>
      </c>
      <c r="I249" s="145" t="inlineStr">
        <is>
          <t>Elan</t>
        </is>
      </c>
      <c r="J249" s="145" t="inlineStr">
        <is>
          <t>TransUnion (varies EX/EQ)</t>
        </is>
      </c>
      <c r="K249" s="145" t="n"/>
      <c r="L249" s="145" t="n"/>
      <c r="M249" s="145" t="inlineStr">
        <is>
          <t>N/M</t>
        </is>
      </c>
      <c r="N249" s="145" t="inlineStr">
        <is>
          <t>Online</t>
        </is>
      </c>
      <c r="O249" s="145" t="inlineStr">
        <is>
          <t>4001 Main St, Riverside 92501 (Riverside)</t>
        </is>
      </c>
      <c r="P249" s="145" t="inlineStr">
        <is>
          <t>25.3</t>
        </is>
      </c>
      <c r="Q249" s="145" t="inlineStr">
        <is>
          <t>4.1</t>
        </is>
      </c>
      <c r="R249" s="145" t="inlineStr">
        <is>
          <t>895179</t>
        </is>
      </c>
      <c r="S249" s="145" t="n"/>
      <c r="T249" s="145" t="inlineStr">
        <is>
          <t>Elan platform: starts ~$3-10K (to $20K strong files; ~$500 seen even at 800+ FICO). PG required; ~2yr TIB pref</t>
        </is>
      </c>
      <c r="U249" s="145" t="inlineStr">
        <is>
          <t>(base-covered)</t>
        </is>
      </c>
      <c r="V249" s="145" t="inlineStr">
        <is>
          <t>myprovident.com/creditcard (Elan disclosure); creditcardlearnmore.com (10028); FDIC cert 30879</t>
        </is>
      </c>
    </row>
    <row r="250">
      <c r="A250" s="145" t="inlineStr">
        <is>
          <t>D</t>
        </is>
      </c>
      <c r="B250" s="145" t="inlineStr">
        <is>
          <t>🥈 unknown/silent</t>
        </is>
      </c>
      <c r="C250" s="145" t="inlineStr">
        <is>
          <t>Icon Business Bank</t>
        </is>
      </c>
      <c r="D250" s="145" t="inlineStr">
        <is>
          <t>Bank</t>
        </is>
      </c>
      <c r="E250" s="145" t="inlineStr">
        <is>
          <t>✅ TCM business + personal Visa; terms N/M; $0/low AF likely</t>
        </is>
      </c>
      <c r="F250" s="145" t="inlineStr">
        <is>
          <t>None (unsecured LOC/term/ABL/equipment/CRE/CELOC/SBA 504/7(a) full-doc)</t>
        </is>
      </c>
      <c r="G250" s="145" t="inlineStr">
        <is>
          <t>N/M (TCM; conservative, Experian-driven)</t>
        </is>
      </c>
      <c r="H250" s="145" t="inlineStr">
        <is>
          <t>PG likely; SBA-eligible only</t>
        </is>
      </c>
      <c r="I250" s="145" t="inlineStr">
        <is>
          <t>TCM Bank, N.A.</t>
        </is>
      </c>
      <c r="J250" s="145" t="inlineStr">
        <is>
          <t>Experian (TCM)</t>
        </is>
      </c>
      <c r="K250" s="145" t="n"/>
      <c r="L250" s="145" t="n"/>
      <c r="M250" s="145" t="inlineStr">
        <is>
          <t>N/M</t>
        </is>
      </c>
      <c r="N250" s="145" t="inlineStr">
        <is>
          <t>Online</t>
        </is>
      </c>
      <c r="O250" s="145" t="inlineStr">
        <is>
          <t>3390 University Ave, Suite 400, Riverside 92501 (Riverside)</t>
        </is>
      </c>
      <c r="P250" s="145" t="inlineStr">
        <is>
          <t>25.3</t>
        </is>
      </c>
      <c r="Q250" s="145" t="inlineStr">
        <is>
          <t>4.1</t>
        </is>
      </c>
      <c r="R250" s="145" t="inlineStr">
        <is>
          <t>138048</t>
        </is>
      </c>
      <c r="S250" s="145" t="n"/>
      <c r="T250" s="145" t="inlineStr">
        <is>
          <t>TCM Agent Program (mycommunitycc.com): Experian pull; SBA-eligible only; PG-based. myfico.com #6303273</t>
        </is>
      </c>
      <c r="U250" s="145" t="inlineStr">
        <is>
          <t>(base-covered)</t>
        </is>
      </c>
      <c r="V250" s="145" t="inlineStr">
        <is>
          <t>iconbusinessbank.com (homepage credit-cards link); mycommunitycc.com/lSp9OsZX4zOr; icba.org TCM; FDIC cert 59314</t>
        </is>
      </c>
    </row>
    <row r="251">
      <c r="A251" s="145" t="inlineStr">
        <is>
          <t>D</t>
        </is>
      </c>
      <c r="B251" s="145" t="inlineStr">
        <is>
          <t>🥈 unknown/silent</t>
        </is>
      </c>
      <c r="C251" s="145" t="inlineStr">
        <is>
          <t>ALTA VISTA CU</t>
        </is>
      </c>
      <c r="D251" s="145" t="inlineStr">
        <is>
          <t>Credit Union</t>
        </is>
      </c>
      <c r="E251" s="145" t="inlineStr">
        <is>
          <t>N</t>
        </is>
      </c>
      <c r="F251" s="145" t="inlineStr">
        <is>
          <t>N — Term loans $5K-$500K + CRE + equipment (full-doc: 'Submit Documents' step)</t>
        </is>
      </c>
      <c r="G251" s="145" t="inlineStr">
        <is>
          <t>n/a</t>
        </is>
      </c>
      <c r="H251" s="145" t="inlineStr">
        <is>
          <t>NO — doc-based</t>
        </is>
      </c>
      <c r="I251" s="145" t="inlineStr">
        <is>
          <t>n/a</t>
        </is>
      </c>
      <c r="J251" s="145" t="inlineStr">
        <is>
          <t>N/M</t>
        </is>
      </c>
      <c r="K251" s="145" t="inlineStr">
        <is>
          <t>N/M</t>
        </is>
      </c>
      <c r="L251" s="145" t="inlineStr">
        <is>
          <t>N/M</t>
        </is>
      </c>
      <c r="M251" s="145" t="inlineStr">
        <is>
          <t>Anyone SB/Riverside county</t>
        </is>
      </c>
      <c r="N251" s="145" t="inlineStr">
        <is>
          <t>Form + 909-809-3838</t>
        </is>
      </c>
      <c r="O251" s="145" t="inlineStr">
        <is>
          <t>2025 N RIVERSIDE AVE, RIALTO 92377 (San Bernardino)</t>
        </is>
      </c>
      <c r="P251" s="145" t="inlineStr">
        <is>
          <t>26.9</t>
        </is>
      </c>
      <c r="Q251" s="145" t="inlineStr">
        <is>
          <t>2.8</t>
        </is>
      </c>
      <c r="R251" s="145" t="n"/>
      <c r="S251" s="145" t="inlineStr">
        <is>
          <t>211726159</t>
        </is>
      </c>
      <c r="T251" s="145" t="n"/>
      <c r="U251" s="145" t="inlineStr">
        <is>
          <t>NO-GO cards; IE term-loan backstop. (LinkedIn shows CU SoCal — stale/mislink, no merger found)</t>
        </is>
      </c>
      <c r="V251" s="145" t="inlineStr">
        <is>
          <t>https://altavistacu.org/business/commercial-lending/</t>
        </is>
      </c>
    </row>
    <row r="252">
      <c r="A252" s="145" t="inlineStr">
        <is>
          <t>D</t>
        </is>
      </c>
      <c r="B252" s="145" t="inlineStr">
        <is>
          <t>🥈 unknown/silent</t>
        </is>
      </c>
      <c r="C252" s="145" t="inlineStr">
        <is>
          <t>FIREFIGHTERS FIRST CU</t>
        </is>
      </c>
      <c r="D252" s="145" t="inlineStr">
        <is>
          <t>Credit Union</t>
        </is>
      </c>
      <c r="E252" s="145" t="inlineStr">
        <is>
          <t>Y — Business Visa Platinum 10.75-18%, 1% CB — but FULL-DOC: 'business income statement and business federal tax returns' (verbatim)</t>
        </is>
      </c>
      <c r="F252" s="145" t="inlineStr">
        <is>
          <t>Y</t>
        </is>
      </c>
      <c r="G252" s="145" t="inlineStr">
        <is>
          <t>N/M</t>
        </is>
      </c>
      <c r="H252" s="145" t="inlineStr">
        <is>
          <t>FULL-DOC required (verbatim)</t>
        </is>
      </c>
      <c r="I252" s="145" t="inlineStr">
        <is>
          <t>N/M (own app; weak self inference)</t>
        </is>
      </c>
      <c r="J252" s="145" t="inlineStr">
        <is>
          <t>N/M</t>
        </is>
      </c>
      <c r="K252" s="145" t="inlineStr">
        <is>
          <t>N/M</t>
        </is>
      </c>
      <c r="L252" s="145" t="inlineStr">
        <is>
          <t>N/M</t>
        </is>
      </c>
      <c r="M252" s="145" t="inlineStr">
        <is>
          <t>Fire family ONLY (no open path). LB/Fontana civilian = NO</t>
        </is>
      </c>
      <c r="N252" s="145" t="inlineStr">
        <is>
          <t>online</t>
        </is>
      </c>
      <c r="O252" s="145" t="inlineStr">
        <is>
          <t>25805 Barton Rd Ste A-108, Loma Linda 92354 (San Bernardino)</t>
        </is>
      </c>
      <c r="P252" s="145" t="inlineStr">
        <is>
          <t>29.3</t>
        </is>
      </c>
      <c r="Q252" s="145" t="inlineStr">
        <is>
          <t>6.3</t>
        </is>
      </c>
      <c r="R252" s="145" t="n"/>
      <c r="S252" s="145" t="inlineStr">
        <is>
          <t>2470349300</t>
        </is>
      </c>
      <c r="T252" s="145" t="inlineStr">
        <is>
          <t>Niche for actual fire-family clients</t>
        </is>
      </c>
      <c r="U252" s="145" t="inlineStr">
        <is>
          <t>NO-GO — fire-service FOM only + EXPLICIT tax-return requirement (anti-no-doc)</t>
        </is>
      </c>
      <c r="V252" s="145" t="inlineStr">
        <is>
          <t>https://www.firefightersfirstcu.org/Business/Business-Loans/Business-Credit-Cards</t>
        </is>
      </c>
    </row>
    <row r="253">
      <c r="A253" s="145" t="inlineStr">
        <is>
          <t>D</t>
        </is>
      </c>
      <c r="B253" s="145" t="inlineStr">
        <is>
          <t>🥈 unknown/silent</t>
        </is>
      </c>
      <c r="C253" s="145" t="inlineStr">
        <is>
          <t>Mission Bank</t>
        </is>
      </c>
      <c r="D253" s="145" t="inlineStr">
        <is>
          <t>Bank</t>
        </is>
      </c>
      <c r="E253" s="145" t="inlineStr">
        <is>
          <t>✅ 0% intro (length N/M); $0 AF; 1% cash back</t>
        </is>
      </c>
      <c r="F253" s="145" t="inlineStr">
        <is>
          <t>None (commercial LOC/equipment/CRE/SBA full-doc)</t>
        </is>
      </c>
      <c r="G253" s="145" t="inlineStr">
        <is>
          <t>N/M (TCM; conservative, Experian-driven)</t>
        </is>
      </c>
      <c r="H253" s="145" t="inlineStr">
        <is>
          <t>PG likely; SBA-eligible ONLY (excl. &gt;$7M rev or 50+ emp); no tax returns on app</t>
        </is>
      </c>
      <c r="I253" s="145" t="inlineStr">
        <is>
          <t>TCM Bank, N.A.</t>
        </is>
      </c>
      <c r="J253" s="145" t="inlineStr">
        <is>
          <t>Experian</t>
        </is>
      </c>
      <c r="K253" s="145" t="n"/>
      <c r="L253" s="145" t="n"/>
      <c r="M253" s="145" t="inlineStr">
        <is>
          <t>N/M</t>
        </is>
      </c>
      <c r="N253" s="145" t="inlineStr">
        <is>
          <t>Online</t>
        </is>
      </c>
      <c r="O253" s="145" t="inlineStr">
        <is>
          <t>43830 20th St W, Lancaster 93534 (Los Angeles)</t>
        </is>
      </c>
      <c r="P253" s="145" t="inlineStr">
        <is>
          <t>33.4</t>
        </is>
      </c>
      <c r="Q253" s="145" t="inlineStr">
        <is>
          <t>29.3</t>
        </is>
      </c>
      <c r="R253" s="145" t="inlineStr">
        <is>
          <t>319948</t>
        </is>
      </c>
      <c r="S253" s="145" t="n"/>
      <c r="T253" s="145" t="inlineStr">
        <is>
          <t>TCM: pulls Experian for apps + CLIs; conservative; partner bank has no underwriting say. myfico.com #6303273</t>
        </is>
      </c>
      <c r="U253" s="145" t="inlineStr">
        <is>
          <t>(base-covered)</t>
        </is>
      </c>
      <c r="V253" s="145" t="inlineStr">
        <is>
          <t>missionbank.bank/business/business-credit-cards; mycommunitycc.com/sgpXj3gLGuZQ; bbb.org TCM (Experian)</t>
        </is>
      </c>
    </row>
    <row r="254">
      <c r="A254" s="145" t="inlineStr">
        <is>
          <t>D</t>
        </is>
      </c>
      <c r="B254" s="145" t="inlineStr">
        <is>
          <t>🥈 unknown/silent</t>
        </is>
      </c>
      <c r="C254" s="145" t="inlineStr">
        <is>
          <t>JPMorgan Chase Bank, National Association</t>
        </is>
      </c>
      <c r="D254" s="145" t="inlineStr">
        <is>
          <t>Bank</t>
        </is>
      </c>
      <c r="E254" s="145" t="n"/>
      <c r="F254" s="145" t="n"/>
      <c r="G254" s="145" t="n"/>
      <c r="H254" s="145" t="n"/>
      <c r="I254" s="145" t="n"/>
      <c r="J254" s="145" t="n"/>
      <c r="K254" s="145" t="n"/>
      <c r="L254" s="145" t="n"/>
      <c r="M254" s="145" t="n"/>
      <c r="N254" s="145" t="n"/>
      <c r="O254" s="145" t="inlineStr">
        <is>
          <t>401 E Ocean Blvd, Long Beach 90802 (Los Angeles)</t>
        </is>
      </c>
      <c r="P254" s="145" t="n"/>
      <c r="Q254" s="145" t="inlineStr">
        <is>
          <t>24.2</t>
        </is>
      </c>
      <c r="R254" s="145" t="inlineStr">
        <is>
          <t>143196351</t>
        </is>
      </c>
      <c r="S254" s="145" t="n"/>
      <c r="T254" s="145" t="n"/>
      <c r="U254" s="145" t="inlineStr">
        <is>
          <t>logged — no data found</t>
        </is>
      </c>
      <c r="V254" s="145" t="n"/>
    </row>
    <row r="255">
      <c r="A255" s="145" t="inlineStr">
        <is>
          <t>D</t>
        </is>
      </c>
      <c r="B255" s="145" t="inlineStr">
        <is>
          <t>🥈 unknown/silent</t>
        </is>
      </c>
      <c r="C255" s="145" t="inlineStr">
        <is>
          <t>Wells Fargo Bank, National Association</t>
        </is>
      </c>
      <c r="D255" s="145" t="inlineStr">
        <is>
          <t>Bank</t>
        </is>
      </c>
      <c r="E255" s="145" t="inlineStr">
        <is>
          <t>✅ Signify Business Cash: 0% 12 mo, $0 AF, 2% (ONLY card open to new apps)</t>
        </is>
      </c>
      <c r="F255" s="145" t="inlineStr">
        <is>
          <t>BusinessLine LOC (Prime+1.75-9.75%; usually 2yr returns — not no-doc by default)</t>
        </is>
      </c>
      <c r="G255" s="145" t="inlineStr">
        <is>
          <t>Signify $15K–$60K ($2.5K min guaranteed)  [myFICO #6773132]</t>
        </is>
      </c>
      <c r="H255" s="145" t="inlineStr">
        <is>
          <t>PG yes (Account Guarantor); NO tax returns (cards)</t>
        </is>
      </c>
      <c r="I255" s="145" t="inlineStr">
        <is>
          <t>Self (Wells Fargo Bank NA)</t>
        </is>
      </c>
      <c r="J255" s="145" t="inlineStr">
        <is>
          <t>CA = Experian-dominant (DoC CA: 9 EX / 2 TU / 1 EQ)</t>
        </is>
      </c>
      <c r="K255" s="145" t="n"/>
      <c r="L255" s="145" t="n"/>
      <c r="M255" s="145" t="inlineStr">
        <is>
          <t>No (WF account optional, for overdraft)</t>
        </is>
      </c>
      <c r="N255" s="145" t="inlineStr">
        <is>
          <t>Online</t>
        </is>
      </c>
      <c r="O255" s="145" t="inlineStr">
        <is>
          <t>111 W Ocean Blvd, Long Beach 90802 (Los Angeles)</t>
        </is>
      </c>
      <c r="P255" s="145" t="n"/>
      <c r="Q255" s="145" t="inlineStr">
        <is>
          <t>24.2</t>
        </is>
      </c>
      <c r="R255" s="145" t="inlineStr">
        <is>
          <t>101241270</t>
        </is>
      </c>
      <c r="S255" s="145" t="n"/>
      <c r="T255" s="145" t="inlineStr">
        <is>
          <t>1/6 rule (loosely enforced w/ relationship); biz cards separate track, don't count to 5/24. Signify limits $15</t>
        </is>
      </c>
      <c r="U255" s="145" t="inlineStr">
        <is>
          <t>(base-covered)</t>
        </is>
      </c>
      <c r="V255" s="145" t="inlineStr">
        <is>
          <t>wellsfargo.com Signify T&amp;C + agreement (SBFE, PG); doctorofcredit.com (WF pull CA); myfico.com #6773132</t>
        </is>
      </c>
    </row>
    <row r="256">
      <c r="A256" s="145" t="inlineStr">
        <is>
          <t>D</t>
        </is>
      </c>
      <c r="B256" s="145" t="inlineStr">
        <is>
          <t>🥈 unknown/silent</t>
        </is>
      </c>
      <c r="C256" s="145" t="inlineStr">
        <is>
          <t>U.S. Bank National Association</t>
        </is>
      </c>
      <c r="D256" s="145" t="inlineStr">
        <is>
          <t>Bank</t>
        </is>
      </c>
      <c r="E256" s="145" t="n"/>
      <c r="F256" s="145" t="n"/>
      <c r="G256" s="145" t="n"/>
      <c r="H256" s="145" t="n"/>
      <c r="I256" s="145" t="n"/>
      <c r="J256" s="145" t="n"/>
      <c r="K256" s="145" t="n"/>
      <c r="L256" s="145" t="n"/>
      <c r="M256" s="145" t="n"/>
      <c r="N256" s="145" t="n"/>
      <c r="O256" s="145" t="inlineStr">
        <is>
          <t>555 E Ocean Blvd, Long Beach 90802 (Los Angeles)</t>
        </is>
      </c>
      <c r="P256" s="145" t="n"/>
      <c r="Q256" s="145" t="inlineStr">
        <is>
          <t>24.2</t>
        </is>
      </c>
      <c r="R256" s="145" t="inlineStr">
        <is>
          <t>34728888</t>
        </is>
      </c>
      <c r="S256" s="145" t="n"/>
      <c r="T256" s="145" t="n"/>
      <c r="U256" s="145" t="inlineStr">
        <is>
          <t>logged — no data found</t>
        </is>
      </c>
      <c r="V256" s="145" t="n"/>
    </row>
    <row r="257">
      <c r="A257" s="145" t="inlineStr">
        <is>
          <t>D</t>
        </is>
      </c>
      <c r="B257" s="145" t="inlineStr">
        <is>
          <t>🥈 unknown/silent</t>
        </is>
      </c>
      <c r="C257" s="145" t="inlineStr">
        <is>
          <t>American Plus Bank, N.A.</t>
        </is>
      </c>
      <c r="D257" s="145" t="inlineStr">
        <is>
          <t>Bank</t>
        </is>
      </c>
      <c r="E257" s="145" t="inlineStr">
        <is>
          <t>✅ TIB Visa (Platinum Cash Rewards consumer; Charge Company Rewards business); terms N/M</t>
        </is>
      </c>
      <c r="F257" s="145" t="inlineStr">
        <is>
          <t>None (commercial LOC/CRE/construction/SBA/trade full-doc)</t>
        </is>
      </c>
      <c r="G257" s="145" t="inlineStr">
        <is>
          <t>N/M (TIB; financials typically required $10K+)</t>
        </is>
      </c>
      <c r="H257" s="145" t="inlineStr">
        <is>
          <t>PG likely (TIB standard); docs N/M</t>
        </is>
      </c>
      <c r="I257" s="145" t="inlineStr">
        <is>
          <t>TIB</t>
        </is>
      </c>
      <c r="J257" s="145" t="inlineStr">
        <is>
          <t>Experian/TU (TIB; INFERENCE)</t>
        </is>
      </c>
      <c r="K257" s="145" t="n"/>
      <c r="L257" s="145" t="n"/>
      <c r="M257" s="145" t="inlineStr">
        <is>
          <t>N/M</t>
        </is>
      </c>
      <c r="N257" s="145" t="inlineStr">
        <is>
          <t>Online</t>
        </is>
      </c>
      <c r="O257" s="145" t="inlineStr">
        <is>
          <t>249 E Ocean Blvd, Long Beach 90802 (Los Angeles)</t>
        </is>
      </c>
      <c r="P257" s="145" t="n"/>
      <c r="Q257" s="145" t="inlineStr">
        <is>
          <t>24.2</t>
        </is>
      </c>
      <c r="R257" s="145" t="inlineStr">
        <is>
          <t>717856</t>
        </is>
      </c>
      <c r="S257" s="145" t="n"/>
      <c r="T257" s="145" t="inlineStr">
        <is>
          <t>TIB Community Card program (mycommunitycc.com portal); no AF typical, ~25-day grace (unverified for this progr</t>
        </is>
      </c>
      <c r="U257" s="145" t="inlineStr">
        <is>
          <t>(base-covered)</t>
        </is>
      </c>
      <c r="V257" s="145" t="inlineStr">
        <is>
          <t>bankaplus.com/Credit-Cards; mycommunitycc.com (TIB portal); FDIC cert 58469</t>
        </is>
      </c>
    </row>
    <row r="258">
      <c r="A258" s="145" t="inlineStr">
        <is>
          <t>D</t>
        </is>
      </c>
      <c r="B258" s="147" t="inlineStr">
        <is>
          <t>🔴 confirmed puller</t>
        </is>
      </c>
      <c r="C258" s="145" t="inlineStr">
        <is>
          <t>EverBank, National Association</t>
        </is>
      </c>
      <c r="D258" s="145" t="inlineStr">
        <is>
          <t>Bank</t>
        </is>
      </c>
      <c r="E258" s="145" t="inlineStr">
        <is>
          <t>Y — ELAN-issued ('partnered with Elan Financial Services as issuer'; myaccountaccess theme=elan1) → NO-GO</t>
        </is>
      </c>
      <c r="F258" s="145" t="inlineStr">
        <is>
          <t>N (SBA only; commercial $10M+)</t>
        </is>
      </c>
      <c r="G258" s="145" t="inlineStr">
        <is>
          <t>N/M</t>
        </is>
      </c>
      <c r="H258" s="145" t="inlineStr">
        <is>
          <t>None</t>
        </is>
      </c>
      <c r="I258" s="145" t="inlineStr">
        <is>
          <t>Elan (U.S. Bank) — NO-GO</t>
        </is>
      </c>
      <c r="J258" s="145" t="inlineStr">
        <is>
          <t>N/M (Elan platform: PG + personal HP, TU-common)</t>
        </is>
      </c>
      <c r="K258" s="145" t="inlineStr">
        <is>
          <t>Predecessor TIAA = pulls (DoC DP #1698747); EverBank-name N/M</t>
        </is>
      </c>
      <c r="L258" s="145" t="inlineStr">
        <is>
          <t>N/M</t>
        </is>
      </c>
      <c r="M258" s="145" t="inlineStr">
        <is>
          <t>N/M (Elan cards need no deposit rel.)</t>
        </is>
      </c>
      <c r="N258" s="145" t="inlineStr">
        <is>
          <t>Card via Elan online; accounts = specialist callback</t>
        </is>
      </c>
      <c r="O258" s="145" t="inlineStr">
        <is>
          <t>2911 Chino Ave, Ste F1, Chino Hills 91709 (San Bernardino)</t>
        </is>
      </c>
      <c r="P258" s="145" t="inlineStr">
        <is>
          <t>15.3</t>
        </is>
      </c>
      <c r="Q258" s="145" t="inlineStr">
        <is>
          <t>9.0</t>
        </is>
      </c>
      <c r="R258" s="145" t="inlineStr">
        <is>
          <t>570430</t>
        </is>
      </c>
      <c r="S258" s="145" t="n"/>
      <c r="T258" s="145" t="inlineStr">
        <is>
          <t>None found (myFICO/DoC/Reddit, 2026-06-09)</t>
        </is>
      </c>
      <c r="U258" s="145" t="inlineStr">
        <is>
          <t>DEAD — Elan NO-GO</t>
        </is>
      </c>
      <c r="V258" s="145" t="inlineStr">
        <is>
          <t>https://www.everbank.com/business</t>
        </is>
      </c>
    </row>
    <row r="259">
      <c r="A259" s="150" t="inlineStr">
        <is>
          <t>E artifact</t>
        </is>
      </c>
      <c r="B259" s="117" t="n"/>
      <c r="C259" s="117" t="n"/>
      <c r="D259" s="117" t="n"/>
      <c r="E259" s="117" t="n"/>
      <c r="F259" s="117" t="n"/>
      <c r="G259" s="117" t="n"/>
      <c r="H259" s="117" t="n"/>
      <c r="I259" s="117" t="n"/>
      <c r="J259" s="117" t="n"/>
      <c r="K259" s="117" t="n"/>
      <c r="L259" s="117" t="n"/>
      <c r="M259" s="117" t="n"/>
      <c r="N259" s="117" t="n"/>
      <c r="O259" s="117" t="n"/>
      <c r="P259" s="117" t="n"/>
      <c r="Q259" s="117" t="n"/>
      <c r="R259" s="117" t="n"/>
      <c r="S259" s="117" t="n"/>
      <c r="T259" s="117" t="n"/>
      <c r="U259" s="117" t="n"/>
      <c r="V259" s="118" t="n"/>
    </row>
    <row r="260">
      <c r="A260" s="145" t="inlineStr">
        <is>
          <t>E</t>
        </is>
      </c>
      <c r="B260" s="145" t="inlineStr">
        <is>
          <t>🥈 unknown/silent</t>
        </is>
      </c>
      <c r="C260" s="145" t="inlineStr">
        <is>
          <t>CREDIT UNION OF NEW JERSEY, A</t>
        </is>
      </c>
      <c r="D260" s="145" t="inlineStr">
        <is>
          <t>Credit Union</t>
        </is>
      </c>
      <c r="E260" s="145" t="n"/>
      <c r="F260" s="145" t="n"/>
      <c r="G260" s="145" t="n"/>
      <c r="H260" s="145" t="n"/>
      <c r="I260" s="145" t="n"/>
      <c r="J260" s="145" t="n"/>
      <c r="K260" s="145" t="n"/>
      <c r="L260" s="145" t="n"/>
      <c r="M260" s="145" t="n"/>
      <c r="N260" s="145" t="n"/>
      <c r="O260" s="145" t="inlineStr">
        <is>
          <t>5601 E La Palma Ave, Anaheim 92807 (Orange)</t>
        </is>
      </c>
      <c r="P260" s="145" t="inlineStr">
        <is>
          <t>12.5</t>
        </is>
      </c>
      <c r="Q260" s="145" t="inlineStr">
        <is>
          <t>12.4</t>
        </is>
      </c>
      <c r="R260" s="145" t="n"/>
      <c r="S260" s="145" t="inlineStr">
        <is>
          <t>503973515</t>
        </is>
      </c>
      <c r="T260" s="145" t="n"/>
      <c r="U260" s="145" t="inlineStr">
        <is>
          <t>logged — no data found</t>
        </is>
      </c>
      <c r="V260" s="145" t="n"/>
    </row>
    <row r="261">
      <c r="A261" s="145" t="inlineStr">
        <is>
          <t>E</t>
        </is>
      </c>
      <c r="B261" s="145" t="inlineStr">
        <is>
          <t>🥈 unknown/silent</t>
        </is>
      </c>
      <c r="C261" s="145" t="inlineStr">
        <is>
          <t>NORTH IOWA COMMUNITY CU</t>
        </is>
      </c>
      <c r="D261" s="145" t="inlineStr">
        <is>
          <t>Credit Union</t>
        </is>
      </c>
      <c r="E261" s="145" t="n"/>
      <c r="F261" s="145" t="n"/>
      <c r="G261" s="145" t="n"/>
      <c r="H261" s="145" t="n"/>
      <c r="I261" s="145" t="n"/>
      <c r="J261" s="145" t="n"/>
      <c r="K261" s="145" t="n"/>
      <c r="L261" s="145" t="n"/>
      <c r="M261" s="145" t="n"/>
      <c r="N261" s="145" t="n"/>
      <c r="O261" s="145" t="inlineStr">
        <is>
          <t>5601 E La Palma Ave, Anaheim 92807 (Orange)</t>
        </is>
      </c>
      <c r="P261" s="145" t="inlineStr">
        <is>
          <t>12.5</t>
        </is>
      </c>
      <c r="Q261" s="145" t="inlineStr">
        <is>
          <t>12.4</t>
        </is>
      </c>
      <c r="R261" s="145" t="n"/>
      <c r="S261" s="145" t="inlineStr">
        <is>
          <t>128521672</t>
        </is>
      </c>
      <c r="T261" s="145" t="n"/>
      <c r="U261" s="145" t="inlineStr">
        <is>
          <t>logged — no data found</t>
        </is>
      </c>
      <c r="V261" s="145" t="n"/>
    </row>
    <row r="262">
      <c r="A262" s="145" t="inlineStr">
        <is>
          <t>E</t>
        </is>
      </c>
      <c r="B262" s="145" t="inlineStr">
        <is>
          <t>🥈 unknown/silent</t>
        </is>
      </c>
      <c r="C262" s="145" t="inlineStr">
        <is>
          <t>DIRECT CU</t>
        </is>
      </c>
      <c r="D262" s="145" t="inlineStr">
        <is>
          <t>Credit Union</t>
        </is>
      </c>
      <c r="E262" s="145" t="n"/>
      <c r="F262" s="145" t="n"/>
      <c r="G262" s="145" t="n"/>
      <c r="H262" s="145" t="n"/>
      <c r="I262" s="145" t="n"/>
      <c r="J262" s="145" t="n"/>
      <c r="K262" s="145" t="n"/>
      <c r="L262" s="145" t="n"/>
      <c r="M262" s="145" t="n"/>
      <c r="N262" s="145" t="n"/>
      <c r="O262" s="145" t="inlineStr">
        <is>
          <t>5601 E La Palma Ave, Anaheim 92807 (Orange)</t>
        </is>
      </c>
      <c r="P262" s="145" t="inlineStr">
        <is>
          <t>12.5</t>
        </is>
      </c>
      <c r="Q262" s="145" t="inlineStr">
        <is>
          <t>12.4</t>
        </is>
      </c>
      <c r="R262" s="145" t="n"/>
      <c r="S262" s="145" t="inlineStr">
        <is>
          <t>789820428</t>
        </is>
      </c>
      <c r="T262" s="145" t="n"/>
      <c r="U262" s="145" t="inlineStr">
        <is>
          <t>logged — no data found</t>
        </is>
      </c>
      <c r="V262" s="145" t="n"/>
    </row>
    <row r="263">
      <c r="A263" s="145" t="inlineStr">
        <is>
          <t>E</t>
        </is>
      </c>
      <c r="B263" s="145" t="inlineStr">
        <is>
          <t>🥈 unknown/silent</t>
        </is>
      </c>
      <c r="C263" s="145" t="inlineStr">
        <is>
          <t>COLLEGEDALE CU</t>
        </is>
      </c>
      <c r="D263" s="145" t="inlineStr">
        <is>
          <t>Credit Union</t>
        </is>
      </c>
      <c r="E263" s="145" t="n"/>
      <c r="F263" s="145" t="n"/>
      <c r="G263" s="145" t="n"/>
      <c r="H263" s="145" t="n"/>
      <c r="I263" s="145" t="n"/>
      <c r="J263" s="145" t="n"/>
      <c r="K263" s="145" t="n"/>
      <c r="L263" s="145" t="n"/>
      <c r="M263" s="145" t="n"/>
      <c r="N263" s="145" t="n"/>
      <c r="O263" s="145" t="inlineStr">
        <is>
          <t>9692 Haven Ave, Rancho Cucamonga 91730 (San Bernardino)</t>
        </is>
      </c>
      <c r="P263" s="145" t="inlineStr">
        <is>
          <t>21.6</t>
        </is>
      </c>
      <c r="Q263" s="145" t="inlineStr">
        <is>
          <t>3.4</t>
        </is>
      </c>
      <c r="R263" s="145" t="n"/>
      <c r="S263" s="145" t="inlineStr">
        <is>
          <t>44663588</t>
        </is>
      </c>
      <c r="T263" s="145" t="n"/>
      <c r="U263" s="145" t="inlineStr">
        <is>
          <t>logged — no data found</t>
        </is>
      </c>
      <c r="V263" s="145" t="n"/>
    </row>
    <row r="264">
      <c r="A264" s="145" t="inlineStr">
        <is>
          <t>E</t>
        </is>
      </c>
      <c r="B264" s="145" t="inlineStr">
        <is>
          <t>🥈 unknown/silent</t>
        </is>
      </c>
      <c r="C264" s="145" t="inlineStr">
        <is>
          <t>W S S C CU</t>
        </is>
      </c>
      <c r="D264" s="145" t="inlineStr">
        <is>
          <t>Credit Union</t>
        </is>
      </c>
      <c r="E264" s="145" t="n"/>
      <c r="F264" s="145" t="n"/>
      <c r="G264" s="145" t="n"/>
      <c r="H264" s="145" t="n"/>
      <c r="I264" s="145" t="n"/>
      <c r="J264" s="145" t="n"/>
      <c r="K264" s="145" t="n"/>
      <c r="L264" s="145" t="n"/>
      <c r="M264" s="145" t="n"/>
      <c r="N264" s="145" t="n"/>
      <c r="O264" s="145" t="inlineStr">
        <is>
          <t>9692 Haven Ave, Rancho Cucamonga 91730 (San Bernardino)</t>
        </is>
      </c>
      <c r="P264" s="145" t="inlineStr">
        <is>
          <t>21.6</t>
        </is>
      </c>
      <c r="Q264" s="145" t="inlineStr">
        <is>
          <t>3.4</t>
        </is>
      </c>
      <c r="R264" s="145" t="n"/>
      <c r="S264" s="145" t="inlineStr">
        <is>
          <t>34955726</t>
        </is>
      </c>
      <c r="T264" s="145" t="n"/>
      <c r="U264" s="145" t="inlineStr">
        <is>
          <t>logged — no data found</t>
        </is>
      </c>
      <c r="V264" s="145" t="n"/>
    </row>
    <row r="265">
      <c r="A265" s="145" t="inlineStr">
        <is>
          <t>E</t>
        </is>
      </c>
      <c r="B265" s="145" t="inlineStr">
        <is>
          <t>🥈 unknown/silent</t>
        </is>
      </c>
      <c r="C265" s="145" t="inlineStr">
        <is>
          <t>VALLEY AGRICULTURAL</t>
        </is>
      </c>
      <c r="D265" s="145" t="inlineStr">
        <is>
          <t>Credit Union</t>
        </is>
      </c>
      <c r="E265" s="145" t="n"/>
      <c r="F265" s="145" t="n"/>
      <c r="G265" s="145" t="n"/>
      <c r="H265" s="145" t="n"/>
      <c r="I265" s="145" t="n"/>
      <c r="J265" s="145" t="n"/>
      <c r="K265" s="145" t="n"/>
      <c r="L265" s="145" t="n"/>
      <c r="M265" s="145" t="n"/>
      <c r="N265" s="145" t="n"/>
      <c r="O265" s="145" t="inlineStr">
        <is>
          <t>27770 Entertainment Dr, Valencia 91355 (Los Angeles)</t>
        </is>
      </c>
      <c r="P265" s="145" t="inlineStr">
        <is>
          <t>24.8</t>
        </is>
      </c>
      <c r="Q265" s="145" t="inlineStr">
        <is>
          <t>33.4</t>
        </is>
      </c>
      <c r="R265" s="145" t="n"/>
      <c r="S265" s="145" t="inlineStr">
        <is>
          <t>4755068</t>
        </is>
      </c>
      <c r="T265" s="145" t="n"/>
      <c r="U265" s="145" t="inlineStr">
        <is>
          <t>logged — no data found</t>
        </is>
      </c>
      <c r="V265" s="145" t="n"/>
    </row>
  </sheetData>
  <mergeCells count="7">
    <mergeCell ref="A2:V2"/>
    <mergeCell ref="A210:V210"/>
    <mergeCell ref="A19:V19"/>
    <mergeCell ref="A1:V1"/>
    <mergeCell ref="A5:V5"/>
    <mergeCell ref="A259:V259"/>
    <mergeCell ref="A25:V25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4" customWidth="1" min="4" max="4"/>
    <col width="20" customWidth="1" min="5" max="5"/>
    <col width="24" customWidth="1" min="6" max="6"/>
    <col width="58" customWidth="1" min="7" max="7"/>
  </cols>
  <sheetData>
    <row r="1">
      <c r="A1" s="113" t="inlineStr">
        <is>
          <t>NCUA CREDIT-UNION BRANCH CENSUS — every CU with a branch in the 4 counties (2026-06-09)</t>
        </is>
      </c>
    </row>
    <row r="2">
      <c r="A2" s="114" t="inlineStr">
        <is>
          <t>Source: ncua.gov quarterly call-report data 2026-03 ('Credit Union Branch Information' + FS220 assets). 140 CUs → 43 covered / 97 GAPS (most SEG/employer-gated). ⭐ green = screen-first queue. This census is the fix for the LAFCU-class misses (asset-rank blind spot). Re-run quarterly.</t>
        </is>
      </c>
    </row>
    <row r="4">
      <c r="A4" s="115" t="inlineStr">
        <is>
          <t>CU #</t>
        </is>
      </c>
      <c r="B4" s="115" t="inlineStr">
        <is>
          <t>Credit Union</t>
        </is>
      </c>
      <c r="C4" s="115" t="inlineStr">
        <is>
          <t>Assets ($)</t>
        </is>
      </c>
      <c r="D4" s="115" t="inlineStr">
        <is>
          <t>Branches (4 cty)</t>
        </is>
      </c>
      <c r="E4" s="115" t="inlineStr">
        <is>
          <t>Counties</t>
        </is>
      </c>
      <c r="F4" s="115" t="inlineStr">
        <is>
          <t>Status</t>
        </is>
      </c>
      <c r="G4" s="115" t="inlineStr">
        <is>
          <t>Note</t>
        </is>
      </c>
    </row>
    <row r="5">
      <c r="A5" s="121" t="inlineStr">
        <is>
          <t>24694</t>
        </is>
      </c>
      <c r="B5" s="120" t="inlineStr">
        <is>
          <t>AMERICA FIRST</t>
        </is>
      </c>
      <c r="C5" s="121" t="n">
        <v>24729579208</v>
      </c>
      <c r="D5" s="121" t="n">
        <v>1</v>
      </c>
      <c r="E5" s="121" t="inlineStr">
        <is>
          <t xml:space="preserve">San </t>
        </is>
      </c>
      <c r="F5" s="119" t="inlineStr">
        <is>
          <t>GAP — never evaluated</t>
        </is>
      </c>
      <c r="G5" s="129" t="inlineStr">
        <is>
          <t>⭐ SCREEN FIRST: $24.7B; major business-card CU (UT) — top screen</t>
        </is>
      </c>
    </row>
    <row r="6">
      <c r="A6" s="121" t="inlineStr">
        <is>
          <t>15732</t>
        </is>
      </c>
      <c r="B6" s="120" t="inlineStr">
        <is>
          <t>COMMUNITYAMERICA</t>
        </is>
      </c>
      <c r="C6" s="121" t="n">
        <v>8983073793</v>
      </c>
      <c r="D6" s="121" t="n">
        <v>15</v>
      </c>
      <c r="E6" s="121" t="inlineStr">
        <is>
          <t>Los +Oran</t>
        </is>
      </c>
      <c r="F6" s="119" t="inlineStr">
        <is>
          <t>GAP — never evaluated</t>
        </is>
      </c>
      <c r="G6" s="129" t="inlineStr">
        <is>
          <t>⭐ SCREEN FIRST: ex-UNIFY 15 LA/OC branches; has biz banking</t>
        </is>
      </c>
    </row>
    <row r="7">
      <c r="A7" s="121" t="inlineStr">
        <is>
          <t>24877</t>
        </is>
      </c>
      <c r="B7" s="120" t="inlineStr">
        <is>
          <t>FIREFIGHTERS FIRST</t>
        </is>
      </c>
      <c r="C7" s="121" t="n">
        <v>2470349300</v>
      </c>
      <c r="D7" s="121" t="n">
        <v>6</v>
      </c>
      <c r="E7" s="121" t="inlineStr">
        <is>
          <t xml:space="preserve">Los +Oran+Rive+San </t>
        </is>
      </c>
      <c r="F7" s="119" t="inlineStr">
        <is>
          <t>GAP — never evaluated</t>
        </is>
      </c>
      <c r="G7" s="129" t="inlineStr">
        <is>
          <t>⭐ SCREEN FIRST: 6 br, all 4 counties; fire-family biz services</t>
        </is>
      </c>
    </row>
    <row r="8">
      <c r="A8" s="121" t="inlineStr">
        <is>
          <t>24802</t>
        </is>
      </c>
      <c r="B8" s="120" t="inlineStr">
        <is>
          <t>SELF-HELP</t>
        </is>
      </c>
      <c r="C8" s="121" t="n">
        <v>2405735320</v>
      </c>
      <c r="D8" s="121" t="n">
        <v>2</v>
      </c>
      <c r="E8" s="121" t="inlineStr">
        <is>
          <t xml:space="preserve">Los </t>
        </is>
      </c>
      <c r="F8" s="119" t="inlineStr">
        <is>
          <t>GAP — never evaluated</t>
        </is>
      </c>
      <c r="G8" s="129" t="inlineStr">
        <is>
          <t>⭐ SCREEN FIRST: CDFI business lender</t>
        </is>
      </c>
    </row>
    <row r="9">
      <c r="A9" s="121" t="inlineStr">
        <is>
          <t>97068</t>
        </is>
      </c>
      <c r="B9" s="120" t="inlineStr">
        <is>
          <t>CHRISTIAN COMMUNITY</t>
        </is>
      </c>
      <c r="C9" s="121" t="n">
        <v>1443573352</v>
      </c>
      <c r="D9" s="121" t="n">
        <v>2</v>
      </c>
      <c r="E9" s="121" t="inlineStr">
        <is>
          <t>Los +Oran</t>
        </is>
      </c>
      <c r="F9" s="119" t="inlineStr">
        <is>
          <t>GAP — never evaluated</t>
        </is>
      </c>
      <c r="G9" s="129" t="inlineStr">
        <is>
          <t>⭐ SCREEN FIRST: San Dimas; biz lending (Chex-puller per DoC)</t>
        </is>
      </c>
    </row>
    <row r="10">
      <c r="A10" s="121" t="inlineStr">
        <is>
          <t>68485</t>
        </is>
      </c>
      <c r="B10" s="120" t="inlineStr">
        <is>
          <t>AMERICAN FIRST</t>
        </is>
      </c>
      <c r="C10" s="121" t="n">
        <v>1310342468</v>
      </c>
      <c r="D10" s="121" t="n">
        <v>5</v>
      </c>
      <c r="E10" s="121" t="inlineStr">
        <is>
          <t>Oran+Rive</t>
        </is>
      </c>
      <c r="F10" s="119" t="inlineStr">
        <is>
          <t>GAP — never evaluated</t>
        </is>
      </c>
      <c r="G10" s="129" t="inlineStr">
        <is>
          <t>⭐ SCREEN FIRST: Brea; OC+Riverside</t>
        </is>
      </c>
    </row>
    <row r="11">
      <c r="A11" s="121" t="inlineStr">
        <is>
          <t>9230</t>
        </is>
      </c>
      <c r="B11" s="120" t="inlineStr">
        <is>
          <t>CERTIFIED</t>
        </is>
      </c>
      <c r="C11" s="121" t="n">
        <v>919973315</v>
      </c>
      <c r="D11" s="121" t="n">
        <v>10</v>
      </c>
      <c r="E11" s="121" t="inlineStr">
        <is>
          <t xml:space="preserve">Los +Oran+San </t>
        </is>
      </c>
      <c r="F11" s="119" t="inlineStr">
        <is>
          <t>GAP — never evaluated</t>
        </is>
      </c>
      <c r="G11" s="129" t="inlineStr">
        <is>
          <t>⭐ SCREEN FIRST: 10 branches</t>
        </is>
      </c>
    </row>
    <row r="12">
      <c r="A12" s="121" t="inlineStr">
        <is>
          <t>24875</t>
        </is>
      </c>
      <c r="B12" s="120" t="inlineStr">
        <is>
          <t>THE FIRST FINANCIAL</t>
        </is>
      </c>
      <c r="C12" s="121" t="n">
        <v>746455820</v>
      </c>
      <c r="D12" s="121" t="n">
        <v>8</v>
      </c>
      <c r="E12" s="121" t="inlineStr">
        <is>
          <t xml:space="preserve">Los +San </t>
        </is>
      </c>
      <c r="F12" s="119" t="inlineStr">
        <is>
          <t>GAP — never evaluated</t>
        </is>
      </c>
      <c r="G12" s="129" t="inlineStr">
        <is>
          <t>⭐ SCREEN FIRST: 8 branches LA+SB</t>
        </is>
      </c>
    </row>
    <row r="13">
      <c r="A13" s="121" t="inlineStr">
        <is>
          <t>8187</t>
        </is>
      </c>
      <c r="B13" s="120" t="inlineStr">
        <is>
          <t>AMERICAN UNITED</t>
        </is>
      </c>
      <c r="C13" s="121" t="n">
        <v>394236316</v>
      </c>
      <c r="D13" s="121" t="n">
        <v>3</v>
      </c>
      <c r="E13" s="121" t="inlineStr">
        <is>
          <t>Rive</t>
        </is>
      </c>
      <c r="F13" s="119" t="inlineStr">
        <is>
          <t>GAP — never evaluated</t>
        </is>
      </c>
      <c r="G13" s="129" t="inlineStr">
        <is>
          <t>⭐ SCREEN FIRST: Riverside x3</t>
        </is>
      </c>
    </row>
    <row r="14">
      <c r="A14" s="121" t="inlineStr">
        <is>
          <t>68483</t>
        </is>
      </c>
      <c r="B14" s="120" t="inlineStr">
        <is>
          <t>MATADORS COMMUNITY</t>
        </is>
      </c>
      <c r="C14" s="121" t="n">
        <v>359947577</v>
      </c>
      <c r="D14" s="121" t="n">
        <v>1</v>
      </c>
      <c r="E14" s="121" t="inlineStr">
        <is>
          <t xml:space="preserve">Los </t>
        </is>
      </c>
      <c r="F14" s="119" t="inlineStr">
        <is>
          <t>GAP — never evaluated</t>
        </is>
      </c>
      <c r="G14" s="129" t="inlineStr">
        <is>
          <t>⭐ SCREEN FIRST: CSUN-area</t>
        </is>
      </c>
    </row>
    <row r="15">
      <c r="A15" s="121" t="inlineStr">
        <is>
          <t>11870</t>
        </is>
      </c>
      <c r="B15" s="120" t="inlineStr">
        <is>
          <t>DOWNEY</t>
        </is>
      </c>
      <c r="C15" s="121" t="n">
        <v>331199402</v>
      </c>
      <c r="D15" s="121" t="n">
        <v>3</v>
      </c>
      <c r="E15" s="121" t="inlineStr">
        <is>
          <t xml:space="preserve">Los </t>
        </is>
      </c>
      <c r="F15" s="119" t="inlineStr">
        <is>
          <t>GAP — never evaluated</t>
        </is>
      </c>
      <c r="G15" s="129" t="inlineStr">
        <is>
          <t>⭐ SCREEN FIRST: 3 br LA</t>
        </is>
      </c>
    </row>
    <row r="16">
      <c r="A16" s="121" t="inlineStr">
        <is>
          <t>60024</t>
        </is>
      </c>
      <c r="B16" s="120" t="inlineStr">
        <is>
          <t>PRIORITY ONE</t>
        </is>
      </c>
      <c r="C16" s="121" t="n">
        <v>205736783</v>
      </c>
      <c r="D16" s="121" t="n">
        <v>3</v>
      </c>
      <c r="E16" s="121" t="inlineStr">
        <is>
          <t xml:space="preserve">Los </t>
        </is>
      </c>
      <c r="F16" s="119" t="inlineStr">
        <is>
          <t>GAP — never evaluated</t>
        </is>
      </c>
      <c r="G16" s="129" t="inlineStr">
        <is>
          <t>⭐ SCREEN FIRST: 3 br LA</t>
        </is>
      </c>
    </row>
    <row r="17">
      <c r="A17" s="121" t="inlineStr">
        <is>
          <t>23957</t>
        </is>
      </c>
      <c r="B17" s="120" t="inlineStr">
        <is>
          <t>AMERICAN AIRLINES</t>
        </is>
      </c>
      <c r="C17" s="121" t="n">
        <v>9448440753</v>
      </c>
      <c r="D17" s="121" t="n">
        <v>2</v>
      </c>
      <c r="E17" s="121" t="inlineStr">
        <is>
          <t xml:space="preserve">Los </t>
        </is>
      </c>
      <c r="F17" s="119" t="inlineStr">
        <is>
          <t>GAP — never evaluated</t>
        </is>
      </c>
      <c r="G17" s="121" t="inlineStr">
        <is>
          <t>likely SEG/employer-gated — verify FOM + biz card</t>
        </is>
      </c>
    </row>
    <row r="18">
      <c r="A18" s="121" t="inlineStr">
        <is>
          <t>68187</t>
        </is>
      </c>
      <c r="B18" s="120" t="inlineStr">
        <is>
          <t>BAXTER</t>
        </is>
      </c>
      <c r="C18" s="121" t="n">
        <v>6501796742</v>
      </c>
      <c r="D18" s="121" t="n">
        <v>2</v>
      </c>
      <c r="E18" s="121" t="inlineStr">
        <is>
          <t>Los +Oran</t>
        </is>
      </c>
      <c r="F18" s="119" t="inlineStr">
        <is>
          <t>GAP — never evaluated</t>
        </is>
      </c>
      <c r="G18" s="121" t="inlineStr">
        <is>
          <t>likely SEG/employer-gated — verify FOM + biz card</t>
        </is>
      </c>
    </row>
    <row r="19">
      <c r="A19" s="121" t="inlineStr">
        <is>
          <t>24326</t>
        </is>
      </c>
      <c r="B19" s="120" t="inlineStr">
        <is>
          <t>CHEVRON</t>
        </is>
      </c>
      <c r="C19" s="121" t="n">
        <v>5440106627</v>
      </c>
      <c r="D19" s="121" t="n">
        <v>1</v>
      </c>
      <c r="E19" s="121" t="inlineStr">
        <is>
          <t xml:space="preserve">Los </t>
        </is>
      </c>
      <c r="F19" s="119" t="inlineStr">
        <is>
          <t>GAP — never evaluated</t>
        </is>
      </c>
      <c r="G19" s="121" t="inlineStr">
        <is>
          <t>likely SEG/employer-gated — verify FOM + biz card</t>
        </is>
      </c>
    </row>
    <row r="20">
      <c r="A20" s="121" t="inlineStr">
        <is>
          <t>62715</t>
        </is>
      </c>
      <c r="B20" s="120" t="inlineStr">
        <is>
          <t>TOGETHER</t>
        </is>
      </c>
      <c r="C20" s="121" t="n">
        <v>2722399325</v>
      </c>
      <c r="D20" s="121" t="n">
        <v>1</v>
      </c>
      <c r="E20" s="121" t="inlineStr">
        <is>
          <t xml:space="preserve">Los </t>
        </is>
      </c>
      <c r="F20" s="119" t="inlineStr">
        <is>
          <t>GAP — never evaluated</t>
        </is>
      </c>
      <c r="G20" s="121" t="inlineStr">
        <is>
          <t>likely SEG/employer-gated — verify FOM + biz card</t>
        </is>
      </c>
    </row>
    <row r="21">
      <c r="A21" s="121" t="inlineStr">
        <is>
          <t>6681</t>
        </is>
      </c>
      <c r="B21" s="120" t="inlineStr">
        <is>
          <t>CALTECH EMPLOYEES</t>
        </is>
      </c>
      <c r="C21" s="121" t="n">
        <v>2176332001</v>
      </c>
      <c r="D21" s="121" t="n">
        <v>4</v>
      </c>
      <c r="E21" s="121" t="inlineStr">
        <is>
          <t xml:space="preserve">Los </t>
        </is>
      </c>
      <c r="F21" s="119" t="inlineStr">
        <is>
          <t>GAP — never evaluated</t>
        </is>
      </c>
      <c r="G21" s="121" t="inlineStr">
        <is>
          <t>likely SEG/employer-gated — verify FOM + biz card</t>
        </is>
      </c>
    </row>
    <row r="22">
      <c r="A22" s="121" t="inlineStr">
        <is>
          <t>24808</t>
        </is>
      </c>
      <c r="B22" s="120" t="inlineStr">
        <is>
          <t>SKYLA</t>
        </is>
      </c>
      <c r="C22" s="121" t="n">
        <v>1656044095</v>
      </c>
      <c r="D22" s="121" t="n">
        <v>1</v>
      </c>
      <c r="E22" s="121" t="inlineStr">
        <is>
          <t xml:space="preserve">Los </t>
        </is>
      </c>
      <c r="F22" s="119" t="inlineStr">
        <is>
          <t>GAP — never evaluated</t>
        </is>
      </c>
      <c r="G22" s="121" t="inlineStr">
        <is>
          <t>likely SEG/employer-gated — verify FOM + biz card</t>
        </is>
      </c>
    </row>
    <row r="23">
      <c r="A23" s="121" t="inlineStr">
        <is>
          <t>24292</t>
        </is>
      </c>
      <c r="B23" s="120" t="inlineStr">
        <is>
          <t>NORTHROP GRUMMAN</t>
        </is>
      </c>
      <c r="C23" s="121" t="n">
        <v>1653497637</v>
      </c>
      <c r="D23" s="121" t="n">
        <v>8</v>
      </c>
      <c r="E23" s="121" t="inlineStr">
        <is>
          <t xml:space="preserve">Los </t>
        </is>
      </c>
      <c r="F23" s="119" t="inlineStr">
        <is>
          <t>GAP — never evaluated</t>
        </is>
      </c>
      <c r="G23" s="121" t="inlineStr">
        <is>
          <t>likely SEG/employer-gated — verify FOM + biz card</t>
        </is>
      </c>
    </row>
    <row r="24">
      <c r="A24" s="121" t="inlineStr">
        <is>
          <t>24235</t>
        </is>
      </c>
      <c r="B24" s="120" t="inlineStr">
        <is>
          <t>OPERATING ENGINEERS LOCAL UNION #3</t>
        </is>
      </c>
      <c r="C24" s="121" t="n">
        <v>1650775391</v>
      </c>
      <c r="D24" s="121" t="n">
        <v>2</v>
      </c>
      <c r="E24" s="121" t="inlineStr">
        <is>
          <t>Los +Oran</t>
        </is>
      </c>
      <c r="F24" s="119" t="inlineStr">
        <is>
          <t>GAP — never evaluated</t>
        </is>
      </c>
      <c r="G24" s="121" t="inlineStr">
        <is>
          <t>likely SEG/employer-gated — verify FOM + biz card</t>
        </is>
      </c>
    </row>
    <row r="25">
      <c r="A25" s="121" t="inlineStr">
        <is>
          <t>17623</t>
        </is>
      </c>
      <c r="B25" s="120" t="inlineStr">
        <is>
          <t>HONDA</t>
        </is>
      </c>
      <c r="C25" s="121" t="n">
        <v>1204192574</v>
      </c>
      <c r="D25" s="121" t="n">
        <v>2</v>
      </c>
      <c r="E25" s="121" t="inlineStr">
        <is>
          <t xml:space="preserve">Los </t>
        </is>
      </c>
      <c r="F25" s="119" t="inlineStr">
        <is>
          <t>GAP — never evaluated</t>
        </is>
      </c>
      <c r="G25" s="121" t="inlineStr">
        <is>
          <t>likely SEG/employer-gated — verify FOM + biz card</t>
        </is>
      </c>
    </row>
    <row r="26">
      <c r="A26" s="121" t="inlineStr">
        <is>
          <t>64171</t>
        </is>
      </c>
      <c r="B26" s="120" t="inlineStr">
        <is>
          <t>UNIVERSITY</t>
        </is>
      </c>
      <c r="C26" s="121" t="n">
        <v>1187569456</v>
      </c>
      <c r="D26" s="121" t="n">
        <v>3</v>
      </c>
      <c r="E26" s="121" t="inlineStr">
        <is>
          <t xml:space="preserve">Los </t>
        </is>
      </c>
      <c r="F26" s="119" t="inlineStr">
        <is>
          <t>GAP — never evaluated</t>
        </is>
      </c>
      <c r="G26" s="121" t="inlineStr">
        <is>
          <t>likely SEG/employer-gated — verify FOM + biz card</t>
        </is>
      </c>
    </row>
    <row r="27">
      <c r="A27" s="121" t="inlineStr">
        <is>
          <t>151</t>
        </is>
      </c>
      <c r="B27" s="120" t="inlineStr">
        <is>
          <t>JUSTICE</t>
        </is>
      </c>
      <c r="C27" s="121" t="n">
        <v>1158996534</v>
      </c>
      <c r="D27" s="121" t="n">
        <v>1</v>
      </c>
      <c r="E27" s="121" t="inlineStr">
        <is>
          <t xml:space="preserve">Los </t>
        </is>
      </c>
      <c r="F27" s="119" t="inlineStr">
        <is>
          <t>GAP — never evaluated</t>
        </is>
      </c>
      <c r="G27" s="121" t="inlineStr">
        <is>
          <t>likely SEG/employer-gated — verify FOM + biz card</t>
        </is>
      </c>
    </row>
    <row r="28">
      <c r="A28" s="121" t="inlineStr">
        <is>
          <t>21751</t>
        </is>
      </c>
      <c r="B28" s="120" t="inlineStr">
        <is>
          <t>FEDEX EMPLOYEES CREDIT ASSOCIATION</t>
        </is>
      </c>
      <c r="C28" s="121" t="n">
        <v>641452230</v>
      </c>
      <c r="D28" s="121" t="n">
        <v>1</v>
      </c>
      <c r="E28" s="121" t="inlineStr">
        <is>
          <t xml:space="preserve">Los </t>
        </is>
      </c>
      <c r="F28" s="119" t="inlineStr">
        <is>
          <t>GAP — never evaluated</t>
        </is>
      </c>
      <c r="G28" s="121" t="inlineStr">
        <is>
          <t>likely SEG/employer-gated — verify FOM + biz card</t>
        </is>
      </c>
    </row>
    <row r="29">
      <c r="A29" s="121" t="inlineStr">
        <is>
          <t>24916</t>
        </is>
      </c>
      <c r="B29" s="120" t="inlineStr">
        <is>
          <t>I.L.W.U.</t>
        </is>
      </c>
      <c r="C29" s="121" t="n">
        <v>601926772</v>
      </c>
      <c r="D29" s="121" t="n">
        <v>3</v>
      </c>
      <c r="E29" s="121" t="inlineStr">
        <is>
          <t xml:space="preserve">Los </t>
        </is>
      </c>
      <c r="F29" s="119" t="inlineStr">
        <is>
          <t>GAP — never evaluated</t>
        </is>
      </c>
      <c r="G29" s="121" t="inlineStr">
        <is>
          <t>likely SEG/employer-gated — verify FOM + biz card</t>
        </is>
      </c>
    </row>
    <row r="30">
      <c r="A30" s="121" t="inlineStr">
        <is>
          <t>24927</t>
        </is>
      </c>
      <c r="B30" s="120" t="inlineStr">
        <is>
          <t>CREDIT UNION OF NEW JERSEY, A</t>
        </is>
      </c>
      <c r="C30" s="121" t="n">
        <v>503973515</v>
      </c>
      <c r="D30" s="121" t="n">
        <v>1</v>
      </c>
      <c r="E30" s="121" t="inlineStr">
        <is>
          <t>Oran</t>
        </is>
      </c>
      <c r="F30" s="119" t="inlineStr">
        <is>
          <t>GAP — never evaluated</t>
        </is>
      </c>
      <c r="G30" s="121" t="inlineStr">
        <is>
          <t>likely SEG/employer-gated — verify FOM + biz card</t>
        </is>
      </c>
    </row>
    <row r="31">
      <c r="A31" s="121" t="inlineStr">
        <is>
          <t>3943</t>
        </is>
      </c>
      <c r="B31" s="120" t="inlineStr">
        <is>
          <t>GAIN</t>
        </is>
      </c>
      <c r="C31" s="121" t="n">
        <v>439328634</v>
      </c>
      <c r="D31" s="121" t="n">
        <v>2</v>
      </c>
      <c r="E31" s="121" t="inlineStr">
        <is>
          <t xml:space="preserve">Los </t>
        </is>
      </c>
      <c r="F31" s="119" t="inlineStr">
        <is>
          <t>GAP — never evaluated</t>
        </is>
      </c>
      <c r="G31" s="121" t="inlineStr">
        <is>
          <t>likely SEG/employer-gated — verify FOM + biz card</t>
        </is>
      </c>
    </row>
    <row r="32">
      <c r="A32" s="121" t="inlineStr">
        <is>
          <t>14723</t>
        </is>
      </c>
      <c r="B32" s="120" t="inlineStr">
        <is>
          <t>AEROSPACE</t>
        </is>
      </c>
      <c r="C32" s="121" t="n">
        <v>422785090</v>
      </c>
      <c r="D32" s="121" t="n">
        <v>1</v>
      </c>
      <c r="E32" s="121" t="inlineStr">
        <is>
          <t xml:space="preserve">Los </t>
        </is>
      </c>
      <c r="F32" s="119" t="inlineStr">
        <is>
          <t>GAP — never evaluated</t>
        </is>
      </c>
      <c r="G32" s="121" t="inlineStr">
        <is>
          <t>likely SEG/employer-gated — verify FOM + biz card</t>
        </is>
      </c>
    </row>
    <row r="33">
      <c r="A33" s="121" t="inlineStr">
        <is>
          <t>97101</t>
        </is>
      </c>
      <c r="B33" s="120" t="inlineStr">
        <is>
          <t>GLENDALE AREA SCHOOLS</t>
        </is>
      </c>
      <c r="C33" s="121" t="n">
        <v>421654861</v>
      </c>
      <c r="D33" s="121" t="n">
        <v>2</v>
      </c>
      <c r="E33" s="121" t="inlineStr">
        <is>
          <t xml:space="preserve">Los </t>
        </is>
      </c>
      <c r="F33" s="119" t="inlineStr">
        <is>
          <t>GAP — never evaluated</t>
        </is>
      </c>
      <c r="G33" s="121" t="inlineStr">
        <is>
          <t>likely SEG/employer-gated — verify FOM + biz card</t>
        </is>
      </c>
    </row>
    <row r="34">
      <c r="A34" s="121" t="inlineStr">
        <is>
          <t>95071</t>
        </is>
      </c>
      <c r="B34" s="120" t="inlineStr">
        <is>
          <t>CAHP</t>
        </is>
      </c>
      <c r="C34" s="121" t="n">
        <v>403972301</v>
      </c>
      <c r="D34" s="121" t="n">
        <v>1</v>
      </c>
      <c r="E34" s="121" t="inlineStr">
        <is>
          <t xml:space="preserve">San </t>
        </is>
      </c>
      <c r="F34" s="119" t="inlineStr">
        <is>
          <t>GAP — never evaluated</t>
        </is>
      </c>
      <c r="G34" s="121" t="inlineStr">
        <is>
          <t>likely SEG/employer-gated — verify FOM + biz card</t>
        </is>
      </c>
    </row>
    <row r="35">
      <c r="A35" s="121" t="inlineStr">
        <is>
          <t>23004</t>
        </is>
      </c>
      <c r="B35" s="120" t="inlineStr">
        <is>
          <t>POPA</t>
        </is>
      </c>
      <c r="C35" s="121" t="n">
        <v>399419595</v>
      </c>
      <c r="D35" s="121" t="n">
        <v>4</v>
      </c>
      <c r="E35" s="121" t="inlineStr">
        <is>
          <t xml:space="preserve">Los </t>
        </is>
      </c>
      <c r="F35" s="119" t="inlineStr">
        <is>
          <t>GAP — never evaluated</t>
        </is>
      </c>
      <c r="G35" s="121" t="inlineStr">
        <is>
          <t>likely SEG/employer-gated — verify FOM + biz card</t>
        </is>
      </c>
    </row>
    <row r="36">
      <c r="A36" s="121" t="inlineStr">
        <is>
          <t>15317</t>
        </is>
      </c>
      <c r="B36" s="120" t="inlineStr">
        <is>
          <t>SAG-AFTRA</t>
        </is>
      </c>
      <c r="C36" s="121" t="n">
        <v>340594835</v>
      </c>
      <c r="D36" s="121" t="n">
        <v>4</v>
      </c>
      <c r="E36" s="121" t="inlineStr">
        <is>
          <t xml:space="preserve">Los </t>
        </is>
      </c>
      <c r="F36" s="119" t="inlineStr">
        <is>
          <t>GAP — never evaluated</t>
        </is>
      </c>
      <c r="G36" s="121" t="inlineStr">
        <is>
          <t>likely SEG/employer-gated — verify FOM + biz card</t>
        </is>
      </c>
    </row>
    <row r="37">
      <c r="A37" s="121" t="inlineStr">
        <is>
          <t>15358</t>
        </is>
      </c>
      <c r="B37" s="120" t="inlineStr">
        <is>
          <t>ACTORS</t>
        </is>
      </c>
      <c r="C37" s="121" t="n">
        <v>334790375</v>
      </c>
      <c r="D37" s="121" t="n">
        <v>2</v>
      </c>
      <c r="E37" s="121" t="inlineStr">
        <is>
          <t xml:space="preserve">Los </t>
        </is>
      </c>
      <c r="F37" s="119" t="inlineStr">
        <is>
          <t>GAP — never evaluated</t>
        </is>
      </c>
      <c r="G37" s="121" t="inlineStr">
        <is>
          <t>likely SEG/employer-gated — verify FOM + biz card</t>
        </is>
      </c>
    </row>
    <row r="38">
      <c r="A38" s="121" t="inlineStr">
        <is>
          <t>3945</t>
        </is>
      </c>
      <c r="B38" s="120" t="inlineStr">
        <is>
          <t>UME</t>
        </is>
      </c>
      <c r="C38" s="121" t="n">
        <v>334142032</v>
      </c>
      <c r="D38" s="121" t="n">
        <v>1</v>
      </c>
      <c r="E38" s="121" t="inlineStr">
        <is>
          <t xml:space="preserve">Los </t>
        </is>
      </c>
      <c r="F38" s="119" t="inlineStr">
        <is>
          <t>GAP — never evaluated</t>
        </is>
      </c>
      <c r="G38" s="121" t="inlineStr">
        <is>
          <t>likely SEG/employer-gated — verify FOM + biz card</t>
        </is>
      </c>
    </row>
    <row r="39">
      <c r="A39" s="121" t="inlineStr">
        <is>
          <t>17127</t>
        </is>
      </c>
      <c r="B39" s="120" t="inlineStr">
        <is>
          <t>TRUGROCER</t>
        </is>
      </c>
      <c r="C39" s="121" t="n">
        <v>319382979</v>
      </c>
      <c r="D39" s="121" t="n">
        <v>1</v>
      </c>
      <c r="E39" s="121" t="inlineStr">
        <is>
          <t>Oran</t>
        </is>
      </c>
      <c r="F39" s="119" t="inlineStr">
        <is>
          <t>GAP — never evaluated</t>
        </is>
      </c>
      <c r="G39" s="121" t="inlineStr">
        <is>
          <t>likely SEG/employer-gated — verify FOM + biz card</t>
        </is>
      </c>
    </row>
    <row r="40">
      <c r="A40" s="121" t="inlineStr">
        <is>
          <t>16402</t>
        </is>
      </c>
      <c r="B40" s="120" t="inlineStr">
        <is>
          <t>U S POSTAL SERVICE</t>
        </is>
      </c>
      <c r="C40" s="121" t="n">
        <v>286334485</v>
      </c>
      <c r="D40" s="121" t="n">
        <v>1</v>
      </c>
      <c r="E40" s="121" t="inlineStr">
        <is>
          <t xml:space="preserve">Los </t>
        </is>
      </c>
      <c r="F40" s="119" t="inlineStr">
        <is>
          <t>GAP — never evaluated</t>
        </is>
      </c>
      <c r="G40" s="121" t="inlineStr">
        <is>
          <t>likely SEG/employer-gated — verify FOM + biz card</t>
        </is>
      </c>
    </row>
    <row r="41">
      <c r="A41" s="121" t="inlineStr">
        <is>
          <t>1438</t>
        </is>
      </c>
      <c r="B41" s="120" t="inlineStr">
        <is>
          <t>LONG BEACH CITY EMPLOYEES</t>
        </is>
      </c>
      <c r="C41" s="121" t="n">
        <v>279271327</v>
      </c>
      <c r="D41" s="121" t="n">
        <v>2</v>
      </c>
      <c r="E41" s="121" t="inlineStr">
        <is>
          <t xml:space="preserve">Los </t>
        </is>
      </c>
      <c r="F41" s="119" t="inlineStr">
        <is>
          <t>GAP — never evaluated</t>
        </is>
      </c>
      <c r="G41" s="121" t="inlineStr">
        <is>
          <t>likely SEG/employer-gated — verify FOM + biz card</t>
        </is>
      </c>
    </row>
    <row r="42">
      <c r="A42" s="121" t="inlineStr">
        <is>
          <t>14830</t>
        </is>
      </c>
      <c r="B42" s="120" t="inlineStr">
        <is>
          <t>EDWARDS</t>
        </is>
      </c>
      <c r="C42" s="121" t="n">
        <v>278913118</v>
      </c>
      <c r="D42" s="121" t="n">
        <v>1</v>
      </c>
      <c r="E42" s="121" t="inlineStr">
        <is>
          <t xml:space="preserve">Los </t>
        </is>
      </c>
      <c r="F42" s="119" t="inlineStr">
        <is>
          <t>GAP — never evaluated</t>
        </is>
      </c>
      <c r="G42" s="121" t="inlineStr">
        <is>
          <t>likely SEG/employer-gated — verify FOM + biz card</t>
        </is>
      </c>
    </row>
    <row r="43">
      <c r="A43" s="121" t="inlineStr">
        <is>
          <t>16030</t>
        </is>
      </c>
      <c r="B43" s="120" t="inlineStr">
        <is>
          <t>CHAFFEY</t>
        </is>
      </c>
      <c r="C43" s="121" t="n">
        <v>229064484</v>
      </c>
      <c r="D43" s="121" t="n">
        <v>4</v>
      </c>
      <c r="E43" s="121" t="inlineStr">
        <is>
          <t xml:space="preserve">Los +San </t>
        </is>
      </c>
      <c r="F43" s="119" t="inlineStr">
        <is>
          <t>GAP — never evaluated</t>
        </is>
      </c>
      <c r="G43" s="121" t="inlineStr">
        <is>
          <t>likely SEG/employer-gated — verify FOM + biz card</t>
        </is>
      </c>
    </row>
    <row r="44">
      <c r="A44" s="121" t="inlineStr">
        <is>
          <t>9556</t>
        </is>
      </c>
      <c r="B44" s="120" t="inlineStr">
        <is>
          <t>CLEARPATH</t>
        </is>
      </c>
      <c r="C44" s="121" t="n">
        <v>224391171</v>
      </c>
      <c r="D44" s="121" t="n">
        <v>2</v>
      </c>
      <c r="E44" s="121" t="inlineStr">
        <is>
          <t xml:space="preserve">Los </t>
        </is>
      </c>
      <c r="F44" s="119" t="inlineStr">
        <is>
          <t>GAP — never evaluated</t>
        </is>
      </c>
      <c r="G44" s="121" t="inlineStr">
        <is>
          <t>likely SEG/employer-gated — verify FOM + biz card</t>
        </is>
      </c>
    </row>
    <row r="45">
      <c r="A45" s="121" t="inlineStr">
        <is>
          <t>64531</t>
        </is>
      </c>
      <c r="B45" s="120" t="inlineStr">
        <is>
          <t>ALTA VISTA</t>
        </is>
      </c>
      <c r="C45" s="121" t="n">
        <v>211726159</v>
      </c>
      <c r="D45" s="121" t="n">
        <v>2</v>
      </c>
      <c r="E45" s="121" t="inlineStr">
        <is>
          <t xml:space="preserve">San </t>
        </is>
      </c>
      <c r="F45" s="119" t="inlineStr">
        <is>
          <t>GAP — never evaluated</t>
        </is>
      </c>
      <c r="G45" s="121" t="inlineStr">
        <is>
          <t>likely SEG/employer-gated — verify FOM + biz card</t>
        </is>
      </c>
    </row>
    <row r="46">
      <c r="A46" s="121" t="inlineStr">
        <is>
          <t>67921</t>
        </is>
      </c>
      <c r="B46" s="120" t="inlineStr">
        <is>
          <t>LONG BEACH FIREMEN S</t>
        </is>
      </c>
      <c r="C46" s="121" t="n">
        <v>204273146</v>
      </c>
      <c r="D46" s="121" t="n">
        <v>1</v>
      </c>
      <c r="E46" s="121" t="inlineStr">
        <is>
          <t xml:space="preserve">Los </t>
        </is>
      </c>
      <c r="F46" s="119" t="inlineStr">
        <is>
          <t>GAP — never evaluated</t>
        </is>
      </c>
      <c r="G46" s="121" t="inlineStr">
        <is>
          <t>likely SEG/employer-gated — verify FOM + biz card</t>
        </is>
      </c>
    </row>
    <row r="47">
      <c r="A47" s="121" t="inlineStr">
        <is>
          <t>62323</t>
        </is>
      </c>
      <c r="B47" s="120" t="inlineStr">
        <is>
          <t>E-CENTRAL</t>
        </is>
      </c>
      <c r="C47" s="121" t="n">
        <v>174543984</v>
      </c>
      <c r="D47" s="121" t="n">
        <v>1</v>
      </c>
      <c r="E47" s="121" t="inlineStr">
        <is>
          <t xml:space="preserve">Los </t>
        </is>
      </c>
      <c r="F47" s="119" t="inlineStr">
        <is>
          <t>GAP — never evaluated</t>
        </is>
      </c>
      <c r="G47" s="121" t="inlineStr">
        <is>
          <t>likely SEG/employer-gated — verify FOM + biz card</t>
        </is>
      </c>
    </row>
    <row r="48">
      <c r="A48" s="121" t="inlineStr">
        <is>
          <t>14542</t>
        </is>
      </c>
      <c r="B48" s="120" t="inlineStr">
        <is>
          <t>VIDA</t>
        </is>
      </c>
      <c r="C48" s="121" t="n">
        <v>172659135</v>
      </c>
      <c r="D48" s="121" t="n">
        <v>1</v>
      </c>
      <c r="E48" s="121" t="inlineStr">
        <is>
          <t xml:space="preserve">San </t>
        </is>
      </c>
      <c r="F48" s="119" t="inlineStr">
        <is>
          <t>GAP — never evaluated</t>
        </is>
      </c>
      <c r="G48" s="121" t="inlineStr">
        <is>
          <t>likely SEG/employer-gated — verify FOM + biz card</t>
        </is>
      </c>
    </row>
    <row r="49">
      <c r="A49" s="121" t="inlineStr">
        <is>
          <t>95052</t>
        </is>
      </c>
      <c r="B49" s="120" t="inlineStr">
        <is>
          <t>SOUTH BAY</t>
        </is>
      </c>
      <c r="C49" s="121" t="n">
        <v>164333499</v>
      </c>
      <c r="D49" s="121" t="n">
        <v>3</v>
      </c>
      <c r="E49" s="121" t="inlineStr">
        <is>
          <t xml:space="preserve">Los </t>
        </is>
      </c>
      <c r="F49" s="119" t="inlineStr">
        <is>
          <t>GAP — never evaluated</t>
        </is>
      </c>
      <c r="G49" s="121" t="inlineStr">
        <is>
          <t>likely SEG/employer-gated — verify FOM + biz card</t>
        </is>
      </c>
    </row>
    <row r="50">
      <c r="A50" s="121" t="inlineStr">
        <is>
          <t>12543</t>
        </is>
      </c>
      <c r="B50" s="120" t="inlineStr">
        <is>
          <t>TORRANCE COMMUNITY</t>
        </is>
      </c>
      <c r="C50" s="121" t="n">
        <v>160034712</v>
      </c>
      <c r="D50" s="121" t="n">
        <v>1</v>
      </c>
      <c r="E50" s="121" t="inlineStr">
        <is>
          <t xml:space="preserve">Los </t>
        </is>
      </c>
      <c r="F50" s="119" t="inlineStr">
        <is>
          <t>GAP — never evaluated</t>
        </is>
      </c>
      <c r="G50" s="121" t="inlineStr">
        <is>
          <t>likely SEG/employer-gated — verify FOM + biz card</t>
        </is>
      </c>
    </row>
    <row r="51">
      <c r="A51" s="121" t="inlineStr">
        <is>
          <t>5816</t>
        </is>
      </c>
      <c r="B51" s="120" t="inlineStr">
        <is>
          <t>INTERFAITH</t>
        </is>
      </c>
      <c r="C51" s="121" t="n">
        <v>135351514</v>
      </c>
      <c r="D51" s="121" t="n">
        <v>1</v>
      </c>
      <c r="E51" s="121" t="inlineStr">
        <is>
          <t xml:space="preserve">San </t>
        </is>
      </c>
      <c r="F51" s="119" t="inlineStr">
        <is>
          <t>GAP — never evaluated</t>
        </is>
      </c>
      <c r="G51" s="121" t="inlineStr">
        <is>
          <t>likely SEG/employer-gated — verify FOM + biz card</t>
        </is>
      </c>
    </row>
    <row r="52">
      <c r="A52" s="121" t="inlineStr">
        <is>
          <t>64191</t>
        </is>
      </c>
      <c r="B52" s="120" t="inlineStr">
        <is>
          <t>NORTH IOWA COMMUNITY</t>
        </is>
      </c>
      <c r="C52" s="121" t="n">
        <v>128521672</v>
      </c>
      <c r="D52" s="121" t="n">
        <v>1</v>
      </c>
      <c r="E52" s="121" t="inlineStr">
        <is>
          <t>Oran</t>
        </is>
      </c>
      <c r="F52" s="119" t="inlineStr">
        <is>
          <t>GAP — never evaluated</t>
        </is>
      </c>
      <c r="G52" s="121" t="inlineStr">
        <is>
          <t>likely SEG/employer-gated — verify FOM + biz card</t>
        </is>
      </c>
    </row>
    <row r="53">
      <c r="A53" s="121" t="inlineStr">
        <is>
          <t>7770</t>
        </is>
      </c>
      <c r="B53" s="120" t="inlineStr">
        <is>
          <t>THINKWISE</t>
        </is>
      </c>
      <c r="C53" s="121" t="n">
        <v>121225084</v>
      </c>
      <c r="D53" s="121" t="n">
        <v>2</v>
      </c>
      <c r="E53" s="121" t="inlineStr">
        <is>
          <t xml:space="preserve">San </t>
        </is>
      </c>
      <c r="F53" s="119" t="inlineStr">
        <is>
          <t>GAP — never evaluated</t>
        </is>
      </c>
      <c r="G53" s="121" t="inlineStr">
        <is>
          <t>likely SEG/employer-gated — verify FOM + biz card</t>
        </is>
      </c>
    </row>
    <row r="54">
      <c r="A54" s="121" t="inlineStr">
        <is>
          <t>7817</t>
        </is>
      </c>
      <c r="B54" s="120" t="inlineStr">
        <is>
          <t>SEA AIR</t>
        </is>
      </c>
      <c r="C54" s="121" t="n">
        <v>118185732</v>
      </c>
      <c r="D54" s="121" t="n">
        <v>3</v>
      </c>
      <c r="E54" s="121" t="inlineStr">
        <is>
          <t>Oran+Rive</t>
        </is>
      </c>
      <c r="F54" s="119" t="inlineStr">
        <is>
          <t>GAP — never evaluated</t>
        </is>
      </c>
      <c r="G54" s="121" t="inlineStr">
        <is>
          <t>likely SEG/employer-gated — verify FOM + biz card</t>
        </is>
      </c>
    </row>
    <row r="55">
      <c r="A55" s="121" t="inlineStr">
        <is>
          <t>10351</t>
        </is>
      </c>
      <c r="B55" s="120" t="inlineStr">
        <is>
          <t>LA LOMA</t>
        </is>
      </c>
      <c r="C55" s="121" t="n">
        <v>114333182</v>
      </c>
      <c r="D55" s="121" t="n">
        <v>3</v>
      </c>
      <c r="E55" s="121" t="inlineStr">
        <is>
          <t xml:space="preserve">Rive+San </t>
        </is>
      </c>
      <c r="F55" s="119" t="inlineStr">
        <is>
          <t>GAP — never evaluated</t>
        </is>
      </c>
      <c r="G55" s="121" t="inlineStr">
        <is>
          <t>likely SEG/employer-gated — verify FOM + biz card</t>
        </is>
      </c>
    </row>
    <row r="56">
      <c r="A56" s="121" t="inlineStr">
        <is>
          <t>18273</t>
        </is>
      </c>
      <c r="B56" s="120" t="inlineStr">
        <is>
          <t>AMERICAN BROADCAST EMPLOYEES</t>
        </is>
      </c>
      <c r="C56" s="121" t="n">
        <v>113628535</v>
      </c>
      <c r="D56" s="121" t="n">
        <v>3</v>
      </c>
      <c r="E56" s="121" t="inlineStr">
        <is>
          <t xml:space="preserve">Los </t>
        </is>
      </c>
      <c r="F56" s="119" t="inlineStr">
        <is>
          <t>GAP — never evaluated</t>
        </is>
      </c>
      <c r="G56" s="121" t="inlineStr">
        <is>
          <t>likely SEG/employer-gated — verify FOM + biz card</t>
        </is>
      </c>
    </row>
    <row r="57">
      <c r="A57" s="121" t="inlineStr">
        <is>
          <t>24520</t>
        </is>
      </c>
      <c r="B57" s="120" t="inlineStr">
        <is>
          <t>SANTA ANA</t>
        </is>
      </c>
      <c r="C57" s="121" t="n">
        <v>112515965</v>
      </c>
      <c r="D57" s="121" t="n">
        <v>1</v>
      </c>
      <c r="E57" s="121" t="inlineStr">
        <is>
          <t>Oran</t>
        </is>
      </c>
      <c r="F57" s="119" t="inlineStr">
        <is>
          <t>GAP — never evaluated</t>
        </is>
      </c>
      <c r="G57" s="121" t="inlineStr">
        <is>
          <t>likely SEG/employer-gated — verify FOM + biz card</t>
        </is>
      </c>
    </row>
    <row r="58">
      <c r="A58" s="121" t="inlineStr">
        <is>
          <t>1204</t>
        </is>
      </c>
      <c r="B58" s="120" t="inlineStr">
        <is>
          <t>RANCHO</t>
        </is>
      </c>
      <c r="C58" s="121" t="n">
        <v>110306322</v>
      </c>
      <c r="D58" s="121" t="n">
        <v>3</v>
      </c>
      <c r="E58" s="121" t="inlineStr">
        <is>
          <t>Los +Oran</t>
        </is>
      </c>
      <c r="F58" s="119" t="inlineStr">
        <is>
          <t>GAP — never evaluated</t>
        </is>
      </c>
      <c r="G58" s="121" t="inlineStr">
        <is>
          <t>likely SEG/employer-gated — verify FOM + biz card</t>
        </is>
      </c>
    </row>
    <row r="59">
      <c r="A59" s="121" t="inlineStr">
        <is>
          <t>7557</t>
        </is>
      </c>
      <c r="B59" s="120" t="inlineStr">
        <is>
          <t>GLENDALE</t>
        </is>
      </c>
      <c r="C59" s="121" t="n">
        <v>102411161</v>
      </c>
      <c r="D59" s="121" t="n">
        <v>2</v>
      </c>
      <c r="E59" s="121" t="inlineStr">
        <is>
          <t xml:space="preserve">Los </t>
        </is>
      </c>
      <c r="F59" s="119" t="inlineStr">
        <is>
          <t>GAP — never evaluated</t>
        </is>
      </c>
      <c r="G59" s="121" t="inlineStr">
        <is>
          <t>likely SEG/employer-gated — verify FOM + biz card</t>
        </is>
      </c>
    </row>
    <row r="60">
      <c r="A60" s="121" t="inlineStr">
        <is>
          <t>5530</t>
        </is>
      </c>
      <c r="B60" s="120" t="inlineStr">
        <is>
          <t>VA DESERT PACIFIC</t>
        </is>
      </c>
      <c r="C60" s="121" t="n">
        <v>98985355</v>
      </c>
      <c r="D60" s="121" t="n">
        <v>3</v>
      </c>
      <c r="E60" s="121" t="inlineStr">
        <is>
          <t xml:space="preserve">Los </t>
        </is>
      </c>
      <c r="F60" s="119" t="inlineStr">
        <is>
          <t>GAP — never evaluated</t>
        </is>
      </c>
      <c r="G60" s="121" t="inlineStr">
        <is>
          <t>likely SEG/employer-gated — verify FOM + biz card</t>
        </is>
      </c>
    </row>
    <row r="61">
      <c r="A61" s="121" t="inlineStr">
        <is>
          <t>24131</t>
        </is>
      </c>
      <c r="B61" s="120" t="inlineStr">
        <is>
          <t>UNION YES</t>
        </is>
      </c>
      <c r="C61" s="121" t="n">
        <v>96920624</v>
      </c>
      <c r="D61" s="121" t="n">
        <v>1</v>
      </c>
      <c r="E61" s="121" t="inlineStr">
        <is>
          <t>Oran</t>
        </is>
      </c>
      <c r="F61" s="119" t="inlineStr">
        <is>
          <t>GAP — never evaluated</t>
        </is>
      </c>
      <c r="G61" s="121" t="inlineStr">
        <is>
          <t>likely SEG/employer-gated — verify FOM + biz card</t>
        </is>
      </c>
    </row>
    <row r="62">
      <c r="A62" s="121" t="inlineStr">
        <is>
          <t>8230</t>
        </is>
      </c>
      <c r="B62" s="120" t="inlineStr">
        <is>
          <t>TECHNICOLOR</t>
        </is>
      </c>
      <c r="C62" s="121" t="n">
        <v>84893873</v>
      </c>
      <c r="D62" s="121" t="n">
        <v>1</v>
      </c>
      <c r="E62" s="121" t="inlineStr">
        <is>
          <t xml:space="preserve">Los </t>
        </is>
      </c>
      <c r="F62" s="119" t="inlineStr">
        <is>
          <t>GAP — never evaluated</t>
        </is>
      </c>
      <c r="G62" s="121" t="inlineStr">
        <is>
          <t>likely SEG/employer-gated — verify FOM + biz card</t>
        </is>
      </c>
    </row>
    <row r="63">
      <c r="A63" s="121" t="inlineStr">
        <is>
          <t>18623</t>
        </is>
      </c>
      <c r="B63" s="120" t="inlineStr">
        <is>
          <t>CALCOM</t>
        </is>
      </c>
      <c r="C63" s="121" t="n">
        <v>82608794</v>
      </c>
      <c r="D63" s="121" t="n">
        <v>4</v>
      </c>
      <c r="E63" s="121" t="inlineStr">
        <is>
          <t xml:space="preserve">Los </t>
        </is>
      </c>
      <c r="F63" s="119" t="inlineStr">
        <is>
          <t>GAP — never evaluated</t>
        </is>
      </c>
      <c r="G63" s="121" t="inlineStr">
        <is>
          <t>likely SEG/employer-gated — verify FOM + biz card</t>
        </is>
      </c>
    </row>
    <row r="64">
      <c r="A64" s="121" t="inlineStr">
        <is>
          <t>65059</t>
        </is>
      </c>
      <c r="B64" s="120" t="inlineStr">
        <is>
          <t>NIKKEI</t>
        </is>
      </c>
      <c r="C64" s="121" t="n">
        <v>80585718</v>
      </c>
      <c r="D64" s="121" t="n">
        <v>2</v>
      </c>
      <c r="E64" s="121" t="inlineStr">
        <is>
          <t xml:space="preserve">Los </t>
        </is>
      </c>
      <c r="F64" s="119" t="inlineStr">
        <is>
          <t>GAP — never evaluated</t>
        </is>
      </c>
      <c r="G64" s="121" t="inlineStr">
        <is>
          <t>likely SEG/employer-gated — verify FOM + biz card</t>
        </is>
      </c>
    </row>
    <row r="65">
      <c r="A65" s="121" t="inlineStr">
        <is>
          <t>14499</t>
        </is>
      </c>
      <c r="B65" s="120" t="inlineStr">
        <is>
          <t>CAL STATE L.A.</t>
        </is>
      </c>
      <c r="C65" s="121" t="n">
        <v>79904552</v>
      </c>
      <c r="D65" s="121" t="n">
        <v>2</v>
      </c>
      <c r="E65" s="121" t="inlineStr">
        <is>
          <t xml:space="preserve">Los </t>
        </is>
      </c>
      <c r="F65" s="119" t="inlineStr">
        <is>
          <t>GAP — never evaluated</t>
        </is>
      </c>
      <c r="G65" s="121" t="inlineStr">
        <is>
          <t>likely SEG/employer-gated — verify FOM + biz card</t>
        </is>
      </c>
    </row>
    <row r="66">
      <c r="A66" s="121" t="inlineStr">
        <is>
          <t>86063</t>
        </is>
      </c>
      <c r="B66" s="120" t="inlineStr">
        <is>
          <t>POSTCITY FINANCIAL</t>
        </is>
      </c>
      <c r="C66" s="121" t="n">
        <v>78185272</v>
      </c>
      <c r="D66" s="121" t="n">
        <v>2</v>
      </c>
      <c r="E66" s="121" t="inlineStr">
        <is>
          <t xml:space="preserve">Los </t>
        </is>
      </c>
      <c r="F66" s="119" t="inlineStr">
        <is>
          <t>GAP — never evaluated</t>
        </is>
      </c>
      <c r="G66" s="121" t="inlineStr">
        <is>
          <t>likely SEG/employer-gated — verify FOM + biz card</t>
        </is>
      </c>
    </row>
    <row r="67">
      <c r="A67" s="121" t="inlineStr">
        <is>
          <t>1034</t>
        </is>
      </c>
      <c r="B67" s="120" t="inlineStr">
        <is>
          <t>OLIVE VIEW EMPLOYEES</t>
        </is>
      </c>
      <c r="C67" s="121" t="n">
        <v>75225960</v>
      </c>
      <c r="D67" s="121" t="n">
        <v>1</v>
      </c>
      <c r="E67" s="121" t="inlineStr">
        <is>
          <t xml:space="preserve">Los </t>
        </is>
      </c>
      <c r="F67" s="119" t="inlineStr">
        <is>
          <t>GAP — never evaluated</t>
        </is>
      </c>
      <c r="G67" s="121" t="inlineStr">
        <is>
          <t>likely SEG/employer-gated — verify FOM + biz card</t>
        </is>
      </c>
    </row>
    <row r="68">
      <c r="A68" s="121" t="inlineStr">
        <is>
          <t>19739</t>
        </is>
      </c>
      <c r="B68" s="120" t="inlineStr">
        <is>
          <t>POLAM</t>
        </is>
      </c>
      <c r="C68" s="121" t="n">
        <v>73432824</v>
      </c>
      <c r="D68" s="121" t="n">
        <v>2</v>
      </c>
      <c r="E68" s="121" t="inlineStr">
        <is>
          <t>Los +Oran</t>
        </is>
      </c>
      <c r="F68" s="119" t="inlineStr">
        <is>
          <t>GAP — never evaluated</t>
        </is>
      </c>
      <c r="G68" s="121" t="inlineStr">
        <is>
          <t>likely SEG/employer-gated — verify FOM + biz card</t>
        </is>
      </c>
    </row>
    <row r="69">
      <c r="A69" s="121" t="inlineStr">
        <is>
          <t>64893</t>
        </is>
      </c>
      <c r="B69" s="120" t="inlineStr">
        <is>
          <t>UNIVERSAL CITY STUDIOS</t>
        </is>
      </c>
      <c r="C69" s="121" t="n">
        <v>71839650</v>
      </c>
      <c r="D69" s="121" t="n">
        <v>2</v>
      </c>
      <c r="E69" s="121" t="inlineStr">
        <is>
          <t xml:space="preserve">Los </t>
        </is>
      </c>
      <c r="F69" s="119" t="inlineStr">
        <is>
          <t>GAP — never evaluated</t>
        </is>
      </c>
      <c r="G69" s="121" t="inlineStr">
        <is>
          <t>likely SEG/employer-gated — verify FOM + biz card</t>
        </is>
      </c>
    </row>
    <row r="70">
      <c r="A70" s="121" t="inlineStr">
        <is>
          <t>14650</t>
        </is>
      </c>
      <c r="B70" s="120" t="inlineStr">
        <is>
          <t>PARISHIONERS</t>
        </is>
      </c>
      <c r="C70" s="121" t="n">
        <v>67162263</v>
      </c>
      <c r="D70" s="121" t="n">
        <v>1</v>
      </c>
      <c r="E70" s="121" t="inlineStr">
        <is>
          <t xml:space="preserve">Los </t>
        </is>
      </c>
      <c r="F70" s="119" t="inlineStr">
        <is>
          <t>GAP — never evaluated</t>
        </is>
      </c>
      <c r="G70" s="121" t="inlineStr">
        <is>
          <t>likely SEG/employer-gated — verify FOM + biz card</t>
        </is>
      </c>
    </row>
    <row r="71">
      <c r="A71" s="121" t="inlineStr">
        <is>
          <t>10433</t>
        </is>
      </c>
      <c r="B71" s="120" t="inlineStr">
        <is>
          <t>BOPTI</t>
        </is>
      </c>
      <c r="C71" s="121" t="n">
        <v>64385017</v>
      </c>
      <c r="D71" s="121" t="n">
        <v>2</v>
      </c>
      <c r="E71" s="121" t="inlineStr">
        <is>
          <t xml:space="preserve">Los </t>
        </is>
      </c>
      <c r="F71" s="119" t="inlineStr">
        <is>
          <t>GAP — never evaluated</t>
        </is>
      </c>
      <c r="G71" s="121" t="inlineStr">
        <is>
          <t>likely SEG/employer-gated — verify FOM + biz card</t>
        </is>
      </c>
    </row>
    <row r="72">
      <c r="A72" s="121" t="inlineStr">
        <is>
          <t>60967</t>
        </is>
      </c>
      <c r="B72" s="120" t="inlineStr">
        <is>
          <t>HUNTINGTON BEACH</t>
        </is>
      </c>
      <c r="C72" s="121" t="n">
        <v>55824368</v>
      </c>
      <c r="D72" s="121" t="n">
        <v>1</v>
      </c>
      <c r="E72" s="121" t="inlineStr">
        <is>
          <t>Oran</t>
        </is>
      </c>
      <c r="F72" s="119" t="inlineStr">
        <is>
          <t>GAP — never evaluated</t>
        </is>
      </c>
      <c r="G72" s="121" t="inlineStr">
        <is>
          <t>likely SEG/employer-gated — verify FOM + biz card</t>
        </is>
      </c>
    </row>
    <row r="73">
      <c r="A73" s="121" t="inlineStr">
        <is>
          <t>63589</t>
        </is>
      </c>
      <c r="B73" s="120" t="inlineStr">
        <is>
          <t>JACOM</t>
        </is>
      </c>
      <c r="C73" s="121" t="n">
        <v>54866027</v>
      </c>
      <c r="D73" s="121" t="n">
        <v>1</v>
      </c>
      <c r="E73" s="121" t="inlineStr">
        <is>
          <t xml:space="preserve">Los </t>
        </is>
      </c>
      <c r="F73" s="119" t="inlineStr">
        <is>
          <t>GAP — never evaluated</t>
        </is>
      </c>
      <c r="G73" s="121" t="inlineStr">
        <is>
          <t>likely SEG/employer-gated — verify FOM + biz card</t>
        </is>
      </c>
    </row>
    <row r="74">
      <c r="A74" s="121" t="inlineStr">
        <is>
          <t>5684</t>
        </is>
      </c>
      <c r="B74" s="120" t="inlineStr">
        <is>
          <t>INLAND VALLEY</t>
        </is>
      </c>
      <c r="C74" s="121" t="n">
        <v>54343947</v>
      </c>
      <c r="D74" s="121" t="n">
        <v>1</v>
      </c>
      <c r="E74" s="121" t="inlineStr">
        <is>
          <t xml:space="preserve">San </t>
        </is>
      </c>
      <c r="F74" s="119" t="inlineStr">
        <is>
          <t>GAP — never evaluated</t>
        </is>
      </c>
      <c r="G74" s="121" t="inlineStr">
        <is>
          <t>likely SEG/employer-gated — verify FOM + biz card</t>
        </is>
      </c>
    </row>
    <row r="75">
      <c r="A75" s="121" t="inlineStr">
        <is>
          <t>60755</t>
        </is>
      </c>
      <c r="B75" s="120" t="inlineStr">
        <is>
          <t>L. A. ELECTRICAL WORKERS CREDIT UN.</t>
        </is>
      </c>
      <c r="C75" s="121" t="n">
        <v>53963437</v>
      </c>
      <c r="D75" s="121" t="n">
        <v>2</v>
      </c>
      <c r="E75" s="121" t="inlineStr">
        <is>
          <t xml:space="preserve">Los </t>
        </is>
      </c>
      <c r="F75" s="119" t="inlineStr">
        <is>
          <t>GAP — never evaluated</t>
        </is>
      </c>
      <c r="G75" s="121" t="inlineStr">
        <is>
          <t>likely SEG/employer-gated — verify FOM + biz card</t>
        </is>
      </c>
    </row>
    <row r="76">
      <c r="A76" s="121" t="inlineStr">
        <is>
          <t>12029</t>
        </is>
      </c>
      <c r="B76" s="120" t="inlineStr">
        <is>
          <t>UNITED CATHOLICS</t>
        </is>
      </c>
      <c r="C76" s="121" t="n">
        <v>50035236</v>
      </c>
      <c r="D76" s="121" t="n">
        <v>1</v>
      </c>
      <c r="E76" s="121" t="inlineStr">
        <is>
          <t xml:space="preserve">Los </t>
        </is>
      </c>
      <c r="F76" s="119" t="inlineStr">
        <is>
          <t>GAP — never evaluated</t>
        </is>
      </c>
      <c r="G76" s="121" t="inlineStr">
        <is>
          <t>likely SEG/employer-gated — verify FOM + biz card</t>
        </is>
      </c>
    </row>
    <row r="77">
      <c r="A77" s="121" t="inlineStr">
        <is>
          <t>21532</t>
        </is>
      </c>
      <c r="B77" s="120" t="inlineStr">
        <is>
          <t>U.P.S. EMPLOYEES</t>
        </is>
      </c>
      <c r="C77" s="121" t="n">
        <v>48924495</v>
      </c>
      <c r="D77" s="121" t="n">
        <v>1</v>
      </c>
      <c r="E77" s="121" t="inlineStr">
        <is>
          <t xml:space="preserve">San </t>
        </is>
      </c>
      <c r="F77" s="119" t="inlineStr">
        <is>
          <t>GAP — never evaluated</t>
        </is>
      </c>
      <c r="G77" s="121" t="inlineStr">
        <is>
          <t>likely SEG/employer-gated — verify FOM + biz card</t>
        </is>
      </c>
    </row>
    <row r="78">
      <c r="A78" s="121" t="inlineStr">
        <is>
          <t>68167</t>
        </is>
      </c>
      <c r="B78" s="120" t="inlineStr">
        <is>
          <t>COLLEGEDALE</t>
        </is>
      </c>
      <c r="C78" s="121" t="n">
        <v>44663588</v>
      </c>
      <c r="D78" s="121" t="n">
        <v>1</v>
      </c>
      <c r="E78" s="121" t="inlineStr">
        <is>
          <t xml:space="preserve">San </t>
        </is>
      </c>
      <c r="F78" s="119" t="inlineStr">
        <is>
          <t>GAP — never evaluated</t>
        </is>
      </c>
      <c r="G78" s="121" t="inlineStr">
        <is>
          <t>likely SEG/employer-gated — verify FOM + biz card</t>
        </is>
      </c>
    </row>
    <row r="79">
      <c r="A79" s="121" t="inlineStr">
        <is>
          <t>16954</t>
        </is>
      </c>
      <c r="B79" s="120" t="inlineStr">
        <is>
          <t>FOX</t>
        </is>
      </c>
      <c r="C79" s="121" t="n">
        <v>38149010</v>
      </c>
      <c r="D79" s="121" t="n">
        <v>4</v>
      </c>
      <c r="E79" s="121" t="inlineStr">
        <is>
          <t xml:space="preserve">Los </t>
        </is>
      </c>
      <c r="F79" s="119" t="inlineStr">
        <is>
          <t>GAP — never evaluated</t>
        </is>
      </c>
      <c r="G79" s="121" t="inlineStr">
        <is>
          <t>likely SEG/employer-gated — verify FOM + biz card</t>
        </is>
      </c>
    </row>
    <row r="80">
      <c r="A80" s="121" t="inlineStr">
        <is>
          <t>68549</t>
        </is>
      </c>
      <c r="B80" s="120" t="inlineStr">
        <is>
          <t>MEDIA CITY</t>
        </is>
      </c>
      <c r="C80" s="121" t="n">
        <v>37814881</v>
      </c>
      <c r="D80" s="121" t="n">
        <v>1</v>
      </c>
      <c r="E80" s="121" t="inlineStr">
        <is>
          <t xml:space="preserve">Los </t>
        </is>
      </c>
      <c r="F80" s="119" t="inlineStr">
        <is>
          <t>GAP — never evaluated</t>
        </is>
      </c>
      <c r="G80" s="121" t="inlineStr">
        <is>
          <t>likely SEG/employer-gated — verify FOM + biz card</t>
        </is>
      </c>
    </row>
    <row r="81">
      <c r="A81" s="121" t="inlineStr">
        <is>
          <t>16268</t>
        </is>
      </c>
      <c r="B81" s="120" t="inlineStr">
        <is>
          <t>W S S C</t>
        </is>
      </c>
      <c r="C81" s="121" t="n">
        <v>34955726</v>
      </c>
      <c r="D81" s="121" t="n">
        <v>1</v>
      </c>
      <c r="E81" s="121" t="inlineStr">
        <is>
          <t xml:space="preserve">San </t>
        </is>
      </c>
      <c r="F81" s="119" t="inlineStr">
        <is>
          <t>GAP — never evaluated</t>
        </is>
      </c>
      <c r="G81" s="121" t="inlineStr">
        <is>
          <t>likely SEG/employer-gated — verify FOM + biz card</t>
        </is>
      </c>
    </row>
    <row r="82">
      <c r="A82" s="121" t="inlineStr">
        <is>
          <t>8611</t>
        </is>
      </c>
      <c r="B82" s="120" t="inlineStr">
        <is>
          <t>CAPSTONE</t>
        </is>
      </c>
      <c r="C82" s="121" t="n">
        <v>34573149</v>
      </c>
      <c r="D82" s="121" t="n">
        <v>1</v>
      </c>
      <c r="E82" s="121" t="inlineStr">
        <is>
          <t>Oran</t>
        </is>
      </c>
      <c r="F82" s="119" t="inlineStr">
        <is>
          <t>GAP — never evaluated</t>
        </is>
      </c>
      <c r="G82" s="121" t="inlineStr">
        <is>
          <t>likely SEG/employer-gated — verify FOM + biz card</t>
        </is>
      </c>
    </row>
    <row r="83">
      <c r="A83" s="121" t="inlineStr">
        <is>
          <t>95072</t>
        </is>
      </c>
      <c r="B83" s="120" t="inlineStr">
        <is>
          <t>EL MONTE COMMUNITY</t>
        </is>
      </c>
      <c r="C83" s="121" t="n">
        <v>32961526</v>
      </c>
      <c r="D83" s="121" t="n">
        <v>1</v>
      </c>
      <c r="E83" s="121" t="inlineStr">
        <is>
          <t xml:space="preserve">Los </t>
        </is>
      </c>
      <c r="F83" s="119" t="inlineStr">
        <is>
          <t>GAP — never evaluated</t>
        </is>
      </c>
      <c r="G83" s="121" t="inlineStr">
        <is>
          <t>likely SEG/employer-gated — verify FOM + biz card</t>
        </is>
      </c>
    </row>
    <row r="84">
      <c r="A84" s="121" t="inlineStr">
        <is>
          <t>24549</t>
        </is>
      </c>
      <c r="B84" s="120" t="inlineStr">
        <is>
          <t>HANIN</t>
        </is>
      </c>
      <c r="C84" s="121" t="n">
        <v>31725210</v>
      </c>
      <c r="D84" s="121" t="n">
        <v>1</v>
      </c>
      <c r="E84" s="121" t="inlineStr">
        <is>
          <t xml:space="preserve">Los </t>
        </is>
      </c>
      <c r="F84" s="119" t="inlineStr">
        <is>
          <t>GAP — never evaluated</t>
        </is>
      </c>
      <c r="G84" s="121" t="inlineStr">
        <is>
          <t>likely SEG/employer-gated — verify FOM + biz card</t>
        </is>
      </c>
    </row>
    <row r="85">
      <c r="A85" s="121" t="inlineStr">
        <is>
          <t>8261</t>
        </is>
      </c>
      <c r="B85" s="120" t="inlineStr">
        <is>
          <t>MATTEL</t>
        </is>
      </c>
      <c r="C85" s="121" t="n">
        <v>29130616</v>
      </c>
      <c r="D85" s="121" t="n">
        <v>4</v>
      </c>
      <c r="E85" s="121" t="inlineStr">
        <is>
          <t xml:space="preserve">Los </t>
        </is>
      </c>
      <c r="F85" s="119" t="inlineStr">
        <is>
          <t>GAP — never evaluated</t>
        </is>
      </c>
      <c r="G85" s="121" t="inlineStr">
        <is>
          <t>likely SEG/employer-gated — verify FOM + biz card</t>
        </is>
      </c>
    </row>
    <row r="86">
      <c r="A86" s="121" t="inlineStr">
        <is>
          <t>68052</t>
        </is>
      </c>
      <c r="B86" s="120" t="inlineStr">
        <is>
          <t>CENTER CITY COMMUNITY</t>
        </is>
      </c>
      <c r="C86" s="121" t="n">
        <v>25266816</v>
      </c>
      <c r="D86" s="121" t="n">
        <v>1</v>
      </c>
      <c r="E86" s="121" t="inlineStr">
        <is>
          <t>Oran</t>
        </is>
      </c>
      <c r="F86" s="119" t="inlineStr">
        <is>
          <t>GAP — never evaluated</t>
        </is>
      </c>
      <c r="G86" s="121" t="inlineStr">
        <is>
          <t>likely SEG/employer-gated — verify FOM + biz card</t>
        </is>
      </c>
    </row>
    <row r="87">
      <c r="A87" s="121" t="inlineStr">
        <is>
          <t>13044</t>
        </is>
      </c>
      <c r="B87" s="120" t="inlineStr">
        <is>
          <t>ONTARIO PUBLIC EMPLOYEES</t>
        </is>
      </c>
      <c r="C87" s="121" t="n">
        <v>23434614</v>
      </c>
      <c r="D87" s="121" t="n">
        <v>1</v>
      </c>
      <c r="E87" s="121" t="inlineStr">
        <is>
          <t xml:space="preserve">San </t>
        </is>
      </c>
      <c r="F87" s="119" t="inlineStr">
        <is>
          <t>GAP — never evaluated</t>
        </is>
      </c>
      <c r="G87" s="121" t="inlineStr">
        <is>
          <t>likely SEG/employer-gated — verify FOM + biz card</t>
        </is>
      </c>
    </row>
    <row r="88">
      <c r="A88" s="121" t="inlineStr">
        <is>
          <t>15784</t>
        </is>
      </c>
      <c r="B88" s="120" t="inlineStr">
        <is>
          <t>NOVO</t>
        </is>
      </c>
      <c r="C88" s="121" t="n">
        <v>20774379</v>
      </c>
      <c r="D88" s="121" t="n">
        <v>2</v>
      </c>
      <c r="E88" s="121" t="inlineStr">
        <is>
          <t>Rive</t>
        </is>
      </c>
      <c r="F88" s="119" t="inlineStr">
        <is>
          <t>GAP — never evaluated</t>
        </is>
      </c>
      <c r="G88" s="121" t="inlineStr">
        <is>
          <t>likely SEG/employer-gated — verify FOM + biz card</t>
        </is>
      </c>
    </row>
    <row r="89">
      <c r="A89" s="121" t="inlineStr">
        <is>
          <t>12898</t>
        </is>
      </c>
      <c r="B89" s="120" t="inlineStr">
        <is>
          <t>FONTANA</t>
        </is>
      </c>
      <c r="C89" s="121" t="n">
        <v>17231223</v>
      </c>
      <c r="D89" s="121" t="n">
        <v>2</v>
      </c>
      <c r="E89" s="121" t="inlineStr">
        <is>
          <t xml:space="preserve">San </t>
        </is>
      </c>
      <c r="F89" s="119" t="inlineStr">
        <is>
          <t>GAP — never evaluated</t>
        </is>
      </c>
      <c r="G89" s="121" t="inlineStr">
        <is>
          <t>likely SEG/employer-gated — verify FOM + biz card</t>
        </is>
      </c>
    </row>
    <row r="90">
      <c r="A90" s="121" t="inlineStr">
        <is>
          <t>95073</t>
        </is>
      </c>
      <c r="B90" s="120" t="inlineStr">
        <is>
          <t>MID-CITIES</t>
        </is>
      </c>
      <c r="C90" s="121" t="n">
        <v>16279430</v>
      </c>
      <c r="D90" s="121" t="n">
        <v>1</v>
      </c>
      <c r="E90" s="121" t="inlineStr">
        <is>
          <t xml:space="preserve">Los </t>
        </is>
      </c>
      <c r="F90" s="119" t="inlineStr">
        <is>
          <t>GAP — never evaluated</t>
        </is>
      </c>
      <c r="G90" s="121" t="inlineStr">
        <is>
          <t>likely SEG/employer-gated — verify FOM + biz card</t>
        </is>
      </c>
    </row>
    <row r="91">
      <c r="A91" s="121" t="inlineStr">
        <is>
          <t>16571</t>
        </is>
      </c>
      <c r="B91" s="120" t="inlineStr">
        <is>
          <t>L.A. HEALTHCARE</t>
        </is>
      </c>
      <c r="C91" s="121" t="n">
        <v>14970369</v>
      </c>
      <c r="D91" s="121" t="n">
        <v>2</v>
      </c>
      <c r="E91" s="121" t="inlineStr">
        <is>
          <t xml:space="preserve">Los </t>
        </is>
      </c>
      <c r="F91" s="119" t="inlineStr">
        <is>
          <t>GAP — never evaluated</t>
        </is>
      </c>
      <c r="G91" s="121" t="inlineStr">
        <is>
          <t>likely SEG/employer-gated — verify FOM + biz card</t>
        </is>
      </c>
    </row>
    <row r="92">
      <c r="A92" s="121" t="inlineStr">
        <is>
          <t>9823</t>
        </is>
      </c>
      <c r="B92" s="120" t="inlineStr">
        <is>
          <t>BEVERLY HILLS CITY EMPLOYEES</t>
        </is>
      </c>
      <c r="C92" s="121" t="n">
        <v>14904068</v>
      </c>
      <c r="D92" s="121" t="n">
        <v>1</v>
      </c>
      <c r="E92" s="121" t="inlineStr">
        <is>
          <t xml:space="preserve">Los </t>
        </is>
      </c>
      <c r="F92" s="119" t="inlineStr">
        <is>
          <t>GAP — never evaluated</t>
        </is>
      </c>
      <c r="G92" s="121" t="inlineStr">
        <is>
          <t>likely SEG/employer-gated — verify FOM + biz card</t>
        </is>
      </c>
    </row>
    <row r="93">
      <c r="A93" s="121" t="inlineStr">
        <is>
          <t>24776</t>
        </is>
      </c>
      <c r="B93" s="120" t="inlineStr">
        <is>
          <t>COMUNIDAD LATINA</t>
        </is>
      </c>
      <c r="C93" s="121" t="n">
        <v>11186420</v>
      </c>
      <c r="D93" s="121" t="n">
        <v>1</v>
      </c>
      <c r="E93" s="121" t="inlineStr">
        <is>
          <t>Oran</t>
        </is>
      </c>
      <c r="F93" s="119" t="inlineStr">
        <is>
          <t>GAP — never evaluated</t>
        </is>
      </c>
      <c r="G93" s="121" t="inlineStr">
        <is>
          <t>likely SEG/employer-gated — verify FOM + biz card</t>
        </is>
      </c>
    </row>
    <row r="94">
      <c r="A94" s="121" t="inlineStr">
        <is>
          <t>9778</t>
        </is>
      </c>
      <c r="B94" s="120" t="inlineStr">
        <is>
          <t>REDLANDS CITY EMPLOYEES</t>
        </is>
      </c>
      <c r="C94" s="121" t="n">
        <v>10290642</v>
      </c>
      <c r="D94" s="121" t="n">
        <v>1</v>
      </c>
      <c r="E94" s="121" t="inlineStr">
        <is>
          <t xml:space="preserve">San </t>
        </is>
      </c>
      <c r="F94" s="119" t="inlineStr">
        <is>
          <t>GAP — never evaluated</t>
        </is>
      </c>
      <c r="G94" s="121" t="inlineStr">
        <is>
          <t>likely SEG/employer-gated — verify FOM + biz card</t>
        </is>
      </c>
    </row>
    <row r="95">
      <c r="A95" s="121" t="inlineStr">
        <is>
          <t>24506</t>
        </is>
      </c>
      <c r="B95" s="120" t="inlineStr">
        <is>
          <t>EPISCOPAL COMMUNITY</t>
        </is>
      </c>
      <c r="C95" s="121" t="n">
        <v>6625294</v>
      </c>
      <c r="D95" s="121" t="n">
        <v>1</v>
      </c>
      <c r="E95" s="121" t="inlineStr">
        <is>
          <t xml:space="preserve">Los </t>
        </is>
      </c>
      <c r="F95" s="119" t="inlineStr">
        <is>
          <t>GAP — never evaluated</t>
        </is>
      </c>
      <c r="G95" s="121" t="inlineStr">
        <is>
          <t>likely SEG/employer-gated — verify FOM + biz card</t>
        </is>
      </c>
    </row>
    <row r="96">
      <c r="A96" s="121" t="inlineStr">
        <is>
          <t>17841</t>
        </is>
      </c>
      <c r="B96" s="120" t="inlineStr">
        <is>
          <t>VALLEY AGRICULTURAL</t>
        </is>
      </c>
      <c r="C96" s="121" t="n">
        <v>4755068</v>
      </c>
      <c r="D96" s="121" t="n">
        <v>1</v>
      </c>
      <c r="E96" s="121" t="inlineStr">
        <is>
          <t xml:space="preserve">Los </t>
        </is>
      </c>
      <c r="F96" s="119" t="inlineStr">
        <is>
          <t>GAP — never evaluated</t>
        </is>
      </c>
      <c r="G96" s="121" t="inlineStr">
        <is>
          <t>likely SEG/employer-gated — verify FOM + biz card</t>
        </is>
      </c>
    </row>
    <row r="97">
      <c r="A97" s="121" t="inlineStr">
        <is>
          <t>4393</t>
        </is>
      </c>
      <c r="B97" s="120" t="inlineStr">
        <is>
          <t>SUNKIST EMPLOYEES</t>
        </is>
      </c>
      <c r="C97" s="121" t="n">
        <v>3959286</v>
      </c>
      <c r="D97" s="121" t="n">
        <v>1</v>
      </c>
      <c r="E97" s="121" t="inlineStr">
        <is>
          <t xml:space="preserve">Los </t>
        </is>
      </c>
      <c r="F97" s="119" t="inlineStr">
        <is>
          <t>GAP — never evaluated</t>
        </is>
      </c>
      <c r="G97" s="121" t="inlineStr">
        <is>
          <t>likely SEG/employer-gated — verify FOM + biz card</t>
        </is>
      </c>
    </row>
    <row r="98">
      <c r="A98" s="121" t="inlineStr">
        <is>
          <t>5960</t>
        </is>
      </c>
      <c r="B98" s="120" t="inlineStr">
        <is>
          <t>U.S.B. EMPLOYEES</t>
        </is>
      </c>
      <c r="C98" s="121" t="n">
        <v>3207028</v>
      </c>
      <c r="D98" s="121" t="n">
        <v>1</v>
      </c>
      <c r="E98" s="121" t="inlineStr">
        <is>
          <t xml:space="preserve">Los </t>
        </is>
      </c>
      <c r="F98" s="119" t="inlineStr">
        <is>
          <t>GAP — never evaluated</t>
        </is>
      </c>
      <c r="G98" s="121" t="inlineStr">
        <is>
          <t>likely SEG/employer-gated — verify FOM + biz card</t>
        </is>
      </c>
    </row>
    <row r="99">
      <c r="A99" s="121" t="inlineStr">
        <is>
          <t>9044</t>
        </is>
      </c>
      <c r="B99" s="120" t="inlineStr">
        <is>
          <t>COLUMBUS CLUB</t>
        </is>
      </c>
      <c r="C99" s="121" t="n">
        <v>3040635</v>
      </c>
      <c r="D99" s="121" t="n">
        <v>1</v>
      </c>
      <c r="E99" s="121" t="inlineStr">
        <is>
          <t xml:space="preserve">Los </t>
        </is>
      </c>
      <c r="F99" s="119" t="inlineStr">
        <is>
          <t>GAP — never evaluated</t>
        </is>
      </c>
      <c r="G99" s="121" t="inlineStr">
        <is>
          <t>likely SEG/employer-gated — verify FOM + biz card</t>
        </is>
      </c>
    </row>
    <row r="100">
      <c r="A100" s="121" t="inlineStr">
        <is>
          <t>64108</t>
        </is>
      </c>
      <c r="B100" s="120" t="inlineStr">
        <is>
          <t>FOUNTAIN VALLEY</t>
        </is>
      </c>
      <c r="C100" s="121" t="n">
        <v>1964804</v>
      </c>
      <c r="D100" s="121" t="n">
        <v>1</v>
      </c>
      <c r="E100" s="121" t="inlineStr">
        <is>
          <t>Oran</t>
        </is>
      </c>
      <c r="F100" s="119" t="inlineStr">
        <is>
          <t>GAP — never evaluated</t>
        </is>
      </c>
      <c r="G100" s="121" t="inlineStr">
        <is>
          <t>likely SEG/employer-gated — verify FOM + biz card</t>
        </is>
      </c>
    </row>
    <row r="101">
      <c r="A101" s="121" t="inlineStr">
        <is>
          <t>10648</t>
        </is>
      </c>
      <c r="B101" s="120" t="inlineStr">
        <is>
          <t>MARYKNOLL OF L A</t>
        </is>
      </c>
      <c r="C101" s="121" t="n">
        <v>1151903</v>
      </c>
      <c r="D101" s="121" t="n">
        <v>2</v>
      </c>
      <c r="E101" s="121" t="inlineStr">
        <is>
          <t xml:space="preserve">Los </t>
        </is>
      </c>
      <c r="F101" s="119" t="inlineStr">
        <is>
          <t>GAP — never evaluated</t>
        </is>
      </c>
      <c r="G101" s="121" t="inlineStr">
        <is>
          <t>likely SEG/employer-gated — verify FOM + biz card</t>
        </is>
      </c>
    </row>
    <row r="102">
      <c r="A102" s="121" t="inlineStr">
        <is>
          <t>5536</t>
        </is>
      </c>
      <c r="B102" s="121" t="inlineStr">
        <is>
          <t>NAVY FEDERAL CREDIT UNION</t>
        </is>
      </c>
      <c r="C102" s="121" t="n">
        <v>203558954708</v>
      </c>
      <c r="D102" s="121" t="n">
        <v>19</v>
      </c>
      <c r="E102" s="121" t="inlineStr">
        <is>
          <t xml:space="preserve">Los +Oran+Rive+San </t>
        </is>
      </c>
      <c r="F102" s="121" t="inlineStr">
        <is>
          <t>COVERED</t>
        </is>
      </c>
      <c r="G102" s="121">
        <f> Navy Federal Credit Union</f>
        <v/>
      </c>
    </row>
    <row r="103">
      <c r="A103" s="121" t="inlineStr">
        <is>
          <t>24212</t>
        </is>
      </c>
      <c r="B103" s="121" t="inlineStr">
        <is>
          <t>SCHOOLSFIRST</t>
        </is>
      </c>
      <c r="C103" s="121" t="n">
        <v>36737428874</v>
      </c>
      <c r="D103" s="121" t="n">
        <v>63</v>
      </c>
      <c r="E103" s="121" t="inlineStr">
        <is>
          <t xml:space="preserve">Los +Oran+Rive+San </t>
        </is>
      </c>
      <c r="F103" s="121" t="inlineStr">
        <is>
          <t>COVERED</t>
        </is>
      </c>
      <c r="G103" s="121">
        <f> SchoolsFirst</f>
        <v/>
      </c>
    </row>
    <row r="104">
      <c r="A104" s="121" t="inlineStr">
        <is>
          <t>61650</t>
        </is>
      </c>
      <c r="B104" s="121" t="inlineStr">
        <is>
          <t>THE GOLDEN 1</t>
        </is>
      </c>
      <c r="C104" s="121" t="n">
        <v>21737187207</v>
      </c>
      <c r="D104" s="121" t="n">
        <v>1</v>
      </c>
      <c r="E104" s="121" t="inlineStr">
        <is>
          <t xml:space="preserve">San </t>
        </is>
      </c>
      <c r="F104" s="121" t="inlineStr">
        <is>
          <t>COVERED</t>
        </is>
      </c>
      <c r="G104" s="121">
        <f> Golden 1 Credit Union</f>
        <v/>
      </c>
    </row>
    <row r="105">
      <c r="A105" s="121" t="inlineStr">
        <is>
          <t>5913</t>
        </is>
      </c>
      <c r="B105" s="121" t="inlineStr">
        <is>
          <t>GLOBAL</t>
        </is>
      </c>
      <c r="C105" s="121" t="n">
        <v>12863315758</v>
      </c>
      <c r="D105" s="121" t="n">
        <v>6</v>
      </c>
      <c r="E105" s="121" t="inlineStr">
        <is>
          <t xml:space="preserve">San </t>
        </is>
      </c>
      <c r="F105" s="121" t="inlineStr">
        <is>
          <t>COVERED</t>
        </is>
      </c>
      <c r="G105" s="121">
        <f> Global Credit Union</f>
        <v/>
      </c>
    </row>
    <row r="106">
      <c r="A106" s="121" t="inlineStr">
        <is>
          <t>1999</t>
        </is>
      </c>
      <c r="B106" s="121" t="inlineStr">
        <is>
          <t>LOGIX</t>
        </is>
      </c>
      <c r="C106" s="121" t="n">
        <v>9716129809</v>
      </c>
      <c r="D106" s="121" t="n">
        <v>14</v>
      </c>
      <c r="E106" s="121" t="inlineStr">
        <is>
          <t xml:space="preserve">Los </t>
        </is>
      </c>
      <c r="F106" s="121" t="inlineStr">
        <is>
          <t>COVERED</t>
        </is>
      </c>
      <c r="G106" s="121">
        <f> Logix Federal Credit Union</f>
        <v/>
      </c>
    </row>
    <row r="107">
      <c r="A107" s="121" t="inlineStr">
        <is>
          <t>61004</t>
        </is>
      </c>
      <c r="B107" s="121" t="inlineStr">
        <is>
          <t>SAN DIEGO COUNTY</t>
        </is>
      </c>
      <c r="C107" s="121" t="n">
        <v>9382858048</v>
      </c>
      <c r="D107" s="121" t="n">
        <v>8</v>
      </c>
      <c r="E107" s="121" t="inlineStr">
        <is>
          <t>Oran+Rive</t>
        </is>
      </c>
      <c r="F107" s="121" t="inlineStr">
        <is>
          <t>COVERED</t>
        </is>
      </c>
      <c r="G107" s="121">
        <f> San Diego County Credit Union (SDCCU)</f>
        <v/>
      </c>
    </row>
    <row r="108">
      <c r="A108" s="121" t="inlineStr">
        <is>
          <t>66703</t>
        </is>
      </c>
      <c r="B108" s="121" t="inlineStr">
        <is>
          <t>WESCOM CENTRAL</t>
        </is>
      </c>
      <c r="C108" s="121" t="n">
        <v>6472794298</v>
      </c>
      <c r="D108" s="121" t="n">
        <v>25</v>
      </c>
      <c r="E108" s="121" t="inlineStr">
        <is>
          <t xml:space="preserve">Los +Oran+Rive+San </t>
        </is>
      </c>
      <c r="F108" s="121" t="inlineStr">
        <is>
          <t>COVERED</t>
        </is>
      </c>
      <c r="G108" s="121">
        <f> Wescom Credit Union</f>
        <v/>
      </c>
    </row>
    <row r="109">
      <c r="A109" s="121" t="inlineStr">
        <is>
          <t>4142</t>
        </is>
      </c>
      <c r="B109" s="121" t="inlineStr">
        <is>
          <t>KINECTA</t>
        </is>
      </c>
      <c r="C109" s="121" t="n">
        <v>6443715004</v>
      </c>
      <c r="D109" s="121" t="n">
        <v>20</v>
      </c>
      <c r="E109" s="121" t="inlineStr">
        <is>
          <t>Los +Oran</t>
        </is>
      </c>
      <c r="F109" s="121" t="inlineStr">
        <is>
          <t>COVERED</t>
        </is>
      </c>
      <c r="G109" s="121">
        <f> Kinecta Federal Credit Union</f>
        <v/>
      </c>
    </row>
    <row r="110">
      <c r="A110" s="121" t="inlineStr">
        <is>
          <t>24980</t>
        </is>
      </c>
      <c r="B110" s="121" t="inlineStr">
        <is>
          <t>CALIFORNIA</t>
        </is>
      </c>
      <c r="C110" s="121" t="n">
        <v>5413638046</v>
      </c>
      <c r="D110" s="121" t="n">
        <v>14</v>
      </c>
      <c r="E110" s="121" t="inlineStr">
        <is>
          <t>Los +Oran</t>
        </is>
      </c>
      <c r="F110" s="121" t="inlineStr">
        <is>
          <t>COVERED</t>
        </is>
      </c>
      <c r="G110" s="121">
        <f> California Credit Union</f>
        <v/>
      </c>
    </row>
    <row r="111">
      <c r="A111" s="121" t="inlineStr">
        <is>
          <t>24983</t>
        </is>
      </c>
      <c r="B111" s="121" t="inlineStr">
        <is>
          <t>CREDIT UNION OF SOUTHERN CA, A</t>
        </is>
      </c>
      <c r="C111" s="121" t="n">
        <v>3942853719</v>
      </c>
      <c r="D111" s="121" t="n">
        <v>26</v>
      </c>
      <c r="E111" s="121" t="inlineStr">
        <is>
          <t xml:space="preserve">Los +Oran+Rive+San </t>
        </is>
      </c>
      <c r="F111" s="121" t="inlineStr">
        <is>
          <t>COVERED</t>
        </is>
      </c>
      <c r="G111" s="121">
        <f> Credit Union of Southern California</f>
        <v/>
      </c>
    </row>
    <row r="112">
      <c r="A112" s="121" t="inlineStr">
        <is>
          <t>566</t>
        </is>
      </c>
      <c r="B112" s="121" t="inlineStr">
        <is>
          <t>NUVISION</t>
        </is>
      </c>
      <c r="C112" s="121" t="n">
        <v>3935777489</v>
      </c>
      <c r="D112" s="121" t="n">
        <v>12</v>
      </c>
      <c r="E112" s="121" t="inlineStr">
        <is>
          <t>Los +Oran</t>
        </is>
      </c>
      <c r="F112" s="121" t="inlineStr">
        <is>
          <t>COVERED</t>
        </is>
      </c>
      <c r="G112" s="121">
        <f> Nuvision Credit Union</f>
        <v/>
      </c>
    </row>
    <row r="113">
      <c r="A113" s="121" t="inlineStr">
        <is>
          <t>66584</t>
        </is>
      </c>
      <c r="B113" s="121" t="inlineStr">
        <is>
          <t>CALIFORNIA COAST</t>
        </is>
      </c>
      <c r="C113" s="121" t="n">
        <v>3469511167</v>
      </c>
      <c r="D113" s="121" t="n">
        <v>4</v>
      </c>
      <c r="E113" s="121" t="inlineStr">
        <is>
          <t>Rive</t>
        </is>
      </c>
      <c r="F113" s="121" t="inlineStr">
        <is>
          <t>COVERED</t>
        </is>
      </c>
      <c r="G113" s="121">
        <f> California Coast</f>
        <v/>
      </c>
    </row>
    <row r="114">
      <c r="A114" s="121" t="inlineStr">
        <is>
          <t>68428</t>
        </is>
      </c>
      <c r="B114" s="121" t="inlineStr">
        <is>
          <t>PREMIER AMERICA</t>
        </is>
      </c>
      <c r="C114" s="121" t="n">
        <v>3313105523</v>
      </c>
      <c r="D114" s="121" t="n">
        <v>11</v>
      </c>
      <c r="E114" s="121" t="inlineStr">
        <is>
          <t xml:space="preserve">Los </t>
        </is>
      </c>
      <c r="F114" s="121" t="inlineStr">
        <is>
          <t>COVERED</t>
        </is>
      </c>
      <c r="G114" s="121">
        <f> Premier America Credit Union</f>
        <v/>
      </c>
    </row>
    <row r="115">
      <c r="A115" s="121" t="inlineStr">
        <is>
          <t>24981</t>
        </is>
      </c>
      <c r="B115" s="121" t="inlineStr">
        <is>
          <t>ORANGE COUNTY'S</t>
        </is>
      </c>
      <c r="C115" s="121" t="n">
        <v>3074685797</v>
      </c>
      <c r="D115" s="121" t="n">
        <v>12</v>
      </c>
      <c r="E115" s="121" t="inlineStr">
        <is>
          <t xml:space="preserve">Los +Oran+San </t>
        </is>
      </c>
      <c r="F115" s="121" t="inlineStr">
        <is>
          <t>COVERED</t>
        </is>
      </c>
      <c r="G115" s="121">
        <f> Orange County's Credit Union</f>
        <v/>
      </c>
    </row>
    <row r="116">
      <c r="A116" s="121" t="inlineStr">
        <is>
          <t>1493</t>
        </is>
      </c>
      <c r="B116" s="121" t="inlineStr">
        <is>
          <t>F &amp; A</t>
        </is>
      </c>
      <c r="C116" s="121" t="n">
        <v>3056609908</v>
      </c>
      <c r="D116" s="121" t="n">
        <v>2</v>
      </c>
      <c r="E116" s="121" t="inlineStr">
        <is>
          <t xml:space="preserve">Los </t>
        </is>
      </c>
      <c r="F116" s="121" t="inlineStr">
        <is>
          <t>COVERED</t>
        </is>
      </c>
      <c r="G116" s="121">
        <f> F&amp;A Federal Credit Union</f>
        <v/>
      </c>
    </row>
    <row r="117">
      <c r="A117" s="121" t="inlineStr">
        <is>
          <t>24973</t>
        </is>
      </c>
      <c r="B117" s="121" t="inlineStr">
        <is>
          <t>ARROWHEAD</t>
        </is>
      </c>
      <c r="C117" s="121" t="n">
        <v>2905838677</v>
      </c>
      <c r="D117" s="121" t="n">
        <v>20</v>
      </c>
      <c r="E117" s="121" t="inlineStr">
        <is>
          <t xml:space="preserve">Los +Rive+San </t>
        </is>
      </c>
      <c r="F117" s="121" t="inlineStr">
        <is>
          <t>COVERED</t>
        </is>
      </c>
      <c r="G117" s="121">
        <f> Arrowhead Credit Union</f>
        <v/>
      </c>
    </row>
    <row r="118">
      <c r="A118" s="121" t="inlineStr">
        <is>
          <t>18708</t>
        </is>
      </c>
      <c r="B118" s="121" t="inlineStr">
        <is>
          <t>PARTNERS</t>
        </is>
      </c>
      <c r="C118" s="121" t="n">
        <v>2799229823</v>
      </c>
      <c r="D118" s="121" t="n">
        <v>8</v>
      </c>
      <c r="E118" s="121" t="inlineStr">
        <is>
          <t>Los +Oran</t>
        </is>
      </c>
      <c r="F118" s="121" t="inlineStr">
        <is>
          <t>COVERED</t>
        </is>
      </c>
      <c r="G118" s="121">
        <f> Partners Bank of California</f>
        <v/>
      </c>
    </row>
    <row r="119">
      <c r="A119" s="121" t="inlineStr">
        <is>
          <t>24969</t>
        </is>
      </c>
      <c r="B119" s="121" t="inlineStr">
        <is>
          <t>ALTURA</t>
        </is>
      </c>
      <c r="C119" s="121" t="n">
        <v>2665893053</v>
      </c>
      <c r="D119" s="121" t="n">
        <v>24</v>
      </c>
      <c r="E119" s="121" t="inlineStr">
        <is>
          <t>Rive</t>
        </is>
      </c>
      <c r="F119" s="121" t="inlineStr">
        <is>
          <t>COVERED</t>
        </is>
      </c>
      <c r="G119" s="121">
        <f> Altura Credit Union</f>
        <v/>
      </c>
    </row>
    <row r="120">
      <c r="A120" s="121" t="inlineStr">
        <is>
          <t>68457</t>
        </is>
      </c>
      <c r="B120" s="121" t="inlineStr">
        <is>
          <t>FINANCIAL PARTNERS</t>
        </is>
      </c>
      <c r="C120" s="121" t="n">
        <v>2247378836</v>
      </c>
      <c r="D120" s="121" t="n">
        <v>13</v>
      </c>
      <c r="E120" s="121" t="inlineStr">
        <is>
          <t xml:space="preserve">Los +Oran+San </t>
        </is>
      </c>
      <c r="F120" s="121" t="inlineStr">
        <is>
          <t>COVERED</t>
        </is>
      </c>
      <c r="G120" s="121">
        <f> Financial Partners Credit Union</f>
        <v/>
      </c>
    </row>
    <row r="121">
      <c r="A121" s="121" t="inlineStr">
        <is>
          <t>68460</t>
        </is>
      </c>
      <c r="B121" s="121" t="inlineStr">
        <is>
          <t>LBS FINANCIAL</t>
        </is>
      </c>
      <c r="C121" s="121" t="n">
        <v>2191340672</v>
      </c>
      <c r="D121" s="121" t="n">
        <v>8</v>
      </c>
      <c r="E121" s="121" t="inlineStr">
        <is>
          <t>Los +Oran</t>
        </is>
      </c>
      <c r="F121" s="121" t="inlineStr">
        <is>
          <t>COVERED</t>
        </is>
      </c>
      <c r="G121" s="121">
        <f> LBS Financial Credit Union</f>
        <v/>
      </c>
    </row>
    <row r="122">
      <c r="A122" s="121" t="inlineStr">
        <is>
          <t>68373</t>
        </is>
      </c>
      <c r="B122" s="121" t="inlineStr">
        <is>
          <t>FIRST ENTERTAINMENT</t>
        </is>
      </c>
      <c r="C122" s="121" t="n">
        <v>2122095658</v>
      </c>
      <c r="D122" s="121" t="n">
        <v>7</v>
      </c>
      <c r="E122" s="121" t="inlineStr">
        <is>
          <t xml:space="preserve">Los </t>
        </is>
      </c>
      <c r="F122" s="121" t="inlineStr">
        <is>
          <t>COVERED</t>
        </is>
      </c>
      <c r="G122" s="121">
        <f> First Entertainment Credit Union</f>
        <v/>
      </c>
    </row>
    <row r="123">
      <c r="A123" s="121" t="inlineStr">
        <is>
          <t>68494</t>
        </is>
      </c>
      <c r="B123" s="121" t="inlineStr">
        <is>
          <t>FRONTWAVE</t>
        </is>
      </c>
      <c r="C123" s="121" t="n">
        <v>1764704265</v>
      </c>
      <c r="D123" s="121" t="n">
        <v>6</v>
      </c>
      <c r="E123" s="121" t="inlineStr">
        <is>
          <t xml:space="preserve">Rive+San </t>
        </is>
      </c>
      <c r="F123" s="121" t="inlineStr">
        <is>
          <t>COVERED</t>
        </is>
      </c>
      <c r="G123" s="121">
        <f> Frontwave Credit Union</f>
        <v/>
      </c>
    </row>
    <row r="124">
      <c r="A124" s="121" t="inlineStr">
        <is>
          <t>24553</t>
        </is>
      </c>
      <c r="B124" s="121" t="inlineStr">
        <is>
          <t>LOS ANGELES POLICE</t>
        </is>
      </c>
      <c r="C124" s="121" t="n">
        <v>1402266653</v>
      </c>
      <c r="D124" s="121" t="n">
        <v>4</v>
      </c>
      <c r="E124" s="121" t="inlineStr">
        <is>
          <t xml:space="preserve">Los </t>
        </is>
      </c>
      <c r="F124" s="121" t="inlineStr">
        <is>
          <t>COVERED</t>
        </is>
      </c>
      <c r="G124" s="121">
        <f> Los Angeles Federal Credit Union</f>
        <v/>
      </c>
    </row>
    <row r="125">
      <c r="A125" s="121" t="inlineStr">
        <is>
          <t>1074</t>
        </is>
      </c>
      <c r="B125" s="121" t="inlineStr">
        <is>
          <t>FARMERS INSURANCE</t>
        </is>
      </c>
      <c r="C125" s="121" t="n">
        <v>1366674086</v>
      </c>
      <c r="D125" s="121" t="n">
        <v>3</v>
      </c>
      <c r="E125" s="121" t="inlineStr">
        <is>
          <t xml:space="preserve">Los </t>
        </is>
      </c>
      <c r="F125" s="121" t="inlineStr">
        <is>
          <t>COVERED</t>
        </is>
      </c>
      <c r="G125" s="121">
        <f> Farmers Insurance Federal Credit Union</f>
        <v/>
      </c>
    </row>
    <row r="126">
      <c r="A126" s="121" t="inlineStr">
        <is>
          <t>7835</t>
        </is>
      </c>
      <c r="B126" s="121" t="inlineStr">
        <is>
          <t>RIZE</t>
        </is>
      </c>
      <c r="C126" s="121" t="n">
        <v>1309314002</v>
      </c>
      <c r="D126" s="121" t="n">
        <v>5</v>
      </c>
      <c r="E126" s="121" t="inlineStr">
        <is>
          <t xml:space="preserve">Los +San </t>
        </is>
      </c>
      <c r="F126" s="121" t="inlineStr">
        <is>
          <t>COVERED</t>
        </is>
      </c>
      <c r="G126" s="121">
        <f> Rize Credit Union</f>
        <v/>
      </c>
    </row>
    <row r="127">
      <c r="A127" s="121" t="inlineStr">
        <is>
          <t>68415</t>
        </is>
      </c>
      <c r="B127" s="121" t="inlineStr">
        <is>
          <t>SOUTHLAND</t>
        </is>
      </c>
      <c r="C127" s="121" t="n">
        <v>1292891510</v>
      </c>
      <c r="D127" s="121" t="n">
        <v>11</v>
      </c>
      <c r="E127" s="121" t="inlineStr">
        <is>
          <t>Los +Oran</t>
        </is>
      </c>
      <c r="F127" s="121" t="inlineStr">
        <is>
          <t>COVERED</t>
        </is>
      </c>
      <c r="G127" s="121">
        <f> Southland Credit Union</f>
        <v/>
      </c>
    </row>
    <row r="128">
      <c r="A128" s="121" t="inlineStr">
        <is>
          <t>1207</t>
        </is>
      </c>
      <c r="B128" s="121" t="inlineStr">
        <is>
          <t>LOS ANGELES</t>
        </is>
      </c>
      <c r="C128" s="121" t="n">
        <v>1278292282</v>
      </c>
      <c r="D128" s="121" t="n">
        <v>8</v>
      </c>
      <c r="E128" s="121" t="inlineStr">
        <is>
          <t xml:space="preserve">Los </t>
        </is>
      </c>
      <c r="F128" s="121" t="inlineStr">
        <is>
          <t>COVERED</t>
        </is>
      </c>
      <c r="G128" s="121">
        <f> Los Angeles Federal Credit Union</f>
        <v/>
      </c>
    </row>
    <row r="129">
      <c r="A129" s="121" t="inlineStr">
        <is>
          <t>68493</t>
        </is>
      </c>
      <c r="B129" s="121" t="inlineStr">
        <is>
          <t>WATER AND POWER COMMUNITY</t>
        </is>
      </c>
      <c r="C129" s="121" t="n">
        <v>990764424</v>
      </c>
      <c r="D129" s="121" t="n">
        <v>5</v>
      </c>
      <c r="E129" s="121" t="inlineStr">
        <is>
          <t xml:space="preserve">Los </t>
        </is>
      </c>
      <c r="F129" s="121" t="inlineStr">
        <is>
          <t>COVERED</t>
        </is>
      </c>
      <c r="G129" s="121">
        <f> Water and Power Community Credit Union</f>
        <v/>
      </c>
    </row>
    <row r="130">
      <c r="A130" s="121" t="inlineStr">
        <is>
          <t>68503</t>
        </is>
      </c>
      <c r="B130" s="121" t="inlineStr">
        <is>
          <t>FIRST CITY</t>
        </is>
      </c>
      <c r="C130" s="121" t="n">
        <v>952449258</v>
      </c>
      <c r="D130" s="121" t="n">
        <v>7</v>
      </c>
      <c r="E130" s="121" t="inlineStr">
        <is>
          <t xml:space="preserve">Los </t>
        </is>
      </c>
      <c r="F130" s="121" t="inlineStr">
        <is>
          <t>COVERED</t>
        </is>
      </c>
      <c r="G130" s="121">
        <f> First City Credit Union</f>
        <v/>
      </c>
    </row>
    <row r="131">
      <c r="A131" s="121" t="inlineStr">
        <is>
          <t>9296</t>
        </is>
      </c>
      <c r="B131" s="121" t="inlineStr">
        <is>
          <t>SUN COMMUNITY</t>
        </is>
      </c>
      <c r="C131" s="121" t="n">
        <v>896540774</v>
      </c>
      <c r="D131" s="121" t="n">
        <v>2</v>
      </c>
      <c r="E131" s="121" t="inlineStr">
        <is>
          <t>Rive</t>
        </is>
      </c>
      <c r="F131" s="121" t="inlineStr">
        <is>
          <t>COVERED</t>
        </is>
      </c>
      <c r="G131" s="121">
        <f> Sun Community Federal Credit Union</f>
        <v/>
      </c>
    </row>
    <row r="132">
      <c r="A132" s="121" t="inlineStr">
        <is>
          <t>6248</t>
        </is>
      </c>
      <c r="B132" s="121" t="inlineStr">
        <is>
          <t>SKYONE</t>
        </is>
      </c>
      <c r="C132" s="121" t="n">
        <v>875824070</v>
      </c>
      <c r="D132" s="121" t="n">
        <v>2</v>
      </c>
      <c r="E132" s="121" t="inlineStr">
        <is>
          <t xml:space="preserve">Los </t>
        </is>
      </c>
      <c r="F132" s="121" t="inlineStr">
        <is>
          <t>COVERED</t>
        </is>
      </c>
      <c r="G132" s="121">
        <f> SkyOne Federal Credit Union</f>
        <v/>
      </c>
    </row>
    <row r="133">
      <c r="A133" s="121" t="inlineStr">
        <is>
          <t>68062</t>
        </is>
      </c>
      <c r="B133" s="121" t="inlineStr">
        <is>
          <t>AMERICA'S CHRISTIAN</t>
        </is>
      </c>
      <c r="C133" s="121" t="n">
        <v>818406188</v>
      </c>
      <c r="D133" s="121" t="n">
        <v>1</v>
      </c>
      <c r="E133" s="121" t="inlineStr">
        <is>
          <t xml:space="preserve">Los </t>
        </is>
      </c>
      <c r="F133" s="121" t="inlineStr">
        <is>
          <t>COVERED</t>
        </is>
      </c>
      <c r="G133" s="121">
        <f> America's Christian Credit Union</f>
        <v/>
      </c>
    </row>
    <row r="134">
      <c r="A134" s="121" t="inlineStr">
        <is>
          <t>9071</t>
        </is>
      </c>
      <c r="B134" s="121" t="inlineStr">
        <is>
          <t>DIRECT</t>
        </is>
      </c>
      <c r="C134" s="121" t="n">
        <v>789820428</v>
      </c>
      <c r="D134" s="121" t="n">
        <v>1</v>
      </c>
      <c r="E134" s="121" t="inlineStr">
        <is>
          <t>Oran</t>
        </is>
      </c>
      <c r="F134" s="121" t="inlineStr">
        <is>
          <t>COVERED</t>
        </is>
      </c>
      <c r="G134" s="121">
        <f> U.S. Bank (direct)</f>
        <v/>
      </c>
    </row>
    <row r="135">
      <c r="A135" s="121" t="inlineStr">
        <is>
          <t>12425</t>
        </is>
      </c>
      <c r="B135" s="121" t="inlineStr">
        <is>
          <t>FOOTHILL</t>
        </is>
      </c>
      <c r="C135" s="121" t="n">
        <v>772237101</v>
      </c>
      <c r="D135" s="121" t="n">
        <v>5</v>
      </c>
      <c r="E135" s="121" t="inlineStr">
        <is>
          <t xml:space="preserve">Los +San </t>
        </is>
      </c>
      <c r="F135" s="121" t="inlineStr">
        <is>
          <t>COVERED</t>
        </is>
      </c>
      <c r="G135" s="121">
        <f> Foothill Credit Union</f>
        <v/>
      </c>
    </row>
    <row r="136">
      <c r="A136" s="121" t="inlineStr">
        <is>
          <t>68459</t>
        </is>
      </c>
      <c r="B136" s="121" t="inlineStr">
        <is>
          <t>USC</t>
        </is>
      </c>
      <c r="C136" s="121" t="n">
        <v>719189202</v>
      </c>
      <c r="D136" s="121" t="n">
        <v>5</v>
      </c>
      <c r="E136" s="121" t="inlineStr">
        <is>
          <t xml:space="preserve">Los </t>
        </is>
      </c>
      <c r="F136" s="121" t="inlineStr">
        <is>
          <t>COVERED</t>
        </is>
      </c>
      <c r="G136" s="121">
        <f> USC Credit Union</f>
        <v/>
      </c>
    </row>
    <row r="137">
      <c r="A137" s="121" t="inlineStr">
        <is>
          <t>66847</t>
        </is>
      </c>
      <c r="B137" s="121" t="inlineStr">
        <is>
          <t>EAGLE COMMUNITY</t>
        </is>
      </c>
      <c r="C137" s="121" t="n">
        <v>411440538</v>
      </c>
      <c r="D137" s="121" t="n">
        <v>6</v>
      </c>
      <c r="E137" s="121" t="inlineStr">
        <is>
          <t>Los +Oran</t>
        </is>
      </c>
      <c r="F137" s="121" t="inlineStr">
        <is>
          <t>COVERED</t>
        </is>
      </c>
      <c r="G137" s="121">
        <f> Eagle Community Credit Union</f>
        <v/>
      </c>
    </row>
    <row r="138">
      <c r="A138" s="121" t="inlineStr">
        <is>
          <t>594</t>
        </is>
      </c>
      <c r="B138" s="121" t="inlineStr">
        <is>
          <t>PASADENA</t>
        </is>
      </c>
      <c r="C138" s="121" t="n">
        <v>381308071</v>
      </c>
      <c r="D138" s="121" t="n">
        <v>5</v>
      </c>
      <c r="E138" s="121" t="inlineStr">
        <is>
          <t xml:space="preserve">Los </t>
        </is>
      </c>
      <c r="F138" s="121" t="inlineStr">
        <is>
          <t>COVERED</t>
        </is>
      </c>
      <c r="G138" s="121">
        <f> Pasadena Federal Credit Union</f>
        <v/>
      </c>
    </row>
    <row r="139">
      <c r="A139" s="121" t="inlineStr">
        <is>
          <t>3526</t>
        </is>
      </c>
      <c r="B139" s="121" t="inlineStr">
        <is>
          <t>SCHOOLS</t>
        </is>
      </c>
      <c r="C139" s="121" t="n">
        <v>192652276</v>
      </c>
      <c r="D139" s="121" t="n">
        <v>2</v>
      </c>
      <c r="E139" s="121" t="inlineStr">
        <is>
          <t xml:space="preserve">Los </t>
        </is>
      </c>
      <c r="F139" s="121" t="inlineStr">
        <is>
          <t>COVERED</t>
        </is>
      </c>
      <c r="G139" s="121">
        <f> SchoolsFirst</f>
        <v/>
      </c>
    </row>
    <row r="140">
      <c r="A140" s="121" t="inlineStr">
        <is>
          <t>4633</t>
        </is>
      </c>
      <c r="B140" s="121" t="inlineStr">
        <is>
          <t>CAMINO</t>
        </is>
      </c>
      <c r="C140" s="121" t="n">
        <v>179244240</v>
      </c>
      <c r="D140" s="121" t="n">
        <v>1</v>
      </c>
      <c r="E140" s="121" t="inlineStr">
        <is>
          <t xml:space="preserve">Los </t>
        </is>
      </c>
      <c r="F140" s="121" t="inlineStr">
        <is>
          <t>COVERED</t>
        </is>
      </c>
      <c r="G140" s="121">
        <f> Camino Federal Credit Union</f>
        <v/>
      </c>
    </row>
    <row r="141">
      <c r="A141" s="121" t="inlineStr">
        <is>
          <t>64834</t>
        </is>
      </c>
      <c r="B141" s="121" t="inlineStr">
        <is>
          <t>CALIFORNIA LITHUANIAN</t>
        </is>
      </c>
      <c r="C141" s="121" t="n">
        <v>157863523</v>
      </c>
      <c r="D141" s="121" t="n">
        <v>2</v>
      </c>
      <c r="E141" s="121" t="inlineStr">
        <is>
          <t xml:space="preserve">Los </t>
        </is>
      </c>
      <c r="F141" s="121" t="inlineStr">
        <is>
          <t>COVERED</t>
        </is>
      </c>
      <c r="G141" s="121">
        <f> California Credit Union</f>
        <v/>
      </c>
    </row>
    <row r="142">
      <c r="A142" s="121" t="inlineStr">
        <is>
          <t>24238</t>
        </is>
      </c>
      <c r="B142" s="121" t="inlineStr">
        <is>
          <t>CALIFORNIA ADVENTIST</t>
        </is>
      </c>
      <c r="C142" s="121" t="n">
        <v>46063173</v>
      </c>
      <c r="D142" s="121" t="n">
        <v>1</v>
      </c>
      <c r="E142" s="121" t="inlineStr">
        <is>
          <t xml:space="preserve">Los </t>
        </is>
      </c>
      <c r="F142" s="121" t="inlineStr">
        <is>
          <t>COVERED</t>
        </is>
      </c>
      <c r="G142" s="121">
        <f> California Credit Union</f>
        <v/>
      </c>
    </row>
    <row r="143">
      <c r="A143" s="121" t="inlineStr">
        <is>
          <t>20720</t>
        </is>
      </c>
      <c r="B143" s="121" t="inlineStr">
        <is>
          <t>L. A. MISSION</t>
        </is>
      </c>
      <c r="C143" s="121" t="n">
        <v>8606027</v>
      </c>
      <c r="D143" s="121" t="n">
        <v>1</v>
      </c>
      <c r="E143" s="121" t="inlineStr">
        <is>
          <t xml:space="preserve">Los </t>
        </is>
      </c>
      <c r="F143" s="121" t="inlineStr">
        <is>
          <t>COVERED</t>
        </is>
      </c>
      <c r="G143" s="121">
        <f> Mission Federal Credit Union</f>
        <v/>
      </c>
    </row>
    <row r="144">
      <c r="A144" s="121" t="inlineStr">
        <is>
          <t>16570</t>
        </is>
      </c>
      <c r="B144" s="121" t="inlineStr">
        <is>
          <t>LOS ANGELES LEE</t>
        </is>
      </c>
      <c r="C144" s="121" t="n">
        <v>644510</v>
      </c>
      <c r="D144" s="121" t="n">
        <v>2</v>
      </c>
      <c r="E144" s="121" t="inlineStr">
        <is>
          <t xml:space="preserve">Los </t>
        </is>
      </c>
      <c r="F144" s="121" t="inlineStr">
        <is>
          <t>COVERED</t>
        </is>
      </c>
      <c r="G144" s="121">
        <f> Los Angeles Federal Credit Union</f>
        <v/>
      </c>
    </row>
  </sheetData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13" t="inlineStr">
        <is>
          <t>NO-DOC STRATEGY — 2026-06-09</t>
        </is>
      </c>
    </row>
    <row r="3" ht="64" customHeight="1">
      <c r="A3" s="140" t="inlineStr">
        <is>
          <t>TOP ACTION ORDER (join/apply today)</t>
        </is>
      </c>
      <c r="B3" s="121" t="inlineStr">
        <is>
          <t>1) BCU — join free via Life.Money.You (soft TU, NO-Chex x3 DPs) → biz Visa $0 AF + LOC. 2) University CU — $5 online join (any SoCal college alum) → biz MC. 3) AdelFi — nationwide faith join → 3 biz cards 1.5% (PSCU/FIS). 4) America First — Fontana/SB residents (hard pull to join) → $500-$50K biz Visa. 5) CB&amp;T — fully online for std LLC, ≤$250K advertised. 6) SDCCU/Nuvision online apps. 7) Sunwest Visionary (no PG/pull, cash-flow). 8) Enterprise B&amp;T RM (get $50K box in writing). 9) Thinkwise (volunteer FOM, 9.99% fixed). 10) Mercury IO (no-pull fintech).</t>
        </is>
      </c>
    </row>
    <row r="4" ht="64" customHeight="1">
      <c r="A4" s="141" t="inlineStr">
        <is>
          <t>CHEX/EWS PLAY</t>
        </is>
      </c>
      <c r="B4" s="121" t="inlineStr">
        <is>
          <t>Freeze Chex (free, self-serve) + EWS (800-745-1560) BEFORE the sprint. Freeze blocks PNC's Chex; CCU/Rize/Grasshopper demand thaws. Bank where there's no Chex screening needed for the card's checking gate; pull own Chex+EWS files first (Premier America denies @3 Chex inq/90d).</t>
        </is>
      </c>
    </row>
    <row r="5" ht="64" customHeight="1">
      <c r="A5" s="141" t="inlineStr">
        <is>
          <t>SEQUENCE BY PULL COST</t>
        </is>
      </c>
      <c r="B5" s="121" t="inlineStr">
        <is>
          <t>Phase 0 no-pull (Sunwest Visionary, Mercury) → Phase 1 soft (PNC BusinessOptions soft-EQ — 2yr TIB criterion; BCU join) → Phase 2 bureau-spread hard pulls (verified buckets: EX=PNC-cards/Kinecta/SDCCU-card; EQ=KeyBank-soft/CCU-mentor; TU=BMO/LAFCU-join) → Phase 3 memberships batched (Kinecta same-HP 2-card play).</t>
        </is>
      </c>
    </row>
    <row r="6" ht="64" customHeight="1">
      <c r="A6" s="141" t="inlineStr">
        <is>
          <t>RM/LOC LANE (no online app = feature)</t>
        </is>
      </c>
      <c r="B6" s="121" t="inlineStr">
        <is>
          <t>Enterprise B&amp;T (jmorrow; referral-fee rail), Golden Bank (WC LOC + in-house SBA PLP), AFNB, HAB, SWNB, City National (cleanest no-Chex footprint), CalPrivate, Western Alliance. Demand the underwriting box in writing; your outcome = first DP.</t>
        </is>
      </c>
    </row>
    <row r="7" ht="64" customHeight="1">
      <c r="A7" s="141" t="inlineStr">
        <is>
          <t>CALENDAR</t>
        </is>
      </c>
      <c r="B7" s="121" t="inlineStr">
        <is>
          <t>6/30: WaFd reopens — verify new provider ≠ Elan. Q3-2026: First Foundation/Sunflower conversion — re-test Card Assets program + the no-Chex DP. Quarterly: re-run census top-up (FDIC locations API + NCUA zip).</t>
        </is>
      </c>
    </row>
  </sheetData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12" customWidth="1" min="3" max="3"/>
    <col width="64" customWidth="1" min="4" max="4"/>
  </cols>
  <sheetData>
    <row r="1">
      <c r="A1" s="113" t="inlineStr">
        <is>
          <t>VERIFICATION LOG — systematic X/Y/Z checks, each step dated + linked</t>
        </is>
      </c>
    </row>
    <row r="3">
      <c r="A3" s="115" t="inlineStr">
        <is>
          <t>Step</t>
        </is>
      </c>
      <c r="B3" s="115" t="inlineStr">
        <is>
          <t>What was done / result</t>
        </is>
      </c>
      <c r="C3" s="115" t="inlineStr">
        <is>
          <t>Date</t>
        </is>
      </c>
      <c r="D3" s="115" t="inlineStr">
        <is>
          <t>Evidence / links</t>
        </is>
      </c>
    </row>
    <row r="4">
      <c r="A4" s="120" t="inlineStr">
        <is>
          <t>FDIC SOD census pull</t>
        </is>
      </c>
      <c r="B4" s="121" t="inlineStr">
        <is>
          <t>2,383 branches → 113 banks, 4 counties, YEAR=2025</t>
        </is>
      </c>
      <c r="C4" s="121" t="inlineStr">
        <is>
          <t>2026-06-09</t>
        </is>
      </c>
      <c r="D4" s="121" t="inlineStr">
        <is>
          <t>banks.data.fdic.gov/api/sod | research/sod_census_full_20260609.csv</t>
        </is>
      </c>
    </row>
    <row r="5">
      <c r="A5" s="120" t="inlineStr">
        <is>
          <t>NCUA census pull</t>
        </is>
      </c>
      <c r="B5" s="121" t="inlineStr">
        <is>
          <t>140 CUs via Credit Union Branch Information + FS220 assets</t>
        </is>
      </c>
      <c r="C5" s="121" t="inlineStr">
        <is>
          <t>2026-06-09</t>
        </is>
      </c>
      <c r="D5" s="121" t="inlineStr">
        <is>
          <t>ncua.gov call-report-data-2026-03.zip | research/ncua_cu_census_full_20260609.csv</t>
        </is>
      </c>
    </row>
    <row r="6">
      <c r="A6" s="120" t="inlineStr">
        <is>
          <t>ibanknet attempts</t>
        </is>
      </c>
      <c r="B6" s="121" t="inlineStr">
        <is>
          <t>DOWN — 3x 60s timeouts + final retry (4th) also timed out</t>
        </is>
      </c>
      <c r="C6" s="121" t="inlineStr">
        <is>
          <t>2026-06-09</t>
        </is>
      </c>
      <c r="D6" s="121" t="inlineStr">
        <is>
          <t>ibanknet.com getbanklist.aspx — substitute engines used</t>
        </is>
      </c>
    </row>
    <row r="7">
      <c r="A7" s="120" t="inlineStr">
        <is>
          <t>Second-engine: banks</t>
        </is>
      </c>
      <c r="B7" s="121" t="inlineStr">
        <is>
          <t>FDIC locations API (index 2026-06-05): 0 misses as of Jun-2025 snapshot; 3 post-cutoff adds + 5 retags</t>
        </is>
      </c>
      <c r="C7" s="121" t="inlineStr">
        <is>
          <t>2026-06-09</t>
        </is>
      </c>
      <c r="D7" s="121" t="inlineStr">
        <is>
          <t>api.fdic.gov/banks/locations; koreatimes.co.kr 8/26/25; newportbeachindy.com; ir.53.com; prnewswire 12/2/25</t>
        </is>
      </c>
    </row>
    <row r="8">
      <c r="A8" s="120" t="inlineStr">
        <is>
          <t>Second-engine: CUs</t>
        </is>
      </c>
      <c r="B8" s="121" t="inlineStr">
        <is>
          <t>NCUA Locator 34-city sweep: 0 genuine misses; 4 census false-positives flagged (DIRECT/CU-NJ/N-Iowa/ValleyAg)</t>
        </is>
      </c>
      <c r="C8" s="121" t="inlineStr">
        <is>
          <t>2026-06-09</t>
        </is>
      </c>
      <c r="D8" s="121" t="inlineStr">
        <is>
          <t>mapping.ncua.gov/api/Search/GetSearchLocations</t>
        </is>
      </c>
    </row>
    <row r="9">
      <c r="A9" s="120" t="inlineStr">
        <is>
          <t>Structural audit</t>
        </is>
      </c>
      <c r="B9" s="121" t="inlineStr">
        <is>
          <t>FSAs+ILCs in; 7 ASI CUs captured; foreign agencies deliberately excluded; LPO list noted</t>
        </is>
      </c>
      <c r="C9" s="121" t="inlineStr">
        <is>
          <t>2026-06-09</t>
        </is>
      </c>
      <c r="D9" s="121" t="inlineStr">
        <is>
          <t>dfpi.ca.gov foreign-bank directory; americanshare.com</t>
        </is>
      </c>
    </row>
    <row r="10">
      <c r="A10" s="120" t="inlineStr">
        <is>
          <t>10 gap banks screened</t>
        </is>
      </c>
      <c r="B10" s="121" t="inlineStr">
        <is>
          <t>0 new card plays; EverBank=Elan NO-GO; First IC→Metro City; 4 weak RM-LOC</t>
        </is>
      </c>
      <c r="C10" s="121" t="inlineStr">
        <is>
          <t>2026-06-09</t>
        </is>
      </c>
      <c r="D10" s="121" t="inlineStr">
        <is>
          <t>everbank.com; tustin.bank; goldenbank-na.com; per-row links in master</t>
        </is>
      </c>
    </row>
    <row r="11">
      <c r="A11" s="120" t="inlineStr">
        <is>
          <t>12 priority CUs screened</t>
        </is>
      </c>
      <c r="B11" s="121" t="inlineStr">
        <is>
          <t>AdelFi GO; America First GO-SB; CommunityAmerica conditional; Matadors=Elan; 8 NO-GO</t>
        </is>
      </c>
      <c r="C11" s="121" t="inlineStr">
        <is>
          <t>2026-06-09</t>
        </is>
      </c>
      <c r="D11" s="121" t="inlineStr">
        <is>
          <t>adelfibanking.com; americafirst.com; communityamerica.com; matadors.org</t>
        </is>
      </c>
    </row>
    <row r="12">
      <c r="A12" s="120" t="inlineStr">
        <is>
          <t>85 SEG CUs triaged</t>
        </is>
      </c>
      <c r="B12" s="121" t="inlineStr">
        <is>
          <t>85/85: 8 candidates + 3 borderline + 70 skips + artifacts</t>
        </is>
      </c>
      <c r="C12" s="121" t="inlineStr">
        <is>
          <t>2026-06-09</t>
        </is>
      </c>
      <c r="D12" s="121" t="inlineStr">
        <is>
          <t>per-CU URLs in triage (carried to master verdicts)</t>
        </is>
      </c>
    </row>
    <row r="13">
      <c r="A13" s="120" t="inlineStr">
        <is>
          <t>11 candidates full-screened</t>
        </is>
      </c>
      <c r="B13" s="121" t="inlineStr">
        <is>
          <t>BCU #1 (no-Chex x3 DPs, soft-TU join); Thinkwise #2; UCU #3; Skyla NC/SC-gated; 5 no-product</t>
        </is>
      </c>
      <c r="C13" s="121" t="inlineStr">
        <is>
          <t>2026-06-09</t>
        </is>
      </c>
      <c r="D13" s="121" t="inlineStr">
        <is>
          <t>bcu.org membership-eligibility; thinkwisecu.org; ucu.org; skylacu.com</t>
        </is>
      </c>
    </row>
    <row r="14">
      <c r="A14" s="120" t="inlineStr">
        <is>
          <t>Hana + Citizens</t>
        </is>
      </c>
      <c r="B14" s="121" t="inlineStr">
        <is>
          <t>Both bot-blocked — rows added 'screen pending'</t>
        </is>
      </c>
      <c r="C14" s="121" t="inlineStr">
        <is>
          <t>2026-06-09</t>
        </is>
      </c>
      <c r="D14" s="121" t="inlineStr">
        <is>
          <t>hanabankusa.com 403; citizensbank.com 403</t>
        </is>
      </c>
    </row>
    <row r="15">
      <c r="A15" s="120" t="inlineStr">
        <is>
          <t>EWS/Chex evidence base</t>
        </is>
      </c>
      <c r="B15" s="121" t="inlineStr">
        <is>
          <t>85-row dated DP log (tab 6) + doc-vs-web columns (tab 5) + tier board (tab 0)</t>
        </is>
      </c>
      <c r="C15" s="121" t="inlineStr">
        <is>
          <t>2026-06-09</t>
        </is>
      </c>
      <c r="D15" s="121" t="inlineStr">
        <is>
          <t>chexsystems.com/security-freeze; earlywarning.com sample-disclosure PDF; DoC lists</t>
        </is>
      </c>
    </row>
    <row r="16">
      <c r="A16" s="120" t="inlineStr">
        <is>
          <t>Distances</t>
        </is>
      </c>
      <c r="B16" s="121" t="inlineStr">
        <is>
          <t>Computed for all rows vs LB-90802 + Fontana-92335 ZCTA centroids (Census 2024 gazetteer, 33,791 ZCTAs)</t>
        </is>
      </c>
      <c r="C16" s="121" t="inlineStr">
        <is>
          <t>2026-06-09</t>
        </is>
      </c>
      <c r="D16" s="121" t="inlineStr">
        <is>
          <t>www2.census.gov 2024_Gaz_zcta_national.zip — PENDING exact addresses</t>
        </is>
      </c>
    </row>
    <row r="17">
      <c r="A17" s="120" t="inlineStr">
        <is>
          <t>Count reconciliation</t>
        </is>
      </c>
      <c r="B17" s="121" t="inlineStr">
        <is>
          <t>113 banks +3 adds (Hana/Citizens/MetroCity; Comerica retagged to 5/3) + 140 CUs − artifacts → see master count row</t>
        </is>
      </c>
      <c r="C17" s="121" t="inlineStr">
        <is>
          <t>2026-06-09</t>
        </is>
      </c>
      <c r="D17" s="121" t="inlineStr">
        <is>
          <t>this build log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50" customWidth="1" min="3" max="3"/>
  </cols>
  <sheetData>
    <row r="1">
      <c r="A1" s="113" t="inlineStr">
        <is>
          <t>WHY ENTERPRISE &amp; LAFCU WERE MISSED — AND THE ENGINE THAT PREVENTS IT</t>
        </is>
      </c>
    </row>
    <row r="3" ht="58" customHeight="1">
      <c r="A3" s="151" t="inlineStr">
        <is>
          <t>ENTERPRISE B&amp;T — why missed</t>
        </is>
      </c>
      <c r="B3" s="121" t="inlineStr">
        <is>
          <t>Universe was built from a CA-HEADQUARTERS filter (117 CA-chartered banks). Enterprise = Clayton MO HQ; its 7 SoCal ex-First Choice branches were structurally invisible — verification depth only ever ran on names already inside the list. AND its $50K/no-financials program is banker-channel (referral-fee rail published on their SBA page) — not on the public web at all.</t>
        </is>
      </c>
      <c r="C3" s="121" t="inlineStr">
        <is>
          <t>enterprisebank.com/business/sba-lending; locations pages</t>
        </is>
      </c>
    </row>
    <row r="4" ht="58" customHeight="1">
      <c r="A4" s="151" t="inlineStr">
        <is>
          <t>LAFCU — why missed</t>
        </is>
      </c>
      <c r="B4" s="121" t="inlineStr">
        <is>
          <t>CU universe was asset-ranked picks (Wave 2: 8 CUs, Wave 4: 10), never a county census. LAFCU ($1.2B) sat below every cut line. FDIC SOD doesn't cover CUs; the NCUA branch file was never pulled until 6/9.</t>
        </is>
      </c>
      <c r="C4" s="121" t="inlineStr">
        <is>
          <t>ncua.gov call-report zip — one file surfaces it + 97 more</t>
        </is>
      </c>
    </row>
    <row r="5" ht="58" customHeight="1">
      <c r="A5" s="151" t="inlineStr">
        <is>
          <t>THE FIX (4-engine discovery)</t>
        </is>
      </c>
      <c r="B5" s="121" t="inlineStr">
        <is>
          <t>1) Branch census by COUNTY not HQ (SOD annual + NCUA quarterly, re-diffed). 2) Broker/influencer channel mined as discovery feed, then independently verified (their public layer names only nationals; locals move via banker referrals). 3) RM-outreach lane — no-online-app is a POSITIVE discovery signal. 4) Forum DP engine (myFICO/DoC/Reddit, dated+linked) as the truth filter.</t>
        </is>
      </c>
      <c r="C5" s="121" t="inlineStr">
        <is>
          <t>Proof: this week surfaced BCU, AdelFi, America First, Skyla, Thinkwise, UCU, Alta Vista, Enterprise-class adds — none on any prior list</t>
        </is>
      </c>
    </row>
    <row r="6" ht="58" customHeight="1">
      <c r="A6" s="151" t="inlineStr">
        <is>
          <t>SCORING BIAS LESSON</t>
        </is>
      </c>
      <c r="B6" s="121" t="inlineStr">
        <is>
          <t>Old Rec-score boosted apply-online → buried RM-channel banks where no-doc discretion lives. Master list now buckets RM/LOC lane separately instead of penalizing it.</t>
        </is>
      </c>
      <c r="C6" s="121" t="n"/>
    </row>
    <row r="7" ht="58" customHeight="1">
      <c r="A7" s="151" t="inlineStr">
        <is>
          <t>DATA DECAY LESSON</t>
        </is>
      </c>
      <c r="B7" s="121" t="inlineStr">
        <is>
          <t>3 verdicts flipped on dated evidence in ONE pass (Grasshopper now pulls Chex; CCU Chex-sensitive; PNC = EWS-not-Chex). Every claim carries date+link; re-verify &gt;12mo before acting; quarterly census top-up.</t>
        </is>
      </c>
      <c r="C7" s="121" t="inlineStr">
        <is>
          <t>tab 6 DP log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2026-06-10T19:29:38Z</dcterms:created>
  <dcterms:modified xmlns:dcterms="http://purl.org/dc/terms/" xmlns:xsi="http://www.w3.org/2001/XMLSchema-instance" xsi:type="dcterms:W3CDTF">2026-06-10T19:29:51Z</dcterms:modified>
</cp:coreProperties>
</file>