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ing Table" sheetId="1" state="visible" r:id="rId1"/>
    <sheet name="Legend" sheetId="2" state="visible" r:id="rId2"/>
    <sheet name="FDIC SOD Census (4cty)" sheetId="3" state="visible" r:id="rId3"/>
    <sheet name="NCUA CU Census (4cty)" sheetId="4" state="visible" r:id="rId4"/>
  </sheets>
  <definedNames>
    <definedName name="_xlnm._FilterDatabase" localSheetId="0" hidden="1">'Funding Table'!$A$1:$AJ$1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2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9D08E"/>
      </patternFill>
    </fill>
    <fill>
      <patternFill patternType="solid">
        <fgColor rgb="00BDD7EE"/>
      </patternFill>
    </fill>
    <fill>
      <patternFill patternType="solid">
        <fgColor rgb="00D9EAD3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8EAADB"/>
      </patternFill>
    </fill>
    <fill>
      <patternFill patternType="solid">
        <fgColor rgb="00EFEFEF"/>
      </patternFill>
    </fill>
    <fill>
      <patternFill patternType="solid">
        <fgColor rgb="00CCC0DA"/>
      </patternFill>
    </fill>
    <fill>
      <patternFill patternType="solid">
        <fgColor rgb="00FFF2CC"/>
      </patternFill>
    </fill>
    <fill>
      <patternFill patternType="solid">
        <fgColor rgb="00A2C4C9"/>
      </patternFill>
    </fill>
    <fill>
      <patternFill patternType="solid">
        <fgColor rgb="00E2EFDA"/>
      </patternFill>
    </fill>
    <fill>
      <patternFill patternType="solid">
        <fgColor rgb="00CFE2F3"/>
      </patternFill>
    </fill>
    <fill>
      <patternFill patternType="solid">
        <fgColor rgb="00B6D7A8"/>
      </patternFill>
    </fill>
    <fill>
      <patternFill patternType="solid">
        <fgColor rgb="00F4B183"/>
      </patternFill>
    </fill>
    <fill>
      <patternFill patternType="solid">
        <fgColor rgb="00E6B8AF"/>
      </patternFill>
    </fill>
    <fill>
      <patternFill patternType="solid">
        <fgColor rgb="00FFE599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2" fillId="6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2" fillId="11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2" fillId="16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2" fillId="19" borderId="0" pivotButton="0" quotePrefix="0" xfId="0"/>
    <xf numFmtId="0" fontId="0" fillId="19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30" customWidth="1" min="3" max="3"/>
    <col width="13" customWidth="1" min="4" max="4"/>
    <col width="17" customWidth="1" min="5" max="5"/>
    <col width="17" customWidth="1" min="6" max="6"/>
    <col width="38" customWidth="1" min="7" max="7"/>
    <col width="34" customWidth="1" min="8" max="8"/>
    <col width="34" customWidth="1" min="9" max="9"/>
    <col width="18" customWidth="1" min="10" max="10"/>
    <col width="40" customWidth="1" min="11" max="11"/>
    <col width="9" customWidth="1" min="12" max="12"/>
    <col width="9" customWidth="1" min="13" max="13"/>
    <col width="40" customWidth="1" min="14" max="14"/>
    <col width="24" customWidth="1" min="15" max="15"/>
    <col width="10" customWidth="1" min="16" max="16"/>
    <col width="34" customWidth="1" min="17" max="17"/>
    <col width="18" customWidth="1" min="18" max="18"/>
    <col width="11" customWidth="1" min="19" max="19"/>
    <col width="38" customWidth="1" min="20" max="20"/>
    <col width="26" customWidth="1" min="21" max="21"/>
    <col width="30" customWidth="1" min="22" max="22"/>
    <col width="22" customWidth="1" min="23" max="23"/>
    <col width="26" customWidth="1" min="24" max="24"/>
    <col width="50" customWidth="1" min="25" max="25"/>
    <col width="7" customWidth="1" min="26" max="26"/>
    <col width="30" customWidth="1" min="27" max="27"/>
    <col width="34" customWidth="1" min="28" max="28"/>
    <col width="22" customWidth="1" min="29" max="29"/>
    <col width="28" customWidth="1" min="30" max="30"/>
    <col width="40" customWidth="1" min="31" max="31"/>
    <col width="24" customWidth="1" min="32" max="32"/>
    <col width="16" customWidth="1" min="33" max="33"/>
    <col width="7" customWidth="1" min="34" max="34"/>
    <col width="34" customWidth="1" min="35" max="35"/>
    <col width="50" customWidth="1" min="36" max="36"/>
  </cols>
  <sheetData>
    <row r="1">
      <c r="A1" s="1" t="inlineStr">
        <is>
          <t>Rec Rank</t>
        </is>
      </c>
      <c r="B1" s="1" t="inlineStr">
        <is>
          <t>Rec Pick #</t>
        </is>
      </c>
      <c r="C1" s="1" t="inlineStr">
        <is>
          <t>Bank</t>
        </is>
      </c>
      <c r="D1" s="1" t="inlineStr">
        <is>
          <t>Type</t>
        </is>
      </c>
      <c r="E1" s="1" t="inlineStr">
        <is>
          <t>SoCal Priority</t>
        </is>
      </c>
      <c r="F1" s="1" t="inlineStr">
        <is>
          <t>Meets Gold?</t>
        </is>
      </c>
      <c r="G1" s="1" t="inlineStr">
        <is>
          <t>ChexSystems (deposit)</t>
        </is>
      </c>
      <c r="H1" s="1" t="inlineStr">
        <is>
          <t>EWS (deposit)</t>
        </is>
      </c>
      <c r="I1" s="1" t="inlineStr">
        <is>
          <t>Mentor List</t>
        </is>
      </c>
      <c r="J1" s="1" t="inlineStr">
        <is>
          <t>Card Category</t>
        </is>
      </c>
      <c r="K1" s="1" t="inlineStr">
        <is>
          <t>Est. Credit Limit</t>
        </is>
      </c>
      <c r="L1" s="1" t="inlineStr">
        <is>
          <t>Assets</t>
        </is>
      </c>
      <c r="M1" s="1" t="inlineStr">
        <is>
          <t>Deposits</t>
        </is>
      </c>
      <c r="N1" s="1" t="inlineStr">
        <is>
          <t>CA Footprint</t>
        </is>
      </c>
      <c r="O1" s="1" t="inlineStr">
        <is>
          <t>CA Presence</t>
        </is>
      </c>
      <c r="P1" s="1" t="inlineStr">
        <is>
          <t>Self-UW?</t>
        </is>
      </c>
      <c r="Q1" s="1" t="inlineStr">
        <is>
          <t>Business Card?</t>
        </is>
      </c>
      <c r="R1" s="1" t="inlineStr">
        <is>
          <t>Underwriter</t>
        </is>
      </c>
      <c r="S1" s="1" t="inlineStr">
        <is>
          <t>Apply</t>
        </is>
      </c>
      <c r="T1" s="1" t="inlineStr">
        <is>
          <t>How to Apply</t>
        </is>
      </c>
      <c r="U1" s="1" t="inlineStr">
        <is>
          <t>Website</t>
        </is>
      </c>
      <c r="V1" s="1" t="inlineStr">
        <is>
          <t>Biz Card Link</t>
        </is>
      </c>
      <c r="W1" s="1" t="inlineStr">
        <is>
          <t>HP Bureau</t>
        </is>
      </c>
      <c r="X1" s="1" t="inlineStr">
        <is>
          <t>Reports To (biz bureaus)</t>
        </is>
      </c>
      <c r="Y1" s="1" t="inlineStr">
        <is>
          <t>Approval Info &amp; Limits (+link)</t>
        </is>
      </c>
      <c r="Z1" s="1" t="inlineStr">
        <is>
          <t>No-Doc Fit (/5)</t>
        </is>
      </c>
      <c r="AA1" s="1" t="inlineStr">
        <is>
          <t>PG / Tax Returns</t>
        </is>
      </c>
      <c r="AB1" s="1" t="inlineStr">
        <is>
          <t>Other No-Doc Funding</t>
        </is>
      </c>
      <c r="AC1" s="1" t="inlineStr">
        <is>
          <t>Deposit Acct?</t>
        </is>
      </c>
      <c r="AD1" s="1" t="inlineStr">
        <is>
          <t>Best For</t>
        </is>
      </c>
      <c r="AE1" s="1" t="inlineStr">
        <is>
          <t>Card Products</t>
        </is>
      </c>
      <c r="AF1" s="1" t="inlineStr">
        <is>
          <t>Region / Metro</t>
        </is>
      </c>
      <c r="AG1" s="1" t="inlineStr">
        <is>
          <t>City (HQ)</t>
        </is>
      </c>
      <c r="AH1" s="1" t="inlineStr">
        <is>
          <t>Asset Rank</t>
        </is>
      </c>
      <c r="AI1" s="1" t="inlineStr">
        <is>
          <t>Confidence / Date</t>
        </is>
      </c>
      <c r="AJ1" s="1" t="inlineStr">
        <is>
          <t>Sources</t>
        </is>
      </c>
    </row>
    <row r="2">
      <c r="A2" t="inlineStr">
        <is>
          <t>1</t>
        </is>
      </c>
      <c r="B2" t="inlineStr">
        <is>
          <t>1</t>
        </is>
      </c>
      <c r="C2" s="2" t="inlineStr">
        <is>
          <t>Chase (JPMorgan Chase)</t>
        </is>
      </c>
      <c r="D2" s="3" t="inlineStr">
        <is>
          <t>National</t>
        </is>
      </c>
      <c r="E2" t="inlineStr">
        <is>
          <t>National (lends in CA)</t>
        </is>
      </c>
      <c r="F2" s="4" t="inlineStr">
        <is>
          <t>3/4  ✓SUW ✓Onl ✗SoCal ✓Card</t>
        </is>
      </c>
      <c r="G2" s="5" t="inlineStr">
        <is>
          <t>No — does not pull (DoC list 2025-08-07; Chex-report DP 2026-04-14; biz also no-pull ×4)</t>
        </is>
      </c>
      <c r="H2" s="6" t="inlineStr">
        <is>
          <t>Yes — pulls + reports (EWS co-owner; DPs 2026-05-22)</t>
        </is>
      </c>
      <c r="I2" t="inlineStr"/>
      <c r="J2" t="inlineStr">
        <is>
          <t>A — Self-UW (online)</t>
        </is>
      </c>
      <c r="K2" t="inlineStr">
        <is>
          <t>$5K–$36K (2mo biz→$5K; $500K rev→$16K)  [myFICO #6803261]</t>
        </is>
      </c>
      <c r="L2" t="inlineStr">
        <is>
          <t>~$4.9T (largest US bank)</t>
        </is>
      </c>
      <c r="M2" t="inlineStr">
        <is>
          <t>~$2.7T</t>
        </is>
      </c>
      <c r="N2" t="inlineStr">
        <is>
          <t>National; extensive CA retail + business presence</t>
        </is>
      </c>
      <c r="O2" t="inlineStr">
        <is>
          <t>Major CA (branches + lending)</t>
        </is>
      </c>
      <c r="P2" t="inlineStr">
        <is>
          <t>Yes</t>
        </is>
      </c>
      <c r="Q2" t="inlineStr">
        <is>
          <t>✅ Ink Cash/Unlimited: 0% 12 mo, $0 AF; Ink Preferred $95; Ink Premier $195</t>
        </is>
      </c>
      <c r="R2" s="7" t="inlineStr">
        <is>
          <t>Self (JPMorgan Chase Bank NA)</t>
        </is>
      </c>
      <c r="S2" t="inlineStr">
        <is>
          <t>Online</t>
        </is>
      </c>
      <c r="T2" t="inlineStr">
        <is>
          <t>Online — apply at https://creditcards.chase.com/business-credit-cards/ink/cash</t>
        </is>
      </c>
      <c r="U2" t="inlineStr">
        <is>
          <t>https://creditcards.chase.com/business-credit-cards</t>
        </is>
      </c>
      <c r="V2" t="inlineStr">
        <is>
          <t>https://creditcards.chase.com/business-credit-cards/ink/cash</t>
        </is>
      </c>
      <c r="W2" t="inlineStr">
        <is>
          <t>Experian-lean (CA mixed EX/EQ; verify)</t>
        </is>
      </c>
      <c r="X2" t="inlineStr">
        <is>
          <t>Personal: only on default (Ink doesn't ADD to 5/24). Business: per-product, conflicting -&gt; N/M</t>
        </is>
      </c>
      <c r="Y2" t="inlineStr">
        <is>
          <t>5/24 GATE: 5+ new personal cards/24mo = denied; but Ink doesn't add to the count. 'Ink train': ~1 Ink per 90 days (wait 4-6mo); 4 open Inks -&gt; ~0% odds. Limits $5K-$36K; 2mo-old biz-&gt;$5K, $500K rev-&gt;$16K. myfico.com #6803261 / #6823313</t>
        </is>
      </c>
      <c r="Z2" t="inlineStr">
        <is>
          <t>3</t>
        </is>
      </c>
      <c r="AA2" t="inlineStr">
        <is>
          <t>PG yes; NO tax returns (cards)</t>
        </is>
      </c>
      <c r="AB2" t="inlineStr">
        <is>
          <t>Chase Business Line of Credit (existing customers; data-only path ~$100K+ rev, FICO 660+)</t>
        </is>
      </c>
      <c r="AC2" t="inlineStr">
        <is>
          <t>No (Business LOC path needs Chase deposit acct)</t>
        </is>
      </c>
      <c r="AD2" t="inlineStr">
        <is>
          <t>★ The 'Ink train' — stack multiple Inks</t>
        </is>
      </c>
      <c r="AE2" t="inlineStr">
        <is>
          <t>Ink Business Cash, Ink Business Unlimited, Ink Business Preferred ($95), Ink Business Premier ($195)</t>
        </is>
      </c>
      <c r="AF2" t="inlineStr">
        <is>
          <t>National — branches + biz banking statewide in CA</t>
        </is>
      </c>
      <c r="AG2" t="inlineStr">
        <is>
          <t>New York, NY</t>
        </is>
      </c>
      <c r="AH2" t="inlineStr">
        <is>
          <t>Natl</t>
        </is>
      </c>
      <c r="AI2" t="inlineStr">
        <is>
          <t>HIGH self/lineup/terms/5-24/Ink-train/personal-default-only; N/M per-product business reporting. 2026-05-28</t>
        </is>
      </c>
      <c r="AJ2" t="inlineStr">
        <is>
          <t>creditcards.chase.com/business-credit-cards/ink; doctorofcredit.com (5/24, Chase pull); thepointsguy.com; myfico.com #6803261</t>
        </is>
      </c>
    </row>
    <row r="3">
      <c r="A3" t="inlineStr">
        <is>
          <t>2</t>
        </is>
      </c>
      <c r="B3" t="inlineStr">
        <is>
          <t>2</t>
        </is>
      </c>
      <c r="C3" s="2" t="inlineStr">
        <is>
          <t>Bank of America</t>
        </is>
      </c>
      <c r="D3" s="3" t="inlineStr">
        <is>
          <t>National</t>
        </is>
      </c>
      <c r="E3" t="inlineStr">
        <is>
          <t>National (lends in CA)</t>
        </is>
      </c>
      <c r="F3" s="4" t="inlineStr">
        <is>
          <t>3/4  ✓SUW ✓Onl ✗SoCal ✓Card</t>
        </is>
      </c>
      <c r="G3" s="5" t="inlineStr">
        <is>
          <t>No — does not pull (DoC 2025-08-07, 9 DPs; comment 2026-03-06)</t>
        </is>
      </c>
      <c r="H3" s="6" t="inlineStr">
        <is>
          <t>Yes — pulls (EWS co-owner; DoC ×4 DPs)</t>
        </is>
      </c>
      <c r="I3" t="inlineStr"/>
      <c r="J3" t="inlineStr">
        <is>
          <t>A — Self-UW (online)</t>
        </is>
      </c>
      <c r="K3" t="inlineStr">
        <is>
          <t>$8K–$16K typ.; up to $39.5K instant  [myFICO #6510094]</t>
        </is>
      </c>
      <c r="L3" t="inlineStr">
        <is>
          <t>~$3.41T</t>
        </is>
      </c>
      <c r="M3" t="inlineStr">
        <is>
          <t>—</t>
        </is>
      </c>
      <c r="N3" t="inlineStr">
        <is>
          <t>~1,065 CA financial centers (most of any state)</t>
        </is>
      </c>
      <c r="O3" t="inlineStr">
        <is>
          <t>Major CA (branches + lending)</t>
        </is>
      </c>
      <c r="P3" t="inlineStr">
        <is>
          <t>Yes</t>
        </is>
      </c>
      <c r="Q3" t="inlineStr">
        <is>
          <t>✅ Business Advantage Cash/Travel: 0% 7-9 cyc, $0 AF; + secured</t>
        </is>
      </c>
      <c r="R3" s="7" t="inlineStr">
        <is>
          <t>Self (Bank of America NA)</t>
        </is>
      </c>
      <c r="S3" t="inlineStr">
        <is>
          <t>Online</t>
        </is>
      </c>
      <c r="T3" t="inlineStr">
        <is>
          <t>Online — apply at https://business.bankofamerica.com/en/credit-cards/business-advantage-unlimited-cash-rewards</t>
        </is>
      </c>
      <c r="U3" t="inlineStr">
        <is>
          <t>https://business.bankofamerica.com/en/credit-cards</t>
        </is>
      </c>
      <c r="V3" t="inlineStr">
        <is>
          <t>https://business.bankofamerica.com/en/credit-cards/business-advantage-unlimited-cash-rewards</t>
        </is>
      </c>
      <c r="W3" t="inlineStr">
        <is>
          <t>Experian-dominant in CA (DoC CA: 15 EX / 6 TU / 4 EQ)</t>
        </is>
      </c>
      <c r="X3" t="inlineStr">
        <is>
          <t>Personal: only on serious delinquency. Business: SBFE (D&amp;B indirect)</t>
        </is>
      </c>
      <c r="Y3" t="inlineStr">
        <is>
          <t>7/12 rule (personal); BUSINESS cards largely EXEMPT + don't add to personal 5/24 -&gt; known workaround. Limits $8-16K typical, up to $39.5K instant. Existing BofA/Merrill relationship is the big lever. Preferred Rewards for Business +25/50/75% rewards. CLI request = hard pull. myfico.com #6510094 / #6816689</t>
        </is>
      </c>
      <c r="Z3" t="inlineStr">
        <is>
          <t>3</t>
        </is>
      </c>
      <c r="AA3" t="inlineStr">
        <is>
          <t>PG yes (SSN); NO tax returns for cards (large/recon requests may ask 2yr returns)</t>
        </is>
      </c>
      <c r="AB3" t="inlineStr">
        <is>
          <t>Unsecured Business LOC (2yr, $100K rev — full-doc, NOT no-doc); Cash-Secured LOC easier</t>
        </is>
      </c>
      <c r="AC3" t="inlineStr">
        <is>
          <t>No (unsecured)</t>
        </is>
      </c>
      <c r="AD3" t="inlineStr">
        <is>
          <t>★ No-doc 0% card — apply online</t>
        </is>
      </c>
      <c r="AE3" t="inlineStr">
        <is>
          <t>Business Advantage Customized Cash Rewards, Unlimited Cash Rewards, Travel Rewards, + Secured</t>
        </is>
      </c>
      <c r="AF3" t="inlineStr">
        <is>
          <t>National — LARGEST CA branch network</t>
        </is>
      </c>
      <c r="AG3" t="inlineStr">
        <is>
          <t>Charlotte, NC</t>
        </is>
      </c>
      <c r="AH3" t="inlineStr">
        <is>
          <t>Natl</t>
        </is>
      </c>
      <c r="AI3" t="inlineStr">
        <is>
          <t>HIGH self/lineup/SBFE/personal-default-only/CA-footprint/7-12-exempt; MED exact 0% length (7 vs 9). 2026-05-28</t>
        </is>
      </c>
      <c r="AJ3" t="inlineStr">
        <is>
          <t>business.bankofamerica.com cards; doctorofcredit.com (BofA pull CA, 7/12); wallethub.com; myfico.com #6510094</t>
        </is>
      </c>
    </row>
    <row r="4">
      <c r="A4" t="inlineStr">
        <is>
          <t>3</t>
        </is>
      </c>
      <c r="B4" t="inlineStr">
        <is>
          <t>3</t>
        </is>
      </c>
      <c r="C4" s="2" t="inlineStr">
        <is>
          <t>Wells Fargo</t>
        </is>
      </c>
      <c r="D4" s="3" t="inlineStr">
        <is>
          <t>National</t>
        </is>
      </c>
      <c r="E4" t="inlineStr">
        <is>
          <t>National (lends in CA)</t>
        </is>
      </c>
      <c r="F4" s="4" t="inlineStr">
        <is>
          <t>3/4  ✓SUW ✓Onl ✗SoCal ✓Card</t>
        </is>
      </c>
      <c r="G4" s="5" t="inlineStr">
        <is>
          <t>No — mostly (DoC 'mixed' 34-no vs 1-yes, 2025-08-07; DP 2026-04-14)</t>
        </is>
      </c>
      <c r="H4" s="6" t="inlineStr">
        <is>
          <t>Yes — pulls (EWS co-owner; BIZ app hits owner's EWS, DP 2019-01-12)</t>
        </is>
      </c>
      <c r="I4" t="inlineStr"/>
      <c r="J4" t="inlineStr">
        <is>
          <t>A — Self-UW (online)</t>
        </is>
      </c>
      <c r="K4" t="inlineStr">
        <is>
          <t>Signify $15K–$60K ($2.5K min guaranteed)  [myFICO #6773132]</t>
        </is>
      </c>
      <c r="L4" t="inlineStr">
        <is>
          <t>~$2.21T</t>
        </is>
      </c>
      <c r="M4" t="inlineStr">
        <is>
          <t>—</t>
        </is>
      </c>
      <c r="N4" t="inlineStr">
        <is>
          <t>HQ San Francisco; extensive statewide CA branches</t>
        </is>
      </c>
      <c r="O4" t="inlineStr">
        <is>
          <t>Major CA (branches + lending)</t>
        </is>
      </c>
      <c r="P4" t="inlineStr">
        <is>
          <t>Yes</t>
        </is>
      </c>
      <c r="Q4" t="inlineStr">
        <is>
          <t>✅ Signify Business Cash: 0% 12 mo, $0 AF, 2% (ONLY card open to new apps)</t>
        </is>
      </c>
      <c r="R4" s="7" t="inlineStr">
        <is>
          <t>Self (Wells Fargo Bank NA)</t>
        </is>
      </c>
      <c r="S4" t="inlineStr">
        <is>
          <t>Online</t>
        </is>
      </c>
      <c r="T4" t="inlineStr">
        <is>
          <t>Online — apply at https://www.wellsfargo.com/biz/business-credit/credit-cards/signify-business-cash-credit-card-terms-conditions/</t>
        </is>
      </c>
      <c r="U4" t="inlineStr">
        <is>
          <t>https://www.wellsfargo.com/biz/business-credit/credit-cards/</t>
        </is>
      </c>
      <c r="V4" t="inlineStr">
        <is>
          <t>https://www.wellsfargo.com/biz/business-credit/credit-cards/signify-business-cash-credit-card-terms-conditions/</t>
        </is>
      </c>
      <c r="W4" t="inlineStr">
        <is>
          <t>CA = Experian-dominant (DoC CA: 9 EX / 2 TU / 1 EQ)</t>
        </is>
      </c>
      <c r="X4" t="inlineStr">
        <is>
          <t>Personal: NEVER (does not report to consumer bureaus). Business: SBFE</t>
        </is>
      </c>
      <c r="Y4" t="inlineStr">
        <is>
          <t>1/6 rule (loosely enforced w/ relationship); biz cards separate track, don't count to 5/24. Signify limits $15K-$60K ($2,500 min guaranteed). Online path favors existing WF customers (~60-day acct DP). myfico.com #6773132 / #6756650</t>
        </is>
      </c>
      <c r="Z4" t="inlineStr">
        <is>
          <t>4</t>
        </is>
      </c>
      <c r="AA4" t="inlineStr">
        <is>
          <t>PG yes (Account Guarantor); NO tax returns (cards)</t>
        </is>
      </c>
      <c r="AB4" t="inlineStr">
        <is>
          <t>BusinessLine LOC (Prime+1.75-9.75%; usually 2yr returns — not no-doc by default)</t>
        </is>
      </c>
      <c r="AC4" t="inlineStr">
        <is>
          <t>No (WF account optional, for overdraft)</t>
        </is>
      </c>
      <c r="AD4" t="inlineStr">
        <is>
          <t>★ Never reports to personal (CA-HQ)</t>
        </is>
      </c>
      <c r="AE4" t="inlineStr">
        <is>
          <t>Signify Business Cash (OPEN); Business Elite Signature + Business Platinum (CLOSED to new apps)</t>
        </is>
      </c>
      <c r="AF4" t="inlineStr">
        <is>
          <t>National — HQ in CA; huge CA branch network</t>
        </is>
      </c>
      <c r="AG4" t="inlineStr">
        <is>
          <t>San Francisco, CA</t>
        </is>
      </c>
      <c r="AH4" t="inlineStr">
        <is>
          <t>Natl</t>
        </is>
      </c>
      <c r="AI4" t="inlineStr">
        <is>
          <t>HIGH self/Signify-terms/SBFE/personal-NEVER/CA-HQ; MED only-Signify-open. 2026-05-28</t>
        </is>
      </c>
      <c r="AJ4" t="inlineStr">
        <is>
          <t>wellsfargo.com Signify T&amp;C + agreement (SBFE, PG); doctorofcredit.com (WF pull CA); myfico.com #6773132</t>
        </is>
      </c>
    </row>
    <row r="5">
      <c r="A5" t="inlineStr">
        <is>
          <t>4</t>
        </is>
      </c>
      <c r="B5" t="inlineStr">
        <is>
          <t>4</t>
        </is>
      </c>
      <c r="C5" s="2" t="inlineStr">
        <is>
          <t>U.S. Bank (direct)</t>
        </is>
      </c>
      <c r="D5" s="3" t="inlineStr">
        <is>
          <t>National</t>
        </is>
      </c>
      <c r="E5" t="inlineStr">
        <is>
          <t>National (lends in CA)</t>
        </is>
      </c>
      <c r="F5" s="4" t="inlineStr">
        <is>
          <t>3/4  ✓SUW ✓Onl ✗SoCal ✓Card</t>
        </is>
      </c>
      <c r="G5" s="6" t="inlineStr">
        <is>
          <t>Yes — pulls, incl. business (Chex-report DP 2025-05/2026-05-08; biz DP 2025-10-17, not sensitive)</t>
        </is>
      </c>
      <c r="H5" s="6" t="inlineStr">
        <is>
          <t>Yes — pulls (EWS co-owner; 'US Bank &amp; Elan' inquiries DP 2026-05-22)</t>
        </is>
      </c>
      <c r="I5" t="inlineStr"/>
      <c r="J5" t="inlineStr">
        <is>
          <t>A — Self-UW (online)</t>
        </is>
      </c>
      <c r="K5" t="inlineStr">
        <is>
          <t>$3K–$10K typ.; $20K–$35K strong/long-relationship  [myFICO #6845780]</t>
        </is>
      </c>
      <c r="L5" t="inlineStr">
        <is>
          <t>~$695B (5th-largest US bank)</t>
        </is>
      </c>
      <c r="M5" t="inlineStr">
        <is>
          <t>—</t>
        </is>
      </c>
      <c r="N5" t="inlineStr">
        <is>
          <t>National; large West/CA branch network</t>
        </is>
      </c>
      <c r="O5" t="inlineStr">
        <is>
          <t>Major CA (branches + lending)</t>
        </is>
      </c>
      <c r="P5" t="inlineStr">
        <is>
          <t>Yes</t>
        </is>
      </c>
      <c r="Q5" t="inlineStr">
        <is>
          <t>✅ Triple Cash: 0% 12 cyc, $0 AF, 3% cats; Business Shield/Platinum: 0% UP TO 18 cyc (in-branch) / 12 (online)</t>
        </is>
      </c>
      <c r="R5" s="7" t="inlineStr">
        <is>
          <t>Self (U.S. Bank NA)</t>
        </is>
      </c>
      <c r="S5" t="inlineStr">
        <is>
          <t>Online</t>
        </is>
      </c>
      <c r="T5" t="inlineStr">
        <is>
          <t>Online — apply at https://www.usbank.com/business-banking/business-credit-cards/business-triple-cash-back-credit-card.html</t>
        </is>
      </c>
      <c r="U5" t="inlineStr">
        <is>
          <t>https://www.usbank.com/business-banking/business-credit-cards.html</t>
        </is>
      </c>
      <c r="V5" t="inlineStr">
        <is>
          <t>https://www.usbank.com/business-banking/business-credit-cards/business-triple-cash-back-credit-card.html</t>
        </is>
      </c>
      <c r="W5" t="inlineStr">
        <is>
          <t>TransUnion-dominant (varies by state)</t>
        </is>
      </c>
      <c r="X5" t="inlineStr">
        <is>
          <t>Personal: NEVER in good standing. Business: D&amp;B + SBFE only (NOT Experian-Biz/Equifax-Biz)</t>
        </is>
      </c>
      <c r="Y5" t="inlineStr">
        <is>
          <t>DISTINCT from Elan (US Bank's agent arm) — counted as SEPARATE issuers (one applicant: US Bank-direct $20K + Elan SouthState $15K same profile). Limits $3-10K typical, $20-35K strong/long-relationship. Soft-pull CLIs reported. myfico.com #6845780 / #6608888</t>
        </is>
      </c>
      <c r="Z5" t="inlineStr">
        <is>
          <t>4</t>
        </is>
      </c>
      <c r="AA5" t="inlineStr">
        <is>
          <t>PG yes; NO tax returns (cards)</t>
        </is>
      </c>
      <c r="AB5" t="inlineStr">
        <is>
          <t>Cash Flow Manager LOC &lt;=$250K (may request returns — not truly no-doc)</t>
        </is>
      </c>
      <c r="AC5" t="inlineStr">
        <is>
          <t>No</t>
        </is>
      </c>
      <c r="AD5" t="inlineStr">
        <is>
          <t>★ 0% up to 18 cyc + never reports personal</t>
        </is>
      </c>
      <c r="AE5" t="inlineStr">
        <is>
          <t>Triple Cash Rewards, Business Leverage ($95), Business Altitude Connect/Power, Business Platinum/Shield</t>
        </is>
      </c>
      <c r="AF5" t="inlineStr">
        <is>
          <t>National — branches + biz banking in CA</t>
        </is>
      </c>
      <c r="AG5" t="inlineStr">
        <is>
          <t>Minneapolis, MN</t>
        </is>
      </c>
      <c r="AH5" t="inlineStr">
        <is>
          <t>Natl</t>
        </is>
      </c>
      <c r="AI5" t="inlineStr">
        <is>
          <t>HIGH self/disclosures/terms/D&amp;B+SBFE/personal-NEVER; MED HP-map. DISTINCT from Elan agent program. 2026-05-28</t>
        </is>
      </c>
      <c r="AJ5" t="inlineStr">
        <is>
          <t>usbank.com business cards (creditor disclosures) + KB0096233 (D&amp;B+SBFE); ir.usbank.com (18-cyc); myfico.com #6845780</t>
        </is>
      </c>
    </row>
    <row r="6">
      <c r="A6" t="inlineStr">
        <is>
          <t>5</t>
        </is>
      </c>
      <c r="B6" t="inlineStr">
        <is>
          <t>5</t>
        </is>
      </c>
      <c r="C6" s="2" t="inlineStr">
        <is>
          <t>PNC Bank</t>
        </is>
      </c>
      <c r="D6" s="3" t="inlineStr">
        <is>
          <t>National</t>
        </is>
      </c>
      <c r="E6" t="inlineStr">
        <is>
          <t>National (lends in CA)</t>
        </is>
      </c>
      <c r="F6" s="4" t="inlineStr">
        <is>
          <t>3/4  ✓SUW ✓Onl ✗SoCal ✓Card</t>
        </is>
      </c>
      <c r="G6" s="6" t="inlineStr">
        <is>
          <t>Yes — mixed DPs (DoC 2025-08-07; Crediful 2025-10-22)</t>
        </is>
      </c>
      <c r="H6" s="6" t="inlineStr">
        <is>
          <t>Yes — pulls (EWS co-owner; DoC ×5 DPs)</t>
        </is>
      </c>
      <c r="I6" s="3" t="inlineStr">
        <is>
          <t>EXP #1 (mentor ✓ matches our EX-cards data)</t>
        </is>
      </c>
      <c r="J6" t="inlineStr">
        <is>
          <t>A — Self-UW (online)</t>
        </is>
      </c>
      <c r="K6" t="inlineStr">
        <is>
          <t>BusinessOptions/LOC $25K–$100K (soft-pull, no tax returns)  [myFICO #6589727]</t>
        </is>
      </c>
      <c r="L6" t="inlineStr">
        <is>
          <t>~$574B</t>
        </is>
      </c>
      <c r="M6" t="inlineStr">
        <is>
          <t>—</t>
        </is>
      </c>
      <c r="N6" t="inlineStr">
        <is>
          <t>~2,200 branches / 27 states; CA via BBVA USA western branches</t>
        </is>
      </c>
      <c r="O6" t="inlineStr">
        <is>
          <t>Major CA (branches + lending)</t>
        </is>
      </c>
      <c r="P6" t="inlineStr">
        <is>
          <t>Yes</t>
        </is>
      </c>
      <c r="Q6" t="inlineStr">
        <is>
          <t>✅ Visa Business 0% 13 cyc (best intro); BusinessOptions = SOFT-PULL, up to $250K</t>
        </is>
      </c>
      <c r="R6" s="7" t="inlineStr">
        <is>
          <t>Self (PNC Bank NA)</t>
        </is>
      </c>
      <c r="S6" t="inlineStr">
        <is>
          <t>Online</t>
        </is>
      </c>
      <c r="T6" t="inlineStr">
        <is>
          <t>Online — apply at https://www.pnc.com/en/small-business/borrowing/business-credit-cards/pnc-businessoptions-visa-signature-credit-card.html</t>
        </is>
      </c>
      <c r="U6" t="inlineStr">
        <is>
          <t>https://www.pnc.com/en/small-business/borrowing/business-credit-cards.html</t>
        </is>
      </c>
      <c r="V6" t="inlineStr">
        <is>
          <t>https://www.pnc.com/en/small-business/borrowing/business-credit-cards/pnc-businessoptions-visa-signature-credit-card.html</t>
        </is>
      </c>
      <c r="W6" t="inlineStr">
        <is>
          <t>Hard-pull cards: Experian. BusinessOptions: SOFT pull, Equifax (NO hard inquiry!)</t>
        </is>
      </c>
      <c r="X6" t="inlineStr">
        <is>
          <t>Personal: never (normal use). Business: D&amp;B + Experian-Biz + Equifax-Biz + SBFE</t>
        </is>
      </c>
      <c r="Y6" t="inlineStr">
        <is>
          <t>STANDOUT no-doc combo: BusinessOptions card + Small Business LOC = SOFT pull, NO tax returns up to $100K, no personal reporting. Approvals $25K-$100K. SOFT-PULL CLIs every ~6mo (grown to $52.5K). (BusinessOptions card itself is phone-apply.) myfico.com #6589727 / #6509179</t>
        </is>
      </c>
      <c r="Z6" t="inlineStr">
        <is>
          <t>4</t>
        </is>
      </c>
      <c r="AA6" t="inlineStr">
        <is>
          <t>PG yes; NO tax returns on the no-doc path</t>
        </is>
      </c>
      <c r="AB6" t="inlineStr">
        <is>
          <t>PNC Small Business LOC: SOFT pull, no financials up to $100K, ~10% of gross-revenue sizing — strong no-doc</t>
        </is>
      </c>
      <c r="AC6" t="inlineStr">
        <is>
          <t>No (cards); functionally helps BusinessOptions/LOC</t>
        </is>
      </c>
      <c r="AD6" t="inlineStr">
        <is>
          <t>★ Soft-pull no-doc LOC to $100K — SoCal branches (BBVA legacy); mentor EXP #1</t>
        </is>
      </c>
      <c r="AE6" t="inlineStr">
        <is>
          <t>Visa Business (0% 13cyc), Cash Rewards Visa Signature, points Visa, BusinessOptions Visa Signature (&lt;=$250K)</t>
        </is>
      </c>
      <c r="AF6" t="inlineStr">
        <is>
          <t>National — CA presence via 2021 BBVA acquisition (thinner)</t>
        </is>
      </c>
      <c r="AG6" t="inlineStr">
        <is>
          <t>Pittsburgh, PA</t>
        </is>
      </c>
      <c r="AH6" t="inlineStr">
        <is>
          <t>Natl</t>
        </is>
      </c>
      <c r="AI6" t="inlineStr">
        <is>
          <t>HIGH self/lineup/SOFT-pull-BusinessOptions/no-doc-LOC/soft-CLI/business-bureaus; MED CA branch density. 2026-05-28</t>
        </is>
      </c>
      <c r="AJ6" t="inlineStr">
        <is>
          <t>pnc.com business credit cards + rate PDFs; myfico.com #6589727 / #6509179 (soft-pull no-doc); creditsuite.com</t>
        </is>
      </c>
    </row>
    <row r="7">
      <c r="A7" t="inlineStr">
        <is>
          <t>6</t>
        </is>
      </c>
      <c r="B7" t="inlineStr">
        <is>
          <t>6</t>
        </is>
      </c>
      <c r="C7" s="2" t="inlineStr">
        <is>
          <t>American Express</t>
        </is>
      </c>
      <c r="D7" s="3" t="inlineStr">
        <is>
          <t>National</t>
        </is>
      </c>
      <c r="E7" t="inlineStr">
        <is>
          <t>National (lends in CA)</t>
        </is>
      </c>
      <c r="F7" s="4" t="inlineStr">
        <is>
          <t>3/4  ✓SUW ✓Onl ✗SoCal ✓Card</t>
        </is>
      </c>
      <c r="G7" s="6" t="inlineStr">
        <is>
          <t>Yes — consumer checking (Crediful 2025-10-21; DP 2026-04-14); biz checking N/M</t>
        </is>
      </c>
      <c r="H7" s="6" t="inlineStr">
        <is>
          <t>Yes — pulls + reports (DoC list; DP 2026-05-22)</t>
        </is>
      </c>
      <c r="I7" t="inlineStr"/>
      <c r="J7" t="inlineStr">
        <is>
          <t>A — Self-UW (online)</t>
        </is>
      </c>
      <c r="K7" t="inlineStr">
        <is>
          <t>$6K–$20K (Blue Business); charge NPSL $10K–$250K  [myFICO #6507116]</t>
        </is>
      </c>
      <c r="L7" t="inlineStr">
        <is>
          <t>~$300B (Amex Co.)</t>
        </is>
      </c>
      <c r="M7" t="inlineStr">
        <is>
          <t>—</t>
        </is>
      </c>
      <c r="N7" t="inlineStr">
        <is>
          <t>National online issuer; no branch needed</t>
        </is>
      </c>
      <c r="O7" t="inlineStr">
        <is>
          <t>Online to CA (pure card issuer, no branch needed)</t>
        </is>
      </c>
      <c r="P7" t="inlineStr">
        <is>
          <t>Yes</t>
        </is>
      </c>
      <c r="Q7" t="inlineStr">
        <is>
          <t>✅ Blue Business Plus/Cash: 0% 12 mo, $0 AF, 2x/2%; Business Platinum/Gold = charge (No Preset Limit)</t>
        </is>
      </c>
      <c r="R7" s="7" t="inlineStr">
        <is>
          <t>Self (American Express NB)</t>
        </is>
      </c>
      <c r="S7" t="inlineStr">
        <is>
          <t>Online</t>
        </is>
      </c>
      <c r="T7" t="inlineStr">
        <is>
          <t>Online — apply at https://www.americanexpress.com/us/credit-cards/business/business-credit-cards/american-express-blue-business-plus-credit-card-amex/</t>
        </is>
      </c>
      <c r="U7" t="inlineStr">
        <is>
          <t>https://www.americanexpress.com/us/credit-cards/business/business-credit-cards/</t>
        </is>
      </c>
      <c r="V7" t="inlineStr">
        <is>
          <t>https://www.americanexpress.com/us/credit-cards/business/business-credit-cards/american-express-blue-business-plus-credit-card-amex/</t>
        </is>
      </c>
      <c r="W7" t="inlineStr">
        <is>
          <t>Experian (~90% of apps; rare TU/EQ)</t>
        </is>
      </c>
      <c r="X7" t="inlineStr">
        <is>
          <t>Personal: only on default (60+ days). Business: weak — SBFE/derogatory; positive D&amp;B/EX-Biz NOT reliable</t>
        </is>
      </c>
      <c r="Y7" t="inlineStr">
        <is>
          <t>VELOCITY: 1-in-5-days, 2-in-90 (CHARGE cards EXEMPT), 5-credit-card limit (charge cards don't count) -&gt; stack charge cards. Blue Business limits ~$6-20K (750 FICO-&gt;$3K, ~3x grows in ~3mo). Business Platinum NPSL spend-power $10K-$250K by profile. myfico.com #6507116 / #4995093</t>
        </is>
      </c>
      <c r="Z7" t="inlineStr">
        <is>
          <t>3</t>
        </is>
      </c>
      <c r="AA7" t="inlineStr">
        <is>
          <t>PG yes; NO tax returns (cards). Business LOC verifies via bank-link (no returns)</t>
        </is>
      </c>
      <c r="AB7" t="inlineStr">
        <is>
          <t>Amex Business Line of Credit $2K-$250K — doc-free via bank-account link (FICO 660+, 12mo, $3K/mo rev)</t>
        </is>
      </c>
      <c r="AC7" t="inlineStr">
        <is>
          <t>No</t>
        </is>
      </c>
      <c r="AD7" t="inlineStr">
        <is>
          <t>★ Highest limits + charge-card velocity</t>
        </is>
      </c>
      <c r="AE7" t="inlineStr">
        <is>
          <t>Business Platinum, Business Gold, Business Green (charge/NPSL); Blue Business Plus, Blue Business Cash (credit)</t>
        </is>
      </c>
      <c r="AF7" t="inlineStr">
        <is>
          <t>National — issues/lends in CA</t>
        </is>
      </c>
      <c r="AG7" t="inlineStr">
        <is>
          <t>New York, NY (issuing bank: Salt Lake City, UT)</t>
        </is>
      </c>
      <c r="AH7" t="inlineStr">
        <is>
          <t>Natl</t>
        </is>
      </c>
      <c r="AI7" t="inlineStr">
        <is>
          <t>HIGH self/lineup/velocity/HP=Experian/personal-default-only; MED business-bureau (weak positive). 2026-05-28</t>
        </is>
      </c>
      <c r="AJ7" t="inlineStr">
        <is>
          <t>americanexpress.com business cards + Blueprint BLOC; doctorofcredit.com; FDIC cert 27471; myfico.com #6507116</t>
        </is>
      </c>
    </row>
    <row r="8">
      <c r="A8" t="inlineStr">
        <is>
          <t>7</t>
        </is>
      </c>
      <c r="B8" t="inlineStr">
        <is>
          <t>7</t>
        </is>
      </c>
      <c r="C8" s="2" t="inlineStr">
        <is>
          <t>Capital One</t>
        </is>
      </c>
      <c r="D8" s="3" t="inlineStr">
        <is>
          <t>National</t>
        </is>
      </c>
      <c r="E8" t="inlineStr">
        <is>
          <t>National (lends in CA)</t>
        </is>
      </c>
      <c r="F8" s="4" t="inlineStr">
        <is>
          <t>3/4  ✓SUW ✓Onl ✗SoCal ✓Card</t>
        </is>
      </c>
      <c r="G8" s="5" t="inlineStr">
        <is>
          <t>No — consumer 360 (Crediful 2025-10-18; DoC mixed 9/9)</t>
        </is>
      </c>
      <c r="H8" s="6" t="inlineStr">
        <is>
          <t>Yes — pulls + reports (EWS co-owner; denial DP 2025-08-15)</t>
        </is>
      </c>
      <c r="I8" t="inlineStr"/>
      <c r="J8" t="inlineStr">
        <is>
          <t>A — Self-UW (online)</t>
        </is>
      </c>
      <c r="K8" t="inlineStr">
        <is>
          <t>$5K–$15K new; $20K–$50K est.; $75K–$100K+ strong  [myFICO #5427942]</t>
        </is>
      </c>
      <c r="L8" t="inlineStr">
        <is>
          <t>~$669B (post-Discover)</t>
        </is>
      </c>
      <c r="M8" t="inlineStr">
        <is>
          <t>—</t>
        </is>
      </c>
      <c r="N8" t="inlineStr">
        <is>
          <t>National card issuer; ~7-state branches (NOT CA); lends nationwide</t>
        </is>
      </c>
      <c r="O8" t="inlineStr">
        <is>
          <t>Online to CA (pure card issuer, no branch needed)</t>
        </is>
      </c>
      <c r="P8" t="inlineStr">
        <is>
          <t>Yes</t>
        </is>
      </c>
      <c r="Q8" t="inlineStr">
        <is>
          <t>⚠️ Spark Cash Plus (charge, 2%); Spark Cash (2%, $95); Spark Cash Select (1.5%, $0). NO 0% on main cards. REPORTS TO PERSONAL CREDIT</t>
        </is>
      </c>
      <c r="R8" s="7" t="inlineStr">
        <is>
          <t>Self (Capital One NA / Bank USA NA)</t>
        </is>
      </c>
      <c r="S8" t="inlineStr">
        <is>
          <t>Online</t>
        </is>
      </c>
      <c r="T8" t="inlineStr">
        <is>
          <t>Online — apply at https://www.capitalone.com/small-business/credit-cards/spark-cash-plus/</t>
        </is>
      </c>
      <c r="U8" t="inlineStr">
        <is>
          <t>https://www.capitalone.com/small-business/credit-cards/</t>
        </is>
      </c>
      <c r="V8" t="inlineStr">
        <is>
          <t>https://www.capitalone.com/small-business/credit-cards/spark-cash-plus/</t>
        </is>
      </c>
      <c r="W8" t="inlineStr">
        <is>
          <t>ALL THREE bureaus (EX + EQ + TU triple pull)</t>
        </is>
      </c>
      <c r="X8" t="inlineStr">
        <is>
          <t>Personal: YES, ALWAYS (Spark Cash/Select report ongoing balances) — EXCEPT Spark Cash Plus / Venture X (default-only). Business: weak/none</t>
        </is>
      </c>
      <c r="Y8" t="inlineStr">
        <is>
          <t>VELOCITY: 1 Capital One card per 6 MONTHS (all personal + biz combined; else auto-deny, no HP). Soft-pull pre-qual available. Limits $5-15K new, $20-50K established, $75-100K+ strong. CLI usually SOFT pull. myfico.com #5427942 / #6822160</t>
        </is>
      </c>
      <c r="Z8" t="inlineStr">
        <is>
          <t>1</t>
        </is>
      </c>
      <c r="AA8" t="inlineStr">
        <is>
          <t>PG yes; NO tax returns (stated revenue)</t>
        </is>
      </c>
      <c r="AB8" t="inlineStr">
        <is>
          <t>None separate (Spark cards ARE the no-doc vehicle — but they report to personal credit)</t>
        </is>
      </c>
      <c r="AC8" t="inlineStr">
        <is>
          <t>No</t>
        </is>
      </c>
      <c r="AD8" t="inlineStr">
        <is>
          <t>★ AVOID for no-doc — reports to personal</t>
        </is>
      </c>
      <c r="AE8" t="inlineStr">
        <is>
          <t>Spark Cash Plus (charge), Spark Cash, Spark Cash Select, Spark Classic; Spark Miles -&gt; now Venture Business</t>
        </is>
      </c>
      <c r="AF8" t="inlineStr">
        <is>
          <t>National — issues in CA (no CA branches)</t>
        </is>
      </c>
      <c r="AG8" t="inlineStr">
        <is>
          <t>McLean, VA (bank: Glen Allen, VA)</t>
        </is>
      </c>
      <c r="AH8" t="inlineStr">
        <is>
          <t>Natl</t>
        </is>
      </c>
      <c r="AI8" t="inlineStr">
        <is>
          <t>HIGH self/triple-pull/REPORTS-TO-PERSONAL/6mo-velocity; MED legal entity, biz-bureau. 2026-05-28</t>
        </is>
      </c>
      <c r="AJ8" t="inlineStr">
        <is>
          <t>capitalone.com/small-business/credit-cards; uscreditcardguide.com (triple pull); ramp.com (personal reporting); doctorofcredit.com (6mo rule)</t>
        </is>
      </c>
    </row>
    <row r="9">
      <c r="A9" t="inlineStr">
        <is>
          <t>8</t>
        </is>
      </c>
      <c r="B9" t="inlineStr">
        <is>
          <t>8</t>
        </is>
      </c>
      <c r="C9" s="2" t="inlineStr">
        <is>
          <t>Citi (Citibank)</t>
        </is>
      </c>
      <c r="D9" s="3" t="inlineStr">
        <is>
          <t>National</t>
        </is>
      </c>
      <c r="E9" t="inlineStr">
        <is>
          <t>National (lends in CA)</t>
        </is>
      </c>
      <c r="F9" s="4" t="inlineStr">
        <is>
          <t>3/4  ✓SUW ✓Onl ✗SoCal ✓Card</t>
        </is>
      </c>
      <c r="G9" s="6" t="inlineStr">
        <is>
          <t>Yes — but approves with FROZEN Chex (DoC 2025-08-07 31 DPs; freeze-OK DPs 2026-04-14 + 2026-06-04)</t>
        </is>
      </c>
      <c r="H9" s="6" t="inlineStr">
        <is>
          <t>Yes — pulls (DoC ×3; DP 2026-05-22)</t>
        </is>
      </c>
      <c r="I9" t="inlineStr"/>
      <c r="J9" t="inlineStr">
        <is>
          <t>A — Self-UW (online)</t>
        </is>
      </c>
      <c r="K9" t="inlineStr">
        <is>
          <t>$1.5K–$20K (instant $20K seen)  [myFICO #6155387]</t>
        </is>
      </c>
      <c r="L9" t="inlineStr">
        <is>
          <t>~$1.76T (Citibank NA)</t>
        </is>
      </c>
      <c r="M9" t="inlineStr">
        <is>
          <t>—</t>
        </is>
      </c>
      <c r="N9" t="inlineStr">
        <is>
          <t>~270 CA branches / 171 cities (LA, SF, San Diego, Sacramento)</t>
        </is>
      </c>
      <c r="O9" t="inlineStr">
        <is>
          <t>Major CA (branches + lending)</t>
        </is>
      </c>
      <c r="P9" t="inlineStr">
        <is>
          <t>Yes</t>
        </is>
      </c>
      <c r="Q9" t="inlineStr">
        <is>
          <t>⚠️ One biz card (AAdvantage Business); NO 0% intro; 19.49-28.49%; $99 AF (waived yr1)</t>
        </is>
      </c>
      <c r="R9" s="7" t="inlineStr">
        <is>
          <t>Self (Citibank NA)</t>
        </is>
      </c>
      <c r="S9" t="inlineStr">
        <is>
          <t>Online</t>
        </is>
      </c>
      <c r="T9" t="inlineStr">
        <is>
          <t>Online — apply at https://www.citi.com/credit-cards/citi-aadvantage-business-credit-card</t>
        </is>
      </c>
      <c r="U9" t="inlineStr">
        <is>
          <t>https://www.citi.com/credit-cards/citi-aadvantage-business-credit-card</t>
        </is>
      </c>
      <c r="V9" t="inlineStr">
        <is>
          <t>https://www.citi.com/credit-cards/citi-aadvantage-business-credit-card</t>
        </is>
      </c>
      <c r="W9" t="inlineStr">
        <is>
          <t>Experian-primary (anecdotal TU/EQ)</t>
        </is>
      </c>
      <c r="X9" t="inlineStr">
        <is>
          <t>Personal: no (except default). Business: D&amp;B + Experian-Biz + Equifax-Biz + SBFE, monthly</t>
        </is>
      </c>
      <c r="Y9" t="inlineStr">
        <is>
          <t>8/65 rule (1 Citi card/8 days, 2 per 65 days; personal + biz combined). Doesn't count to Chase 5/24; doesn't report to personal. Limits $1.5K-$20K (instant $20K seen). 700+ FICO. myfico.com #6155387 / #6560887</t>
        </is>
      </c>
      <c r="Z9" t="inlineStr">
        <is>
          <t>3</t>
        </is>
      </c>
      <c r="AA9" t="inlineStr">
        <is>
          <t>PG yes for small biz (Joint &amp; Several); no-PG 'Corporate Liability' only for $5M+ rev / 2yr firms; NO tax returns</t>
        </is>
      </c>
      <c r="AB9" t="inlineStr">
        <is>
          <t>None no-doc (SBA/commercial full-doc). The AAdvantage card is the only no-doc-feeling product</t>
        </is>
      </c>
      <c r="AC9" t="inlineStr">
        <is>
          <t>No</t>
        </is>
      </c>
      <c r="AD9" t="inlineStr">
        <is>
          <t>★ Doesn't report to personal; no 0%</t>
        </is>
      </c>
      <c r="AE9" t="inlineStr">
        <is>
          <t>Citi / AAdvantage Business World Elite Mastercard (CitiBusiness ThankYou DISCONTINUED)</t>
        </is>
      </c>
      <c r="AF9" t="inlineStr">
        <is>
          <t>National — ~270 CA branches</t>
        </is>
      </c>
      <c r="AG9" t="inlineStr">
        <is>
          <t>Sioux Falls, SD (Citibank NA) / NY (Citigroup)</t>
        </is>
      </c>
      <c r="AH9" t="inlineStr">
        <is>
          <t>Natl</t>
        </is>
      </c>
      <c r="AI9" t="inlineStr">
        <is>
          <t>HIGH self/single-card/no-0%/business-bureaus/8-65; MED no-tax-return inference. 2026-05-28</t>
        </is>
      </c>
      <c r="AJ9" t="inlineStr">
        <is>
          <t>citi.com AAdvantage business; creditcards.aa.com (corporate guarantee); doctorofcredit.com (8/65); myfico.com #6155387</t>
        </is>
      </c>
    </row>
    <row r="10">
      <c r="A10" t="inlineStr">
        <is>
          <t>9</t>
        </is>
      </c>
      <c r="B10" t="inlineStr">
        <is>
          <t>9</t>
        </is>
      </c>
      <c r="C10" s="2" t="inlineStr">
        <is>
          <t>BMO Bank</t>
        </is>
      </c>
      <c r="D10" s="8" t="inlineStr">
        <is>
          <t>Regional</t>
        </is>
      </c>
      <c r="E10" t="inlineStr">
        <is>
          <t>National (lends in CA)</t>
        </is>
      </c>
      <c r="F10" s="4" t="inlineStr">
        <is>
          <t>3/4  ✓SUW ✓Onl ✗SoCal ✓Card</t>
        </is>
      </c>
      <c r="G10" s="6" t="inlineStr">
        <is>
          <t>Yes — pulls (DoC 2025-08-07, 18+ DPs; Crediful 2025-10-22); historically NOT inquiry-sensitive</t>
        </is>
      </c>
      <c r="H10" s="9" t="inlineStr">
        <is>
          <t>N/M (not on DoC EWS list)</t>
        </is>
      </c>
      <c r="I10" s="3" t="inlineStr">
        <is>
          <t>TU #3 (mentor ✓ matches our TU)</t>
        </is>
      </c>
      <c r="J10" t="inlineStr">
        <is>
          <t>A — Self-UW (online)</t>
        </is>
      </c>
      <c r="K10" t="inlineStr">
        <is>
          <t>Modest: DPs $1,300–$7,500; grows via CLI  [myFICO #6773916]</t>
        </is>
      </c>
      <c r="L10" t="inlineStr">
        <is>
          <t>~$265B (BMO Bank NA)</t>
        </is>
      </c>
      <c r="M10" t="inlineStr">
        <is>
          <t>—</t>
        </is>
      </c>
      <c r="N10" t="inlineStr">
        <is>
          <t>600+ branches/10 states incl. CA; ~130 new CA branches planned; 15th-largest US bank</t>
        </is>
      </c>
      <c r="O10" t="inlineStr">
        <is>
          <t>Major CA (branches + lending)</t>
        </is>
      </c>
      <c r="P10" t="inlineStr">
        <is>
          <t>Yes</t>
        </is>
      </c>
      <c r="Q10" t="inlineStr">
        <is>
          <t>✅ Business Platinum: 0% 18 mo, $0 AF; Business Platinum Rewards: 0% 9mo, tiered 5/4/3/2%</t>
        </is>
      </c>
      <c r="R10" s="7" t="inlineStr">
        <is>
          <t>Self (BMO Bank NA; ex-Bank of the West)</t>
        </is>
      </c>
      <c r="S10" t="inlineStr">
        <is>
          <t>Online</t>
        </is>
      </c>
      <c r="T10" t="inlineStr">
        <is>
          <t>Online — apply at https://www.bmo.com/en-us/main/business-banking/credit-cards/platinum/</t>
        </is>
      </c>
      <c r="U10" t="inlineStr">
        <is>
          <t>https://www.bmo.com/en-us/main/business-banking/credit-cards/</t>
        </is>
      </c>
      <c r="V10" t="inlineStr">
        <is>
          <t>https://www.bmo.com/en-us/main/business-banking/credit-cards/platinum/</t>
        </is>
      </c>
      <c r="W10" t="inlineStr">
        <is>
          <t>TransUnion (varies)</t>
        </is>
      </c>
      <c r="X10" t="inlineStr">
        <is>
          <t>N/M (BMO-specific; likely default-only)</t>
        </is>
      </c>
      <c r="Y10" t="inlineStr">
        <is>
          <t>Limits modest (DPs $1,300-$7,500); TransUnion hard pull, no prequal; CLIs over time. myfico.com #6773916</t>
        </is>
      </c>
      <c r="Z10" t="inlineStr">
        <is>
          <t>3</t>
        </is>
      </c>
      <c r="AA10" t="inlineStr">
        <is>
          <t>PG yes (INFERENCE); no income docs typical</t>
        </is>
      </c>
      <c r="AB10" t="inlineStr">
        <is>
          <t>Business Line of Credit (relationship-underwritten, not no-doc)</t>
        </is>
      </c>
      <c r="AC10" t="inlineStr">
        <is>
          <t>N/M</t>
        </is>
      </c>
      <c r="AD10" t="inlineStr">
        <is>
          <t>★ 0% 18 mo + large CA footprint</t>
        </is>
      </c>
      <c r="AE10" t="inlineStr">
        <is>
          <t>BMO Business Platinum (0% 18mo); BMO Business Platinum Rewards</t>
        </is>
      </c>
      <c r="AF10" t="inlineStr">
        <is>
          <t>National — LARGE CA branches (ex-Bank of the West)</t>
        </is>
      </c>
      <c r="AG10" t="inlineStr">
        <is>
          <t>Chicago, IL</t>
        </is>
      </c>
      <c r="AH10" t="inlineStr">
        <is>
          <t>Reg</t>
        </is>
      </c>
      <c r="AI10" t="inlineStr">
        <is>
          <t>HIGH self/lineup/18mo-0%; MED rewards, HP; N/M reporting. 2026-05-28</t>
        </is>
      </c>
      <c r="AJ10" t="inlineStr">
        <is>
          <t>bmo.com/en-us/main/business-banking/credit-cards; supermoney.com; hustlermoneyblog.com; en.wikipedia.org/wiki/BMO_Bank; myfico.com #6773916</t>
        </is>
      </c>
    </row>
    <row r="11">
      <c r="A11" t="inlineStr">
        <is>
          <t>10</t>
        </is>
      </c>
      <c r="B11" t="inlineStr">
        <is>
          <t>10</t>
        </is>
      </c>
      <c r="C11" s="5" t="inlineStr">
        <is>
          <t>California Bank &amp; Trust</t>
        </is>
      </c>
      <c r="D11" s="8" t="inlineStr">
        <is>
          <t>Regional</t>
        </is>
      </c>
      <c r="E11" t="inlineStr">
        <is>
          <t>★ Core SoCal</t>
        </is>
      </c>
      <c r="F11" s="10" t="inlineStr">
        <is>
          <t>🥇 GOLD (4/4)</t>
        </is>
      </c>
      <c r="G11" s="6" t="inlineStr">
        <is>
          <t>Yes — pulls (Zions charter-wide Deposit Agreement names ChexSystems, file 2024-02-08; Crediful-Zions 2025-10-08)</t>
        </is>
      </c>
      <c r="H11" s="9" t="inlineStr">
        <is>
          <t>N/M screening — but FURNISHES to EWS (Zions disclosure: 'may report... to ChexSystems or Early Warning Services')</t>
        </is>
      </c>
      <c r="I11" s="3" t="inlineStr">
        <is>
          <t>Branch-verify #1 (mentor; our data: online app exists — verify funding step in branch)</t>
        </is>
      </c>
      <c r="J11" t="inlineStr">
        <is>
          <t>A — Self-UW (online)</t>
        </is>
      </c>
      <c r="K11" t="inlineStr">
        <is>
          <t>Advertised up to $250K (AmaZing Rate min $500)</t>
        </is>
      </c>
      <c r="L11" t="inlineStr">
        <is>
          <t>~$90B (Zions Bancorporation, N.A. — shared charter)</t>
        </is>
      </c>
      <c r="M11" t="inlineStr">
        <is>
          <t>—</t>
        </is>
      </c>
      <c r="N11" t="inlineStr">
        <is>
          <t>80+ CA branches; California-only (Zions division)</t>
        </is>
      </c>
      <c r="O11" t="inlineStr">
        <is>
          <t>N/M</t>
        </is>
      </c>
      <c r="P11" t="inlineStr">
        <is>
          <t>Yes</t>
        </is>
      </c>
      <c r="Q11" t="inlineStr">
        <is>
          <t>✅ AmaZing Cash/Rewards/Rate for Business: 0% 6mo; $0 AF (+$25 rewards-program fee); up to $250K limit</t>
        </is>
      </c>
      <c r="R11" s="7" t="inlineStr">
        <is>
          <t>Self (Zions Bancorporation, N.A.)</t>
        </is>
      </c>
      <c r="S11" t="inlineStr">
        <is>
          <t>Online</t>
        </is>
      </c>
      <c r="T11" t="inlineStr">
        <is>
          <t>Online — apply at https://www.calbanktrust.com/business/business-credit-cards/</t>
        </is>
      </c>
      <c r="U11" t="inlineStr">
        <is>
          <t>https://www.calbanktrust.com</t>
        </is>
      </c>
      <c r="V11" t="inlineStr">
        <is>
          <t>https://www.calbanktrust.com/business/business-credit-cards/</t>
        </is>
      </c>
      <c r="W11" t="inlineStr">
        <is>
          <t>Experian (most-cited; varies by state)</t>
        </is>
      </c>
      <c r="X11" t="inlineStr">
        <is>
          <t>N/M (reporting not confirmed)</t>
        </is>
      </c>
      <c r="Y11" t="inlineStr">
        <is>
          <t>Advertised limits up to $250K; AmaZing Rate min $500. State-gated: CB&amp;T = California only. Member-reported business DPs N/M.</t>
        </is>
      </c>
      <c r="Z11" t="inlineStr">
        <is>
          <t>3</t>
        </is>
      </c>
      <c r="AA11" t="inlineStr">
        <is>
          <t>PG likely (INFERENCE); no tax-return requirement advertised for cards</t>
        </is>
      </c>
      <c r="AB11" t="inlineStr">
        <is>
          <t>Cards = no-income-doc PG-based; Commercial Card separate. No no-doc loan.</t>
        </is>
      </c>
      <c r="AC11" t="inlineStr">
        <is>
          <t>N/M</t>
        </is>
      </c>
      <c r="AD11" t="inlineStr">
        <is>
          <t>★ No-doc 0% card — apply online</t>
        </is>
      </c>
      <c r="AE11" t="inlineStr">
        <is>
          <t>AmaZing Cash for Business, AmaZing Rewards for Business, AmaZing Rate for Business</t>
        </is>
      </c>
      <c r="AF11" t="inlineStr">
        <is>
          <t>SoCal / San Diego (CA-only bank)</t>
        </is>
      </c>
      <c r="AG11" t="inlineStr">
        <is>
          <t>San Diego, CA</t>
        </is>
      </c>
      <c r="AH11" t="inlineStr">
        <is>
          <t>Reg</t>
        </is>
      </c>
      <c r="AI11" t="inlineStr">
        <is>
          <t>HIGH self (agreement)/products/terms/online/CA-only; MED HP; N/M reporting, PG. Mentor (2026-06): 'branch verify' — expect in-branch verification/funding step despite online app. 2026-05-28/2026-06-09</t>
        </is>
      </c>
      <c r="AJ11" t="inlineStr">
        <is>
          <t>calbanktrust.com/business/business-credit-cards + agreement PDFs (issuer=Zions); doctorofcredit.com (state gating); en.wikipedia.org/wiki/California_Bank_and_Trust</t>
        </is>
      </c>
    </row>
    <row r="12">
      <c r="A12" t="inlineStr">
        <is>
          <t>11</t>
        </is>
      </c>
      <c r="B12" t="inlineStr">
        <is>
          <t>11</t>
        </is>
      </c>
      <c r="C12" s="5" t="inlineStr">
        <is>
          <t>America First Credit Union</t>
        </is>
      </c>
      <c r="D12" s="11" t="inlineStr">
        <is>
          <t>Credit Union</t>
        </is>
      </c>
      <c r="E12" t="inlineStr">
        <is>
          <t>★ Core SoCal</t>
        </is>
      </c>
      <c r="F12" s="10" t="inlineStr">
        <is>
          <t>🥇 GOLD (4/4)</t>
        </is>
      </c>
      <c r="G12" t="inlineStr">
        <is>
          <t>N/M</t>
        </is>
      </c>
      <c r="H12" t="inlineStr">
        <is>
          <t>N/M</t>
        </is>
      </c>
      <c r="I12" t="inlineStr"/>
      <c r="J12" t="inlineStr">
        <is>
          <t>A — Self-UW (online)</t>
        </is>
      </c>
      <c r="K12" t="inlineStr">
        <is>
          <t>N/M (no bank-specific data point found)</t>
        </is>
      </c>
      <c r="L12" t="inlineStr">
        <is>
          <t>$24.73B</t>
        </is>
      </c>
      <c r="M12" t="inlineStr">
        <is>
          <t>—</t>
        </is>
      </c>
      <c r="N12" t="inlineStr">
        <is>
          <t>401 W 2nd St, San Bernardino (sole CA branch); huge UT/NV/AZ/ID network</t>
        </is>
      </c>
      <c r="O12" t="inlineStr">
        <is>
          <t>CA-HQ'd</t>
        </is>
      </c>
      <c r="P12" t="inlineStr">
        <is>
          <t>Yes</t>
        </is>
      </c>
      <c r="Q12" t="inlineStr">
        <is>
          <t>✅ Business Visa (1.5% cash back / points / low-rate options); SELF-issued; terms N/M</t>
        </is>
      </c>
      <c r="R12" s="7" t="inlineStr">
        <is>
          <t>Self (America First CU)</t>
        </is>
      </c>
      <c r="S12" t="inlineStr">
        <is>
          <t>Online</t>
        </is>
      </c>
      <c r="T12" t="inlineStr">
        <is>
          <t>Online — apply at https://www.americafirst.com/business/visa/credit-card.html</t>
        </is>
      </c>
      <c r="U12" t="inlineStr">
        <is>
          <t>https://www.americafirst.com</t>
        </is>
      </c>
      <c r="V12" t="inlineStr">
        <is>
          <t>https://www.americafirst.com/business/visa/credit-card.html</t>
        </is>
      </c>
      <c r="W12" t="inlineStr">
        <is>
          <t>N/M (no biz DPs, myFICO sweep 2026-06-10)</t>
        </is>
      </c>
      <c r="X12" t="inlineStr">
        <is>
          <t>N/M</t>
        </is>
      </c>
      <c r="Y12" t="inlineStr">
        <is>
          <t>$24.7B UT giant; CA entry via 1st Valley CU merger 2024-06-12. BLOC tied to AFCU business checking (amounts N/M). Light census 2026-06-10.</t>
        </is>
      </c>
      <c r="Z12" t="inlineStr">
        <is>
          <t>3</t>
        </is>
      </c>
      <c r="AA12" t="inlineStr">
        <is>
          <t>N/M</t>
        </is>
      </c>
      <c r="AB12" t="inlineStr">
        <is>
          <t>None published</t>
        </is>
      </c>
      <c r="AC12" t="inlineStr">
        <is>
          <t>Membership required — CA FOM = San Bernardino County only (live/work/worship/school); family path; NO open association</t>
        </is>
      </c>
      <c r="AD12" t="inlineStr">
        <is>
          <t>★ Self-UW Business Visa online — needs San Bernardino Co. membership nexus</t>
        </is>
      </c>
      <c r="AE12" t="inlineStr">
        <is>
          <t>Business Visa Credit Card (cash back / points / low rate)</t>
        </is>
      </c>
      <c r="AF12" t="inlineStr">
        <is>
          <t>SoCal / Inland Empire (1 San Bernardino branch; UT-HQ'd)</t>
        </is>
      </c>
      <c r="AG12" t="inlineStr">
        <is>
          <t>Riverdale, UT</t>
        </is>
      </c>
      <c r="AH12" t="inlineStr">
        <is>
          <t>CU</t>
        </is>
      </c>
      <c r="AI12" t="inlineStr">
        <is>
          <t>MED-HIGH self/products; MED apply-online; SB-County membership nexus required. Light census 2026-06-10</t>
        </is>
      </c>
      <c r="AJ12" t="inlineStr">
        <is>
          <t>americafirst.com/business/visa/credit-card + lines-of-credit; en.wikipedia.org (1st Valley merger)</t>
        </is>
      </c>
    </row>
    <row r="13">
      <c r="A13" t="inlineStr">
        <is>
          <t>12</t>
        </is>
      </c>
      <c r="B13" t="inlineStr">
        <is>
          <t>12</t>
        </is>
      </c>
      <c r="C13" s="5" t="inlineStr">
        <is>
          <t>Los Angeles Federal Credit Union (LAFCU)</t>
        </is>
      </c>
      <c r="D13" s="11" t="inlineStr">
        <is>
          <t>Credit Union</t>
        </is>
      </c>
      <c r="E13" t="inlineStr">
        <is>
          <t>★ Core SoCal</t>
        </is>
      </c>
      <c r="F13" s="10" t="inlineStr">
        <is>
          <t>🥇 GOLD (4/4)</t>
        </is>
      </c>
      <c r="G13" s="6" t="inlineStr">
        <is>
          <t>Yes — pulls + hard credit pull (own membership page verbatim, 2026-06-09); 2nd-chance if Chex balances paid</t>
        </is>
      </c>
      <c r="H13" t="inlineStr">
        <is>
          <t>N/M</t>
        </is>
      </c>
      <c r="I13" s="3" t="inlineStr">
        <is>
          <t>TU #6 (mentor ✓ membership=TU hard pull; card DPs mixed EX/TU)</t>
        </is>
      </c>
      <c r="J13" t="inlineStr">
        <is>
          <t>A — Self-UW (online)</t>
        </is>
      </c>
      <c r="K13" t="inlineStr">
        <is>
          <t>Up to $50,000 advertised MAX; zero public biz DPs (consumer proxy: $5K SL @ TU804)  [lafcu.org/rates; myFICO #6722499 2023-11]</t>
        </is>
      </c>
      <c r="L13" t="inlineStr">
        <is>
          <t>~$1.28B</t>
        </is>
      </c>
      <c r="M13" t="inlineStr">
        <is>
          <t>—</t>
        </is>
      </c>
      <c r="N13" t="inlineStr">
        <is>
          <t>8 LA County branches (Van Nuys, Glendale, Culver City, DTLA, Montebello, El Monte, Gardena, Cerritos); NCUA #1207</t>
        </is>
      </c>
      <c r="O13" t="inlineStr">
        <is>
          <t>CA-HQ'd</t>
        </is>
      </c>
      <c r="P13" t="inlineStr">
        <is>
          <t>Yes</t>
        </is>
      </c>
      <c r="Q13" t="inlineStr">
        <is>
          <t>✅ Business Rewards Platinum Visa: no 0%; 15.75% var; $0 AF; 2x/1x CURewards; limit UP TO $50,000</t>
        </is>
      </c>
      <c r="R13" s="7" t="inlineStr">
        <is>
          <t>Self (LAFCU is creditor per agreement; Velera/CURewards = processor)</t>
        </is>
      </c>
      <c r="S13" t="inlineStr">
        <is>
          <t>Online</t>
        </is>
      </c>
      <c r="T13" t="inlineStr">
        <is>
          <t>Online — apply at https://www.lafcu.org/loans-credit/business-loans</t>
        </is>
      </c>
      <c r="U13" t="inlineStr">
        <is>
          <t>https://www.lafcu.org</t>
        </is>
      </c>
      <c r="V13" t="inlineStr">
        <is>
          <t>https://www.lafcu.org/loans-credit/business-loans</t>
        </is>
      </c>
      <c r="W13" t="inlineStr">
        <is>
          <t>Membership = TU hard pull + ChexSystems (own site verbatim); card DPs mixed: EX (2022 denial) / TU08 (2023 approval)</t>
        </is>
      </c>
      <c r="X13" t="inlineStr">
        <is>
          <t>Consumer: TU+EXP not EQ (2011 DP, dated); business-card reporting N/M</t>
        </is>
      </c>
      <c r="Y13" t="inlineStr">
        <is>
          <t>⚠️ GATES: business must be 2+ FULL YEARS operating + SoCal-located + business membership opened IN BRANCH (then card app online via LoansPQ; 48-hr prequal; no app fee). $50K = advertised MAX — ZERO public business-approval DPs (consumer proxies: $5K SL @ TU804 myFICO #6722499 2023-11; conservative + inquiry-sensitive #6596415 2022-09). '$50K app-only no-doc' = UNVERIFIED.</t>
        </is>
      </c>
      <c r="Z13" t="inlineStr">
        <is>
          <t>3</t>
        </is>
      </c>
      <c r="AA13" t="inlineStr">
        <is>
          <t>PG expected (guarantor role in portal); income docs N/M (not published)</t>
        </is>
      </c>
      <c r="AB13" t="inlineStr">
        <is>
          <t>Business LOC $20K–$50K + term $20K–$50K (same 2-yr gate)</t>
        </is>
      </c>
      <c r="AC13" t="inlineStr">
        <is>
          <t>Membership: LA/OC/Riv/SB/Ventura resident or business; LACA/FFA $8 paths; BUSINESS join = BRANCH ONLY + biz must be in SoCal</t>
        </is>
      </c>
      <c r="AD13" t="inlineStr">
        <is>
          <t>★ To $50K self-UW online — BUT 2-yr TIB + branch membership gates</t>
        </is>
      </c>
      <c r="AE13" t="inlineStr">
        <is>
          <t>Business Rewards Platinum Visa (to $50K, $0 AF)</t>
        </is>
      </c>
      <c r="AF13" t="inlineStr">
        <is>
          <t>SoCal / LA (8 branches all LA County)</t>
        </is>
      </c>
      <c r="AG13" t="inlineStr">
        <is>
          <t>Glendale</t>
        </is>
      </c>
      <c r="AH13" t="inlineStr">
        <is>
          <t>CU</t>
        </is>
      </c>
      <c r="AI13" t="inlineStr">
        <is>
          <t>HIGH product/$50K-max/self/online-card-app/2yr-gate/Chex+TU-membership (primary 2026-06-09); N/M biz-card bureau/docs/limits. 2026-06-09</t>
        </is>
      </c>
      <c r="AJ13" t="inlineStr">
        <is>
          <t>lafcu.org/loans-credit/business-loans + /rates (eff 6-10-26) + /accounts/credit-union-membership ('ChexSystems and a hard-hit... will be run') + /accounts/business-accounts; myFICO #6596415 (2022-09) + #6722499 (2023-11) + #838290 (2011); app.loanspq.com</t>
        </is>
      </c>
    </row>
    <row r="14">
      <c r="A14" t="inlineStr">
        <is>
          <t>13</t>
        </is>
      </c>
      <c r="B14" t="inlineStr">
        <is>
          <t>13</t>
        </is>
      </c>
      <c r="C14" s="5" t="inlineStr">
        <is>
          <t>San Diego County Credit Union (SDCCU)</t>
        </is>
      </c>
      <c r="D14" s="11" t="inlineStr">
        <is>
          <t>Credit Union</t>
        </is>
      </c>
      <c r="E14" t="inlineStr">
        <is>
          <t>★ Core SoCal</t>
        </is>
      </c>
      <c r="F14" s="10" t="inlineStr">
        <is>
          <t>🥇 GOLD (4/4)</t>
        </is>
      </c>
      <c r="G14" s="6" t="inlineStr">
        <is>
          <t>Yes — uses/furnishes (own FAQ 'bad credit or ChexSystems list... visit a branch' + hosts Chex dispute form, 2026-06-09)</t>
        </is>
      </c>
      <c r="H14" t="inlineStr">
        <is>
          <t>N/M</t>
        </is>
      </c>
      <c r="I14" t="inlineStr"/>
      <c r="J14" t="inlineStr">
        <is>
          <t>A — Self-UW (online)</t>
        </is>
      </c>
      <c r="K14" t="inlineStr">
        <is>
          <t>$5K–$20K  [myFICO #6761567]</t>
        </is>
      </c>
      <c r="L14" t="inlineStr">
        <is>
          <t>~$9.26B</t>
        </is>
      </c>
      <c r="M14" t="inlineStr">
        <is>
          <t>—</t>
        </is>
      </c>
      <c r="N14" t="inlineStr">
        <is>
          <t>All SoCal counties + FFA nationwide; ~37 branches</t>
        </is>
      </c>
      <c r="O14" t="inlineStr">
        <is>
          <t>CA-HQ'd</t>
        </is>
      </c>
      <c r="P14" t="inlineStr">
        <is>
          <t>Yes</t>
        </is>
      </c>
      <c r="Q14" t="inlineStr">
        <is>
          <t>✅ SDCCU Visa Business: NO 0% intro; 11.74% (low); $25 AF (waived $10K spend); NO rewards; $5K-$20K limits</t>
        </is>
      </c>
      <c r="R14" s="7" t="inlineStr">
        <is>
          <t>Self (San Diego County Credit Union)</t>
        </is>
      </c>
      <c r="S14" t="inlineStr">
        <is>
          <t>Online</t>
        </is>
      </c>
      <c r="T14" t="inlineStr">
        <is>
          <t>Online — apply at https://www.sdccu.com/business/business-credit-card/</t>
        </is>
      </c>
      <c r="U14" t="inlineStr">
        <is>
          <t>https://www.sdccu.com/business/business-credit-card/</t>
        </is>
      </c>
      <c r="V14" t="inlineStr">
        <is>
          <t>https://www.sdccu.com/business/business-credit-card/</t>
        </is>
      </c>
      <c r="W14" t="inlineStr">
        <is>
          <t>Experian (forum DP; membership HP may be reused)</t>
        </is>
      </c>
      <c r="X14" t="inlineStr">
        <is>
          <t>Negative/default (personal); business bureaus N/M</t>
        </is>
      </c>
      <c r="Y14" t="inlineStr">
        <is>
          <t>2-step (membership first). Conservative: denied a NEW corp despite excellent credit + $55K deposit. Income reviewed. CLI likely hard pull. myfico.com #6761567</t>
        </is>
      </c>
      <c r="Z14" t="inlineStr">
        <is>
          <t>3</t>
        </is>
      </c>
      <c r="AA14" t="inlineStr">
        <is>
          <t>PG (INFERENCE); income reviewed</t>
        </is>
      </c>
      <c r="AB14" t="inlineStr">
        <is>
          <t>None (conservative underwriting; no no-doc)</t>
        </is>
      </c>
      <c r="AC14" t="inlineStr">
        <is>
          <t>Membership required (all SoCal counties + nationwide via Financial Fitness Assoc $8)</t>
        </is>
      </c>
      <c r="AD14" t="inlineStr">
        <is>
          <t>★ No-doc card — apply online</t>
        </is>
      </c>
      <c r="AE14" t="inlineStr">
        <is>
          <t>SDCCU Visa Business Credit Card (low-rate, no rewards)</t>
        </is>
      </c>
      <c r="AF14" t="inlineStr">
        <is>
          <t>SoCal / San Diego (all-SoCal FOM)</t>
        </is>
      </c>
      <c r="AG14" t="inlineStr">
        <is>
          <t>San Diego, CA</t>
        </is>
      </c>
      <c r="AH14" t="inlineStr">
        <is>
          <t>CU</t>
        </is>
      </c>
      <c r="AI14" t="inlineStr">
        <is>
          <t>HIGH self/terms/low-APR/membership; conservative underwriting (new-biz denials). 2026-05-28</t>
        </is>
      </c>
      <c r="AJ14" t="inlineStr">
        <is>
          <t>sdccu.com/business/business-credit-card + rates PDF + consumer agreement; myfico.com #6761567; wallethub.com</t>
        </is>
      </c>
    </row>
    <row r="15">
      <c r="A15" t="inlineStr">
        <is>
          <t>14</t>
        </is>
      </c>
      <c r="B15" t="inlineStr">
        <is>
          <t>14</t>
        </is>
      </c>
      <c r="C15" s="5" t="inlineStr">
        <is>
          <t>Nuvision Credit Union</t>
        </is>
      </c>
      <c r="D15" s="11" t="inlineStr">
        <is>
          <t>Credit Union</t>
        </is>
      </c>
      <c r="E15" t="inlineStr">
        <is>
          <t>★ Core SoCal</t>
        </is>
      </c>
      <c r="F15" s="10" t="inlineStr">
        <is>
          <t>🥇 GOLD (4/4)</t>
        </is>
      </c>
      <c r="G15" s="6" t="inlineStr">
        <is>
          <t>Yes — pulls (DoC list 2025-08-07; member 'unfroze Chex' DP 2025-10-16)</t>
        </is>
      </c>
      <c r="H15" t="inlineStr">
        <is>
          <t>N/M</t>
        </is>
      </c>
      <c r="I15" t="inlineStr"/>
      <c r="J15" t="inlineStr">
        <is>
          <t>A — Self-UW (online)</t>
        </is>
      </c>
      <c r="K15" t="inlineStr">
        <is>
          <t>N/M (no bank-specific data point found)</t>
        </is>
      </c>
      <c r="L15" t="inlineStr">
        <is>
          <t>~$3.93B</t>
        </is>
      </c>
      <c r="M15" t="inlineStr">
        <is>
          <t>—</t>
        </is>
      </c>
      <c r="N15" t="inlineStr">
        <is>
          <t>HQ Huntington Beach (OC); ~$3.9B; ~27-36 branches CA/AK/AZ/WY/WA; FOM 5 SoCal counties + nationwide via ACC</t>
        </is>
      </c>
      <c r="O15" t="inlineStr">
        <is>
          <t>CA-HQ'd</t>
        </is>
      </c>
      <c r="P15" t="inlineStr">
        <is>
          <t>Yes</t>
        </is>
      </c>
      <c r="Q15" t="inlineStr">
        <is>
          <t>✅ Business Visa Rewards: NO 0% intro; APR N/M ('low rates'); $0 AF; 1pt/$1; free employee cards</t>
        </is>
      </c>
      <c r="R15" s="7" t="inlineStr">
        <is>
          <t>Self (Nuvision FCU)</t>
        </is>
      </c>
      <c r="S15" t="inlineStr">
        <is>
          <t>Online</t>
        </is>
      </c>
      <c r="T15" t="inlineStr">
        <is>
          <t>Online — apply at https://nuvisionfederal.com/business-banking/credit-cards</t>
        </is>
      </c>
      <c r="U15" t="inlineStr">
        <is>
          <t>https://nuvisionfederal.com/business-banking/credit-cards</t>
        </is>
      </c>
      <c r="V15" t="inlineStr">
        <is>
          <t>https://nuvisionfederal.com/business-banking/credit-cards</t>
        </is>
      </c>
      <c r="W15" t="inlineStr">
        <is>
          <t>N/M (agreement names EX/EQ/TU generically)</t>
        </is>
      </c>
      <c r="X15" t="inlineStr">
        <is>
          <t>N/M (personal vs business unspecified)</t>
        </is>
      </c>
      <c r="Y15" t="inlineStr">
        <is>
          <t>Apply via LoansPQ online portal (app.loanspq.com) or paper. PG likely (N/M). No business-card forum DPs.</t>
        </is>
      </c>
      <c r="Z15" t="inlineStr">
        <is>
          <t>3</t>
        </is>
      </c>
      <c r="AA15" t="inlineStr">
        <is>
          <t>PG likely (INFERENCE); no income docs stated</t>
        </is>
      </c>
      <c r="AB15" t="inlineStr">
        <is>
          <t>None (business loans via Business Member rep; no no-doc product)</t>
        </is>
      </c>
      <c r="AC15" t="inlineStr">
        <is>
          <t>Membership required (LA/Orange/San Diego/Ventura/Santa Barbara counties + Boeing/SEGs + family; OPEN nationwide via American Consumer Council)</t>
        </is>
      </c>
      <c r="AD15" t="inlineStr">
        <is>
          <t>★ No-doc card — apply online</t>
        </is>
      </c>
      <c r="AE15" t="inlineStr">
        <is>
          <t>Nuvision Business Visa Rewards Card (self-issued, $0 AF, 1pt/$1)</t>
        </is>
      </c>
      <c r="AF15" t="inlineStr">
        <is>
          <t>SoCal / Orange County</t>
        </is>
      </c>
      <c r="AG15" t="inlineStr">
        <is>
          <t>Huntington Beach</t>
        </is>
      </c>
      <c r="AH15" t="inlineStr">
        <is>
          <t>CU</t>
        </is>
      </c>
      <c r="AI15" t="inlineStr">
        <is>
          <t>HIGH self (agreement 'WE=NUVISION FCU', no agent issuer)/apply-online/SoCal/open-membership; N/M APR, HP, PG. 2026-05-29</t>
        </is>
      </c>
      <c r="AJ15" t="inlineStr">
        <is>
          <t>nuvisionfederal.com/business-banking/credit-cards + visa agreement PDF (self-issued); /about-us/am-i-eligible (ACC path)</t>
        </is>
      </c>
    </row>
    <row r="16">
      <c r="A16" t="inlineStr">
        <is>
          <t>15</t>
        </is>
      </c>
      <c r="B16" t="inlineStr">
        <is>
          <t>15</t>
        </is>
      </c>
      <c r="C16" s="5" t="inlineStr">
        <is>
          <t>Premier America Credit Union</t>
        </is>
      </c>
      <c r="D16" s="11" t="inlineStr">
        <is>
          <t>Credit Union</t>
        </is>
      </c>
      <c r="E16" t="inlineStr">
        <is>
          <t>★ Core SoCal</t>
        </is>
      </c>
      <c r="F16" s="10" t="inlineStr">
        <is>
          <t>🥇 GOLD (4/4)</t>
        </is>
      </c>
      <c r="G16" s="6" t="inlineStr">
        <is>
          <t>Yes — pulls + INQUIRY-SENSITIVE: 3 Chex inquiries/90 days = auto-deny (DoC DPs 2025-12-30, 2024-10-05)</t>
        </is>
      </c>
      <c r="H16" t="inlineStr">
        <is>
          <t>N/M</t>
        </is>
      </c>
      <c r="I16" t="inlineStr"/>
      <c r="J16" t="inlineStr">
        <is>
          <t>A — Self-UW (online)</t>
        </is>
      </c>
      <c r="K16" t="inlineStr">
        <is>
          <t>$5,000–$50,000 ($50K needs 2+yr profitable; new biz lower)  [product page]</t>
        </is>
      </c>
      <c r="L16" t="inlineStr">
        <is>
          <t>~$3.31B</t>
        </is>
      </c>
      <c r="M16" t="inlineStr">
        <is>
          <t>—</t>
        </is>
      </c>
      <c r="N16" t="inlineStr">
        <is>
          <t>HQ Chatsworth (LA County); ~$3.31B (NCUA 9/30/25); ~112K members; LA/Ventura + Houston TX</t>
        </is>
      </c>
      <c r="O16" t="inlineStr">
        <is>
          <t>CA-HQ'd</t>
        </is>
      </c>
      <c r="P16" t="inlineStr">
        <is>
          <t>Yes</t>
        </is>
      </c>
      <c r="Q16" t="inlineStr">
        <is>
          <t>✅ Premier Business Mastercard: NO 0% intro; 14.99% var; $0 AF; no late/over-limit/BT fees; merchant rebates; $5K-$50K lines</t>
        </is>
      </c>
      <c r="R16" s="7" t="inlineStr">
        <is>
          <t>Self (Premier America CU — confirmed creditor; Experian BusinessIQ app, no agent bank named)</t>
        </is>
      </c>
      <c r="S16" t="inlineStr">
        <is>
          <t>Online</t>
        </is>
      </c>
      <c r="T16" t="inlineStr">
        <is>
          <t>Online — apply at https://www.premieramerica.com/business/loans/premier-business-mastercard</t>
        </is>
      </c>
      <c r="U16" t="inlineStr">
        <is>
          <t>https://www.premieramerica.com/business/loans/premier-business-mastercard</t>
        </is>
      </c>
      <c r="V16" t="inlineStr">
        <is>
          <t>https://www.premieramerica.com/business/loans/premier-business-mastercard</t>
        </is>
      </c>
      <c r="W16" t="inlineStr">
        <is>
          <t>Personal pull on guarantor (FCRA auth; bureau not named)</t>
        </is>
      </c>
      <c r="X16" t="inlineStr">
        <is>
          <t>Personal: late payments reported; business bureaus N/M (markets 'build business credit')</t>
        </is>
      </c>
      <c r="Y16" t="inlineStr">
        <is>
          <t>Online app on Experian BusinessIQ (commercialcreditapps.com); CU-creditor language + Personal Guarantee Authorization. Lines $5K-$50K ($50K needs 2+yr profitable; new biz lower). No forum DPs.</t>
        </is>
      </c>
      <c r="Z16" t="inlineStr">
        <is>
          <t>3</t>
        </is>
      </c>
      <c r="AA16" t="inlineStr">
        <is>
          <t>PG yes (Personal Guarantee Authorization on app); SSN/income collected; no tax returns stated</t>
        </is>
      </c>
      <c r="AB16" t="inlineStr">
        <is>
          <t>None advertised (card is PG + personal-credit pull)</t>
        </is>
      </c>
      <c r="AC16" t="inlineStr">
        <is>
          <t>Membership required (LA + Ventura County CA + Harris County TX + family; OPEN via Thousand Oaks Alliance for the Arts; business share deposit $250)</t>
        </is>
      </c>
      <c r="AD16" t="inlineStr">
        <is>
          <t>★ No-doc card — apply online</t>
        </is>
      </c>
      <c r="AE16" t="inlineStr">
        <is>
          <t>Premier Business Mastercard (SELF-issued; $0 AF, 14.99%, $5K-$50K, merchant rebates)</t>
        </is>
      </c>
      <c r="AF16" t="inlineStr">
        <is>
          <t>SoCal / LA (+ Ventura)</t>
        </is>
      </c>
      <c r="AG16" t="inlineStr">
        <is>
          <t>Chatsworth</t>
        </is>
      </c>
      <c r="AH16" t="inlineStr">
        <is>
          <t>CU</t>
        </is>
      </c>
      <c r="AI16" t="inlineStr">
        <is>
          <t>HIGH self (CU-creditor language in app, no agent bank named — re-verified 2026-05-29)/online/SoCal/$5K-$50K = GOLD; MED HP bureau, biz reporting. 2026-05-29</t>
        </is>
      </c>
      <c r="AJ16" t="inlineStr">
        <is>
          <t>premieramerica.com/business/loans/premier-business-mastercard + /borrow/credit-cards/compare-all-cards (CU=lender); commercialcreditapps.com BusinessIQ app (PG, FCRA); hustlermoneyblog (arts path)</t>
        </is>
      </c>
    </row>
    <row r="17">
      <c r="A17" t="inlineStr">
        <is>
          <t>16</t>
        </is>
      </c>
      <c r="B17" t="inlineStr">
        <is>
          <t>16</t>
        </is>
      </c>
      <c r="C17" s="5" t="inlineStr">
        <is>
          <t>Firefighters First Credit Union</t>
        </is>
      </c>
      <c r="D17" s="11" t="inlineStr">
        <is>
          <t>Credit Union</t>
        </is>
      </c>
      <c r="E17" t="inlineStr">
        <is>
          <t>★ Core SoCal</t>
        </is>
      </c>
      <c r="F17" s="10" t="inlineStr">
        <is>
          <t>🥇 GOLD (4/4)</t>
        </is>
      </c>
      <c r="G17" t="inlineStr">
        <is>
          <t>N/M</t>
        </is>
      </c>
      <c r="H17" t="inlineStr">
        <is>
          <t>N/M</t>
        </is>
      </c>
      <c r="I17" t="inlineStr"/>
      <c r="J17" t="inlineStr">
        <is>
          <t>A — Self-UW (online)</t>
        </is>
      </c>
      <c r="K17" t="inlineStr">
        <is>
          <t>N/M (no bank-specific data point found)</t>
        </is>
      </c>
      <c r="L17" t="inlineStr">
        <is>
          <t>~$2.47B</t>
        </is>
      </c>
      <c r="M17" t="inlineStr">
        <is>
          <t>—</t>
        </is>
      </c>
      <c r="N17" t="inlineStr">
        <is>
          <t>LA HQ, Pasadena, Santa Clarita, Thousand Oaks, OC, Loma Linda</t>
        </is>
      </c>
      <c r="O17" t="inlineStr">
        <is>
          <t>CA-HQ'd</t>
        </is>
      </c>
      <c r="P17" t="inlineStr">
        <is>
          <t>Yes</t>
        </is>
      </c>
      <c r="Q17" t="inlineStr">
        <is>
          <t>⚠️ Business Visa Platinum: 10.75–18.00% var; SELF-issued — but FULL-DOC ('current business income statement and business federal tax returns') + firefighters-only FOM</t>
        </is>
      </c>
      <c r="R17" s="7" t="inlineStr">
        <is>
          <t>Self (Firefighters First CU)</t>
        </is>
      </c>
      <c r="S17" t="inlineStr">
        <is>
          <t>Online</t>
        </is>
      </c>
      <c r="T17" t="inlineStr">
        <is>
          <t>Online — apply at https://www.firefightersfirstcu.org/Business/Business-Loans/Business-Credit-Cards</t>
        </is>
      </c>
      <c r="U17" t="inlineStr">
        <is>
          <t>https://www.firefightersfirstcu.org</t>
        </is>
      </c>
      <c r="V17" t="inlineStr">
        <is>
          <t>https://www.firefightersfirstcu.org/Business/Business-Loans/Business-Credit-Cards</t>
        </is>
      </c>
      <c r="W17" t="inlineStr">
        <is>
          <t>N/M</t>
        </is>
      </c>
      <c r="X17" t="inlineStr">
        <is>
          <t>N/M</t>
        </is>
      </c>
      <c r="Y17" t="inlineStr">
        <is>
          <t>FULL-DOC requirement verbatim on site. FOM = fire service + immediate family only (NO open path). Light census 2026-06-10.</t>
        </is>
      </c>
      <c r="Z17" t="inlineStr">
        <is>
          <t>1</t>
        </is>
      </c>
      <c r="AA17" t="inlineStr">
        <is>
          <t>PG likely; tax returns REQUIRED</t>
        </is>
      </c>
      <c r="AB17" t="inlineStr">
        <is>
          <t>None — opposite (full-doc)</t>
        </is>
      </c>
      <c r="AC17" t="inlineStr">
        <is>
          <t>Membership: firefighters + family + their orgs (closed FOM)</t>
        </is>
      </c>
      <c r="AD17" t="inlineStr">
        <is>
          <t>★ ⚠ Firefighters-only FOM + FULL-DOC (tax returns required)</t>
        </is>
      </c>
      <c r="AE17" t="inlineStr">
        <is>
          <t>Business Visa Platinum (10.75–18%)</t>
        </is>
      </c>
      <c r="AF17" t="inlineStr">
        <is>
          <t>SoCal / LA (HQ 815 Colorado Blvd; + OC + Loma Linda SB)</t>
        </is>
      </c>
      <c r="AG17" t="inlineStr">
        <is>
          <t>Los Angeles, CA</t>
        </is>
      </c>
      <c r="AH17" t="inlineStr">
        <is>
          <t>CU</t>
        </is>
      </c>
      <c r="AI17" t="inlineStr">
        <is>
          <t>HIGH self/full-doc/closed-FOM. Light census 2026-06-10</t>
        </is>
      </c>
      <c r="AJ17" t="inlineStr">
        <is>
          <t>firefightersfirstcu.org Business-Credit-Cards + Membership-Eligibility</t>
        </is>
      </c>
    </row>
    <row r="18">
      <c r="A18" t="inlineStr">
        <is>
          <t>17</t>
        </is>
      </c>
      <c r="B18" t="inlineStr">
        <is>
          <t>17</t>
        </is>
      </c>
      <c r="C18" s="2" t="inlineStr">
        <is>
          <t>WaFd Bank</t>
        </is>
      </c>
      <c r="D18" s="8" t="inlineStr">
        <is>
          <t>Regional</t>
        </is>
      </c>
      <c r="E18" t="inlineStr">
        <is>
          <t>★ Core SoCal</t>
        </is>
      </c>
      <c r="F18" s="4" t="inlineStr">
        <is>
          <t>3/4  ✓SUW ✗Onl ✓SoCal ✓Card</t>
        </is>
      </c>
      <c r="G18" s="6" t="inlineStr">
        <is>
          <t>Yes — pulls (own Fresh Start page: 2nd-chance for paid-off non-fraud Chex records, 2026-06-09)</t>
        </is>
      </c>
      <c r="H18" t="inlineStr">
        <is>
          <t>N/M</t>
        </is>
      </c>
      <c r="I18" s="3" t="inlineStr">
        <is>
          <t>TU #5 (mentor — publicly N/M; in-house UW since 2020)</t>
        </is>
      </c>
      <c r="J18" t="inlineStr">
        <is>
          <t>B — Self-UW (in branch)</t>
        </is>
      </c>
      <c r="K18" t="inlineStr">
        <is>
          <t>$15K @ 13.99% (sole DP)  [myFICO #6674742, 2023-05-04]</t>
        </is>
      </c>
      <c r="L18" t="inlineStr">
        <is>
          <t>~$28B</t>
        </is>
      </c>
      <c r="M18" t="inlineStr">
        <is>
          <t>—</t>
        </is>
      </c>
      <c r="N18" t="inlineStr">
        <is>
          <t>10 CA branches: LA Co ×6 (Beverly Hills, Burbank-Toluca Lake, El Segundo, Encino, Long Beach, Pasadena) + NorCal ×4; NO OC/Riverside/SB</t>
        </is>
      </c>
      <c r="O18" t="inlineStr">
        <is>
          <t>Major CA (branches + lending)</t>
        </is>
      </c>
      <c r="P18" t="inlineStr">
        <is>
          <t>Yes</t>
        </is>
      </c>
      <c r="Q18" t="inlineStr">
        <is>
          <t>⚠️ Small Business Cash Back Visa: 16.49% var; $0 AF; 2% gas/grocery/pharmacy + 1% — APPLICATIONS PAUSED until 2026-06-30 (provider switch)</t>
        </is>
      </c>
      <c r="R18" s="7" t="inlineStr">
        <is>
          <t>Self (in-house since 2020-04-01 — ended Elan partnership, own FAQ verbatim; FIS→Fiserv rails)</t>
        </is>
      </c>
      <c r="S18" t="inlineStr">
        <is>
          <t>In-person</t>
        </is>
      </c>
      <c r="T18" t="inlineStr">
        <is>
          <t>Visit branch / contact a banker (no online application)</t>
        </is>
      </c>
      <c r="U18" t="inlineStr">
        <is>
          <t>https://www.wafdbank.com</t>
        </is>
      </c>
      <c r="V18" t="inlineStr">
        <is>
          <t>https://www.wafdbank.com/business-banking/business-credit-cards/small-business-credit-card</t>
        </is>
      </c>
      <c r="W18" t="inlineStr">
        <is>
          <t>N/M (personal pull confirmed; bureau unnamed; mentor 2026-06: TU — uncorroborated, zero DPs)</t>
        </is>
      </c>
      <c r="X18" t="inlineStr">
        <is>
          <t>Personal/consumer bureaus (INFERENCE from agreement); biz N/M</t>
        </is>
      </c>
      <c r="Y18" t="inlineStr">
        <is>
          <t>PG yes ('underwriting based on your personal credit'). App fields = self-reported biz+personal income, NO tax returns listed (own qualify article). DP: $15K @ 13.99% (myFICO #6674742, 2023-05-04). CLI gated 24mo.</t>
        </is>
      </c>
      <c r="Z18" t="inlineStr">
        <is>
          <t>2</t>
        </is>
      </c>
      <c r="AA18" t="inlineStr">
        <is>
          <t>PG YES; self-reported income only per published app-field list</t>
        </is>
      </c>
      <c r="AB18" t="inlineStr">
        <is>
          <t>Card IS the low-doc play (personal-credit UW, no doc list); Fresh Start = 2nd-chance checking (Chex-paid-off path)</t>
        </is>
      </c>
      <c r="AC18" t="inlineStr">
        <is>
          <t>N/M (relationship practically expected)</t>
        </is>
      </c>
      <c r="AD18" t="inlineStr">
        <is>
          <t>⏸ Apps paused til 2026-06-30 — self-UW, no-tax-return app (LA)</t>
        </is>
      </c>
      <c r="AE18" t="inlineStr">
        <is>
          <t>Small Business Cash Back Visa/Signature; Commercial Preferred Solution (RM)</t>
        </is>
      </c>
      <c r="AF18" t="inlineStr">
        <is>
          <t>SoCal / LA County (6 branches, ex-Luther Burbank; WA-HQ'd)</t>
        </is>
      </c>
      <c r="AG18" t="inlineStr">
        <is>
          <t>Seattle, WA</t>
        </is>
      </c>
      <c r="AH18" t="inlineStr">
        <is>
          <t>Reg</t>
        </is>
      </c>
      <c r="AI18" t="inlineStr">
        <is>
          <t>HIGH in-house-since-2020/terms/LA-only-footprint/pause-til-2026-06-30 (all primary 2026-06-09); N/M bureau. 2026-06-09</t>
        </is>
      </c>
      <c r="AJ18" t="inlineStr">
        <is>
          <t>wafdbank.com small-business-credit-card + FAQ (Elan ended 4/1/2020; June-30 banner) + rate PDF + qualify article + locations; myFICO #6674742 (2023-05-04); globenewswire 2024-01-30 (Luther Burbank)</t>
        </is>
      </c>
    </row>
    <row r="19">
      <c r="A19" t="inlineStr">
        <is>
          <t>18</t>
        </is>
      </c>
      <c r="B19" t="inlineStr">
        <is>
          <t>18</t>
        </is>
      </c>
      <c r="C19" s="12" t="inlineStr">
        <is>
          <t>First Citizens Bank</t>
        </is>
      </c>
      <c r="D19" s="8" t="inlineStr">
        <is>
          <t>Regional</t>
        </is>
      </c>
      <c r="E19" t="inlineStr">
        <is>
          <t>National (lends in CA)</t>
        </is>
      </c>
      <c r="F19" s="13" t="inlineStr">
        <is>
          <t>2/4  ✓SUW ✗Onl ✗SoCal ✓Card</t>
        </is>
      </c>
      <c r="G19" s="6" t="inlineStr">
        <is>
          <t>Yes — pulls (DoC 2025-08-07; Crediful 2025-10-07)</t>
        </is>
      </c>
      <c r="H19" s="9" t="inlineStr">
        <is>
          <t>N/M (not on DoC EWS list)</t>
        </is>
      </c>
      <c r="I19" s="3" t="inlineStr">
        <is>
          <t>EQ #1 (mentor — our data: all-3-bureau blended pull)</t>
        </is>
      </c>
      <c r="J19" t="inlineStr">
        <is>
          <t>B — Self-UW (in branch)</t>
        </is>
      </c>
      <c r="K19" t="inlineStr">
        <is>
          <t>$20K SL (Low-Interest Biz, branch + biz checking)  [myFICO #6704468]</t>
        </is>
      </c>
      <c r="L19" t="inlineStr">
        <is>
          <t>~$236B</t>
        </is>
      </c>
      <c r="M19" t="inlineStr">
        <is>
          <t>—</t>
        </is>
      </c>
      <c r="N19" t="inlineStr">
        <is>
          <t>500+ branches/23 states; major CA (ex-SVB, Santa Clara); SVB-&gt;First Citizens rebrand Q4 2026</t>
        </is>
      </c>
      <c r="O19" t="inlineStr">
        <is>
          <t>Major CA (branches + lending)</t>
        </is>
      </c>
      <c r="P19" t="inlineStr">
        <is>
          <t>Yes</t>
        </is>
      </c>
      <c r="Q19" t="inlineStr">
        <is>
          <t>✅ 4 Business Visa (Cash Rewards, Rewards, Premium $95, Low-Interest 0% 12mo). Branch-apply only. + SVB Innovator (NO PG, commercial charge)</t>
        </is>
      </c>
      <c r="R19" s="7" t="inlineStr">
        <is>
          <t>Self (First-Citizens Bank &amp; Trust)</t>
        </is>
      </c>
      <c r="S19" t="inlineStr">
        <is>
          <t>In-person</t>
        </is>
      </c>
      <c r="T19" t="inlineStr">
        <is>
          <t>Visit branch / contact a banker (no online application)</t>
        </is>
      </c>
      <c r="U19" t="inlineStr">
        <is>
          <t>https://www.firstcitizens.com/small-business/credit-financing/credit-cards</t>
        </is>
      </c>
      <c r="V19" t="inlineStr">
        <is>
          <t>https://www.firstcitizens.com/small-business/credit-financing/credit-cards</t>
        </is>
      </c>
      <c r="W19" t="inlineStr">
        <is>
          <t>All 3 bureaus (EX+EQ+TU) blended w/ business data</t>
        </is>
      </c>
      <c r="X19" t="inlineStr">
        <is>
          <t>Pulls D&amp;B/EX-Biz/EQ-Biz; personal N/M (likely default-only)</t>
        </is>
      </c>
      <c r="Y19" t="inlineStr">
        <is>
          <t>DP: Low-Interest Business $20K SL, auto-approved after opening biz checking in-branch (FICO ~750, D&amp;B 80). Branch + deposit relationship required. myfico.com #6704468</t>
        </is>
      </c>
      <c r="Z19" t="inlineStr">
        <is>
          <t>2</t>
        </is>
      </c>
      <c r="AA19" t="inlineStr">
        <is>
          <t>PG yes; NO tax returns (states income) — but branch + relationship gated</t>
        </is>
      </c>
      <c r="AB19" t="inlineStr">
        <is>
          <t>SVB Innovator Card = NO personal guarantee (commercial charge, for funded companies) — notable no-PG option</t>
        </is>
      </c>
      <c r="AC19" t="inlineStr">
        <is>
          <t>Yes (business checking relationship, opened in-branch)</t>
        </is>
      </c>
      <c r="AD19" t="inlineStr">
        <is>
          <t>SVB Innovator = no personal guarantee</t>
        </is>
      </c>
      <c r="AE19" t="inlineStr">
        <is>
          <t>First Citizens Business Visa: Cash Rewards, Rewards, Premium Rewards ($95), Low-Interest; SVB Innovator (no-PG charge)</t>
        </is>
      </c>
      <c r="AF19" t="inlineStr">
        <is>
          <t>National — major CA via SVB acquisition (2023)</t>
        </is>
      </c>
      <c r="AG19" t="inlineStr">
        <is>
          <t>Raleigh, NC</t>
        </is>
      </c>
      <c r="AH19" t="inlineStr">
        <is>
          <t>Reg</t>
        </is>
      </c>
      <c r="AI19" t="inlineStr">
        <is>
          <t>HIGH self (cardholder agreement)/lineup/PG/no-tax; branch-only + deposit-relationship gated. SVB Innovator = no-PG. 2026-05-28</t>
        </is>
      </c>
      <c r="AJ19" t="inlineStr">
        <is>
          <t>firstcitizens.com/small-business/credit-financing/credit-cards + cardholder agreement PDF (no agent issuer); svb.com/.../svb-innovator-card; myfico.com #6704468</t>
        </is>
      </c>
    </row>
    <row r="20">
      <c r="A20" t="inlineStr">
        <is>
          <t>19</t>
        </is>
      </c>
      <c r="B20" t="inlineStr">
        <is>
          <t>19</t>
        </is>
      </c>
      <c r="C20" s="2" t="inlineStr">
        <is>
          <t>First Bank (MO)</t>
        </is>
      </c>
      <c r="D20" s="8" t="inlineStr">
        <is>
          <t>Regional</t>
        </is>
      </c>
      <c r="E20" t="inlineStr">
        <is>
          <t>★ Core SoCal</t>
        </is>
      </c>
      <c r="F20" s="4" t="inlineStr">
        <is>
          <t>3/4  ✗SUW ✓Onl ✓SoCal ✓Card</t>
        </is>
      </c>
      <c r="G20" t="inlineStr">
        <is>
          <t>N/M</t>
        </is>
      </c>
      <c r="H20" t="inlineStr">
        <is>
          <t>N/M</t>
        </is>
      </c>
      <c r="I20" t="inlineStr"/>
      <c r="J20" t="inlineStr">
        <is>
          <t>A — Self-UW (online)</t>
        </is>
      </c>
      <c r="K20" t="inlineStr">
        <is>
          <t>Card N/M; Business First LOC up to $250,000 published  [first.bank 2026-06-10]</t>
        </is>
      </c>
      <c r="L20" t="inlineStr">
        <is>
          <t>N/M</t>
        </is>
      </c>
      <c r="M20" t="inlineStr">
        <is>
          <t>N/M</t>
        </is>
      </c>
      <c r="N20" t="inlineStr">
        <is>
          <t>~27 branches across all 4 SoCal counties (FDIC SOD 2025); MO/IL/CA footprint</t>
        </is>
      </c>
      <c r="O20" t="inlineStr">
        <is>
          <t>N/M</t>
        </is>
      </c>
      <c r="P20" t="inlineStr">
        <is>
          <t>Partial (CorServ self-issue)</t>
        </is>
      </c>
      <c r="Q20" t="inlineStr">
        <is>
          <t>✅ 4 Mastercards (Business Platinum / Platinum Rewards / Low Rate / World Elite); terms N/M</t>
        </is>
      </c>
      <c r="R20" s="14" t="inlineStr">
        <is>
          <t>Self (CorServ 'Apex' platform — firstbank.myapexcard.com)</t>
        </is>
      </c>
      <c r="S20" t="inlineStr">
        <is>
          <t>Online</t>
        </is>
      </c>
      <c r="T20" t="inlineStr">
        <is>
          <t>Online — apply at https://firstbank.myapexcard.com</t>
        </is>
      </c>
      <c r="U20" t="inlineStr">
        <is>
          <t>https://www.first.bank</t>
        </is>
      </c>
      <c r="V20" t="inlineStr">
        <is>
          <t>https://firstbank.myapexcard.com</t>
        </is>
      </c>
      <c r="W20" t="inlineStr">
        <is>
          <t>N/M</t>
        </is>
      </c>
      <c r="X20" t="inlineStr">
        <is>
          <t>N/M</t>
        </is>
      </c>
      <c r="Y20" t="inlineStr">
        <is>
          <t>CorServ Apex apply portal (same family as Fremont Bank). LOC 'Business First' up to $250K published. No forum DPs. Light census 2026-06-10.</t>
        </is>
      </c>
      <c r="Z20" t="inlineStr">
        <is>
          <t>3</t>
        </is>
      </c>
      <c r="AA20" t="inlineStr">
        <is>
          <t>N/M</t>
        </is>
      </c>
      <c r="AB20" t="inlineStr">
        <is>
          <t>Business First LOC up to $250,000 (docs N/M)</t>
        </is>
      </c>
      <c r="AC20" t="inlineStr">
        <is>
          <t>N/M</t>
        </is>
      </c>
      <c r="AD20" t="inlineStr">
        <is>
          <t>★ CorServ self-issue + ONLINE + 27 SoCal branches (new decode: myapexcard=CorServ)</t>
        </is>
      </c>
      <c r="AE20" t="inlineStr">
        <is>
          <t>Business Platinum, Business Platinum Rewards, Business Low Rate Platinum, World Elite (CorServ MC)</t>
        </is>
      </c>
      <c r="AF20" t="inlineStr">
        <is>
          <t>SoCal / LA-OC-Riverside-SB (27 branches; MO-HQ'd)</t>
        </is>
      </c>
      <c r="AG20" t="inlineStr">
        <is>
          <t>Creve Coeur, MO</t>
        </is>
      </c>
      <c r="AH20" t="inlineStr">
        <is>
          <t>Reg</t>
        </is>
      </c>
      <c r="AI20" t="inlineStr">
        <is>
          <t>MED-HIGH CorServ/online/footprint; N/M terms, HP, Chex. Light census 2026-06-10</t>
        </is>
      </c>
      <c r="AJ20" t="inlineStr">
        <is>
          <t>first.bank/Business/Bank/Business-Credit-Cards; firstbank.myapexcard.com (CorServ); first.bank Business-Lines-of-Credit</t>
        </is>
      </c>
    </row>
    <row r="21">
      <c r="A21" t="inlineStr">
        <is>
          <t>20</t>
        </is>
      </c>
      <c r="B21" t="inlineStr">
        <is>
          <t>20</t>
        </is>
      </c>
      <c r="C21" s="2" t="inlineStr">
        <is>
          <t>Valley National Bank</t>
        </is>
      </c>
      <c r="D21" s="8" t="inlineStr">
        <is>
          <t>Regional</t>
        </is>
      </c>
      <c r="E21" t="inlineStr">
        <is>
          <t>★ Core SoCal</t>
        </is>
      </c>
      <c r="F21" s="4" t="inlineStr">
        <is>
          <t>3/4  ✓SUW ✗Onl ✓SoCal ✓Card</t>
        </is>
      </c>
      <c r="G21" s="6" t="inlineStr">
        <is>
          <t>Yes — pulls (Crediful 2025-10-07); 2016 DoC DP: online sensitive, in-branch lenient</t>
        </is>
      </c>
      <c r="H21" t="inlineStr">
        <is>
          <t>N/M</t>
        </is>
      </c>
      <c r="I21" s="3" t="inlineStr">
        <is>
          <t>TU #2 (mentor — publicly N/M; biz card self-issued, confirmed)</t>
        </is>
      </c>
      <c r="J21" t="inlineStr">
        <is>
          <t>B — Self-UW (in branch)</t>
        </is>
      </c>
      <c r="K21" t="inlineStr">
        <is>
          <t>$5K–$100K application request range  [WalletHub 2025-02-17]</t>
        </is>
      </c>
      <c r="L21" t="inlineStr">
        <is>
          <t>~$63B</t>
        </is>
      </c>
      <c r="M21" t="inlineStr">
        <is>
          <t>—</t>
        </is>
      </c>
      <c r="N21" t="inlineStr">
        <is>
          <t>2 LA County offices ($220M dep, FDIC SOD 2025); ~$63B; commercial/private-banking style, not CA retail</t>
        </is>
      </c>
      <c r="O21" t="inlineStr">
        <is>
          <t>Major CA (branches + lending)</t>
        </is>
      </c>
      <c r="P21" t="inlineStr">
        <is>
          <t>Yes</t>
        </is>
      </c>
      <c r="Q21" t="inlineStr">
        <is>
          <t>✅ 0% 6 cycles → 14.45–25.75% var; $0 AF; 1% cash back; + Secured Business option (110% deposit, ≤$25K)</t>
        </is>
      </c>
      <c r="R21" s="7" t="inlineStr">
        <is>
          <t>Self (Valley National Bank — BUSINESS cards self-issued per own disclosures eff 2025-10-01; PERSONAL cards = Elan since ~2024)</t>
        </is>
      </c>
      <c r="S21" t="inlineStr">
        <is>
          <t>In-person</t>
        </is>
      </c>
      <c r="T21" t="inlineStr">
        <is>
          <t>Visit branch / contact a banker (no online application)</t>
        </is>
      </c>
      <c r="U21" t="inlineStr">
        <is>
          <t>https://www.valley.com</t>
        </is>
      </c>
      <c r="V21" t="inlineStr">
        <is>
          <t>https://www.valley.com/business/business-credit-cards</t>
        </is>
      </c>
      <c r="W21" t="inlineStr">
        <is>
          <t>N/M public (mentor 2026-06: TU — zero public DPs to corroborate)</t>
        </is>
      </c>
      <c r="X21" t="inlineStr">
        <is>
          <t>N/M (joint individual+company liability per disclosure)</t>
        </is>
      </c>
      <c r="Y21" t="inlineStr">
        <is>
          <t>Request range $5K–$100K (WalletHub form-field 2025). PG joint &amp; several (verbatim). ENTITY TRAP: vnb.com = Virginia National Bank (its Elan disclosure is NOT Valley's). Personal→Elan redirect: mycardapply lc=28283.</t>
        </is>
      </c>
      <c r="Z21" t="inlineStr">
        <is>
          <t>2</t>
        </is>
      </c>
      <c r="AA21" t="inlineStr">
        <is>
          <t>PG YES ('personally responsible, both individually and jointly with the Company')</t>
        </is>
      </c>
      <c r="AB21" t="inlineStr">
        <is>
          <t>Secured Business Card = low-barrier path ($1.1K deposit → $1K limit, credit-issues tolerated)</t>
        </is>
      </c>
      <c r="AC21" t="inlineStr">
        <is>
          <t>No for unsecured (relationship plausible); Secured = yes by design</t>
        </is>
      </c>
      <c r="AD21" t="inlineStr">
        <is>
          <t>Self-UW 0% 6cyc, $0 AF — LA offices, rep-mediated</t>
        </is>
      </c>
      <c r="AE21" t="inlineStr">
        <is>
          <t>Visa Business Credit Card (1% CB, $0 AF, 0% 6cyc); Valley Visa Secured Business; OneCard commercial</t>
        </is>
      </c>
      <c r="AF21" t="inlineStr">
        <is>
          <t>SoCal / LA (2 offices: DTLA 555 W 5th + Beverly Hills 225 N Beverly, ex-Bank Leumi; NJ-HQ'd)</t>
        </is>
      </c>
      <c r="AG21" t="inlineStr">
        <is>
          <t>Morristown, NJ</t>
        </is>
      </c>
      <c r="AH21" t="inlineStr">
        <is>
          <t>Reg</t>
        </is>
      </c>
      <c r="AI21" t="inlineStr">
        <is>
          <t>HIGH self-for-business (own 2025-10-01 disclosures)/terms/LA offices; LOW bureau (mentor-only); zero applicant DPs. 2026-06-09</t>
        </is>
      </c>
      <c r="AJ21" t="inlineStr">
        <is>
          <t>valley.com/business/business-credit-cards + Business Credit Card disclosure PDFs (eff 2025-10-01); FDIC SOD 2025 cert 9396; crediful.com/chexsystems/valley-national-bank (2025-10-07); wallethub.com Q&amp;A (2025-02-17 upd 2025-10-16); globenewswire 2022-04-01 (Leumi)</t>
        </is>
      </c>
    </row>
    <row r="22">
      <c r="A22" t="inlineStr">
        <is>
          <t>21</t>
        </is>
      </c>
      <c r="B22" t="inlineStr">
        <is>
          <t>21</t>
        </is>
      </c>
      <c r="C22" s="2" t="inlineStr">
        <is>
          <t>Western Alliance Bank</t>
        </is>
      </c>
      <c r="D22" s="8" t="inlineStr">
        <is>
          <t>Regional</t>
        </is>
      </c>
      <c r="E22" t="inlineStr">
        <is>
          <t>★ Core SoCal</t>
        </is>
      </c>
      <c r="F22" s="4" t="inlineStr">
        <is>
          <t>3/4  ✓SUW ✗Onl ✓SoCal ✓Card</t>
        </is>
      </c>
      <c r="G22" s="6" t="inlineStr">
        <is>
          <t>Yes — pulls (Crediful 2025-10-24)</t>
        </is>
      </c>
      <c r="H22" t="inlineStr">
        <is>
          <t>N/M</t>
        </is>
      </c>
      <c r="I22" s="3" t="inlineStr">
        <is>
          <t>TU #4 (mentor — publicly N/M)</t>
        </is>
      </c>
      <c r="J22" t="inlineStr">
        <is>
          <t>B — Self-UW (in branch)</t>
        </is>
      </c>
      <c r="K22" t="inlineStr">
        <is>
          <t>N/M (no bank-specific data point found)</t>
        </is>
      </c>
      <c r="L22" t="inlineStr">
        <is>
          <t>~$98.8B</t>
        </is>
      </c>
      <c r="M22" t="inlineStr">
        <is>
          <t>—</t>
        </is>
      </c>
      <c r="N22" t="inlineStr">
        <is>
          <t>HQ Phoenix; CA divisions Torrey Pines Bank (San Diego) + Bridge Bank (Silicon Valley); ~10 CA branches</t>
        </is>
      </c>
      <c r="O22" t="inlineStr">
        <is>
          <t>Major CA (branches + lending)</t>
        </is>
      </c>
      <c r="P22" t="inlineStr">
        <is>
          <t>Yes</t>
        </is>
      </c>
      <c r="Q22" t="inlineStr">
        <is>
          <t>✅ Business Plus Visa (revolving, 1pt, $0 AF); NO 0% intro; ~Prime+10% (~17.5%)</t>
        </is>
      </c>
      <c r="R22" s="7" t="inlineStr">
        <is>
          <t>Self (Western Alliance Bank)</t>
        </is>
      </c>
      <c r="S22" t="inlineStr">
        <is>
          <t>In-person</t>
        </is>
      </c>
      <c r="T22" t="inlineStr">
        <is>
          <t>Lead form → banker contacts in 2–3 days (RM-driven)</t>
        </is>
      </c>
      <c r="U22" t="inlineStr">
        <is>
          <t>https://www.westernalliancebancorporation.com/small-business/business-credit-cards</t>
        </is>
      </c>
      <c r="V22" t="inlineStr">
        <is>
          <t>https://www.westernalliancebancorporation.com/small-business/credit-cards/business-plus-credit-card</t>
        </is>
      </c>
      <c r="W22" t="inlineStr">
        <is>
          <t>N/M public — mentor DP (2026-06, unverified): TransUnion</t>
        </is>
      </c>
      <c r="X22" t="inlineStr">
        <is>
          <t>N/M (reporting authorized; bureaus unspecified)</t>
        </is>
      </c>
      <c r="Y22" t="inlineStr">
        <is>
          <t>Relationship/RM-driven; lead form ('banker contacts in 2-3 days'), balance transfers via RM. No forum data.</t>
        </is>
      </c>
      <c r="Z22" t="inlineStr">
        <is>
          <t>2</t>
        </is>
      </c>
      <c r="AA22" t="inlineStr">
        <is>
          <t>PG conditional ('if Bank requires'); financials at banker discretion</t>
        </is>
      </c>
      <c r="AB22" t="inlineStr">
        <is>
          <t>None (SBA/C&amp;I/CRE relationship-underwritten)</t>
        </is>
      </c>
      <c r="AC22" t="inlineStr">
        <is>
          <t>N/M (banking relationship expected)</t>
        </is>
      </c>
      <c r="AD22" t="inlineStr">
        <is>
          <t>No-doc card — apply in branch</t>
        </is>
      </c>
      <c r="AE22" t="inlineStr">
        <is>
          <t>Visa Business Plus; Visa Commercial / Commercial Plus / ONE Card</t>
        </is>
      </c>
      <c r="AF22" t="inlineStr">
        <is>
          <t>SoCal / San Diego + Silicon Valley (Torrey Pines / Bridge Bank)</t>
        </is>
      </c>
      <c r="AG22" t="inlineStr">
        <is>
          <t>Phoenix, AZ</t>
        </is>
      </c>
      <c r="AH22" t="inlineStr">
        <is>
          <t>Reg</t>
        </is>
      </c>
      <c r="AI22" t="inlineStr">
        <is>
          <t>HIGH self/products/no-0%/footprint; apply N (RM/lead form); N/M HP, reports. 2026-05-28</t>
        </is>
      </c>
      <c r="AJ22" t="inlineStr">
        <is>
          <t>westernalliancebancorporation.com/small-business/credit-cards + commercial-credit-card-agreement (issuer=self); torrey-pines-bank + bridge-bank pages; FDIC cert 57512</t>
        </is>
      </c>
    </row>
    <row r="23">
      <c r="A23" t="inlineStr">
        <is>
          <t>22</t>
        </is>
      </c>
      <c r="B23" t="inlineStr">
        <is>
          <t>22</t>
        </is>
      </c>
      <c r="C23" s="2" t="inlineStr">
        <is>
          <t>Redwood Credit Union</t>
        </is>
      </c>
      <c r="D23" s="11" t="inlineStr">
        <is>
          <t>Credit Union</t>
        </is>
      </c>
      <c r="E23" t="inlineStr">
        <is>
          <t>Other — NorCal</t>
        </is>
      </c>
      <c r="F23" s="4" t="inlineStr">
        <is>
          <t>3/4  ✓SUW ✓Onl ✗SoCal ✓Card</t>
        </is>
      </c>
      <c r="G23" t="inlineStr">
        <is>
          <t>N/M</t>
        </is>
      </c>
      <c r="H23" t="inlineStr">
        <is>
          <t>N/M</t>
        </is>
      </c>
      <c r="I23" t="inlineStr"/>
      <c r="J23" t="inlineStr">
        <is>
          <t>A — Self-UW (online)</t>
        </is>
      </c>
      <c r="K23" t="inlineStr">
        <is>
          <t>N/M (no bank-specific data point found)</t>
        </is>
      </c>
      <c r="L23" t="inlineStr">
        <is>
          <t>~$9.76B</t>
        </is>
      </c>
      <c r="M23" t="inlineStr">
        <is>
          <t>—</t>
        </is>
      </c>
      <c r="N23" t="inlineStr">
        <is>
          <t>8 North Bay counties; ~23 branches</t>
        </is>
      </c>
      <c r="O23" t="inlineStr">
        <is>
          <t>CA-HQ'd</t>
        </is>
      </c>
      <c r="P23" t="inlineStr">
        <is>
          <t>Yes</t>
        </is>
      </c>
      <c r="Q23" t="inlineStr">
        <is>
          <t>⚠️ Business Visa Platinum (Preferred/Select): $0 AF, 1pt; NO 0% intro. FULL-DOC: requires tax returns + financials</t>
        </is>
      </c>
      <c r="R23" s="7" t="inlineStr">
        <is>
          <t>Self (Redwood Credit Union)</t>
        </is>
      </c>
      <c r="S23" t="inlineStr">
        <is>
          <t>Online</t>
        </is>
      </c>
      <c r="T23" t="inlineStr">
        <is>
          <t>Online — apply at https://www.redwoodcu.org/business/cards/business-visa-platinum/</t>
        </is>
      </c>
      <c r="U23" t="inlineStr">
        <is>
          <t>https://www.redwoodcu.org/business/cards/business-visa-platinum/</t>
        </is>
      </c>
      <c r="V23" t="inlineStr">
        <is>
          <t>https://www.redwoodcu.org/business/cards/business-visa-platinum/</t>
        </is>
      </c>
      <c r="W23" t="inlineStr">
        <is>
          <t>N/M</t>
        </is>
      </c>
      <c r="X23" t="inlineStr">
        <is>
          <t>Negative/default (personal); business bureaus N/M</t>
        </is>
      </c>
      <c r="Y23" t="inlineStr">
        <is>
          <t>FULL-DOC: 'need business income statement and business federal tax returns; personal credit reviewed.' Business must be HQ'd in 8-county area. No forum data.</t>
        </is>
      </c>
      <c r="Z23" t="inlineStr">
        <is>
          <t>1</t>
        </is>
      </c>
      <c r="AA23" t="inlineStr">
        <is>
          <t>PG (INFERENCE) + tax returns + financials REQUIRED — NOT no-doc</t>
        </is>
      </c>
      <c r="AB23" t="inlineStr">
        <is>
          <t>None (the card itself is full-doc)</t>
        </is>
      </c>
      <c r="AC23" t="inlineStr">
        <is>
          <t>Membership required (8 North Bay counties; business HQ'd there)</t>
        </is>
      </c>
      <c r="AD23" t="inlineStr">
        <is>
          <t>★ Full-doc — requires tax returns</t>
        </is>
      </c>
      <c r="AE23" t="inlineStr">
        <is>
          <t>Redwood CU Business Visa Platinum (Preferred / Select)</t>
        </is>
      </c>
      <c r="AF23" t="inlineStr">
        <is>
          <t>NorCal / SF (North Bay, 8-county FOM)</t>
        </is>
      </c>
      <c r="AG23" t="inlineStr">
        <is>
          <t>Santa Rosa, CA</t>
        </is>
      </c>
      <c r="AH23" t="inlineStr">
        <is>
          <t>CU</t>
        </is>
      </c>
      <c r="AI23" t="inlineStr">
        <is>
          <t>HIGH self/card-exists/FULL-DOC (tax returns required); MED APR. NOT a no-doc target. 2026-05-28</t>
        </is>
      </c>
      <c r="AJ23" t="inlineStr">
        <is>
          <t>redwoodcu.org/business/cards/business-visa-platinum (tax returns required); CFPB agreement PDF (self); /about/press-room/fact-sheet</t>
        </is>
      </c>
    </row>
    <row r="24">
      <c r="A24" t="inlineStr">
        <is>
          <t>23</t>
        </is>
      </c>
      <c r="B24" t="inlineStr">
        <is>
          <t>23</t>
        </is>
      </c>
      <c r="C24" s="12" t="inlineStr">
        <is>
          <t>Fremont Bank</t>
        </is>
      </c>
      <c r="D24" s="15" t="inlineStr">
        <is>
          <t>CA Bank</t>
        </is>
      </c>
      <c r="E24" t="inlineStr">
        <is>
          <t>Other — NorCal</t>
        </is>
      </c>
      <c r="F24" s="13" t="inlineStr">
        <is>
          <t>2/4  ✗SUW ✓Onl ✗SoCal ✓Card</t>
        </is>
      </c>
      <c r="G24" t="inlineStr">
        <is>
          <t>N/M</t>
        </is>
      </c>
      <c r="H24" t="inlineStr">
        <is>
          <t>N/M</t>
        </is>
      </c>
      <c r="I24" t="inlineStr"/>
      <c r="J24" t="inlineStr">
        <is>
          <t>A — Self-UW (online)</t>
        </is>
      </c>
      <c r="K24" t="inlineStr">
        <is>
          <t>N/M (no bank-specific data point found)</t>
        </is>
      </c>
      <c r="L24" t="inlineStr">
        <is>
          <t>$5.92B</t>
        </is>
      </c>
      <c r="M24" t="inlineStr">
        <is>
          <t>$5.27B</t>
        </is>
      </c>
      <c r="N24" t="inlineStr">
        <is>
          <t>CA-only; ~22 branches SF Bay Area/East Bay</t>
        </is>
      </c>
      <c r="O24" t="inlineStr">
        <is>
          <t>CA-HQ'd</t>
        </is>
      </c>
      <c r="P24" t="inlineStr">
        <is>
          <t>Partial (CorServ self-issue)</t>
        </is>
      </c>
      <c r="Q24" t="inlineStr">
        <is>
          <t>✅ 0% 6 mo → 12.49-20.49% var; $0 AF (Business Platinum)</t>
        </is>
      </c>
      <c r="R24" s="14" t="inlineStr">
        <is>
          <t>Self (CorServ 'Apex' platform)</t>
        </is>
      </c>
      <c r="S24" t="inlineStr">
        <is>
          <t>Online</t>
        </is>
      </c>
      <c r="T24" t="inlineStr">
        <is>
          <t>Online — apply at https://fremontbank.myapexcard.com</t>
        </is>
      </c>
      <c r="U24" t="inlineStr">
        <is>
          <t>https://www.fremontbank.com</t>
        </is>
      </c>
      <c r="V24" t="inlineStr">
        <is>
          <t>https://fremontbank.myapexcard.com</t>
        </is>
      </c>
      <c r="W24" t="inlineStr">
        <is>
          <t>Experian (inferred from sister personal card)</t>
        </is>
      </c>
      <c r="X24" t="inlineStr">
        <is>
          <t>N/M</t>
        </is>
      </c>
      <c r="Y24" t="inlineStr">
        <is>
          <t>N/M for biz cards. Sibling personal card (DoC 2022): Experian pull; existing-relationship applicants</t>
        </is>
      </c>
      <c r="Z24" t="inlineStr">
        <is>
          <t>3</t>
        </is>
      </c>
      <c r="AA24" t="inlineStr">
        <is>
          <t>PG likely (N/M); no income-doc evidence</t>
        </is>
      </c>
      <c r="AB24" t="inlineStr">
        <is>
          <t>N/M (business LOC $25K-$500K+, conventional)</t>
        </is>
      </c>
      <c r="AC24" t="inlineStr">
        <is>
          <t>Yes ('Exclusively for Fremont Bank customers')</t>
        </is>
      </c>
      <c r="AD24" t="inlineStr">
        <is>
          <t>★ No-doc 0% card — apply online</t>
        </is>
      </c>
      <c r="AE24" t="inlineStr">
        <is>
          <t>Business Platinum, Platinum Rewards, Platinum Low Rate ($99 AF), World Elite ($95 AF)</t>
        </is>
      </c>
      <c r="AF24" t="inlineStr">
        <is>
          <t>NorCal / SF-East Bay</t>
        </is>
      </c>
      <c r="AG24" t="inlineStr">
        <is>
          <t>Fremont</t>
        </is>
      </c>
      <c r="AH24" t="inlineStr">
        <is>
          <t>19</t>
        </is>
      </c>
      <c r="AI24" t="inlineStr">
        <is>
          <t>MED-HIGH products/terms/online/CorServ; MED issuer=self; LOW HP/PG. 2026-05-28</t>
        </is>
      </c>
      <c r="AJ24" t="inlineStr">
        <is>
          <t>fremontbank.com/business/credit (4 product pages); fremontbank.myapexcard.com; corservsolutions.com</t>
        </is>
      </c>
    </row>
    <row r="25">
      <c r="A25" t="inlineStr">
        <is>
          <t>24</t>
        </is>
      </c>
      <c r="B25" t="inlineStr">
        <is>
          <t>24</t>
        </is>
      </c>
      <c r="C25" s="2" t="inlineStr">
        <is>
          <t>California Credit Union</t>
        </is>
      </c>
      <c r="D25" s="11" t="inlineStr">
        <is>
          <t>Credit Union</t>
        </is>
      </c>
      <c r="E25" t="inlineStr">
        <is>
          <t>★ Core SoCal</t>
        </is>
      </c>
      <c r="F25" s="4" t="inlineStr">
        <is>
          <t>3/4  ✓SUW ✗Onl ✓SoCal ✓Card</t>
        </is>
      </c>
      <c r="G25" s="6" t="inlineStr">
        <is>
          <t>Yes — pulls (CU-answered myFICO Q&amp;A 2025-08-21: 'Chexsystems { Yes }'; 'Chex sensitive, apply in person' DP)</t>
        </is>
      </c>
      <c r="H25" t="inlineStr">
        <is>
          <t>N/M</t>
        </is>
      </c>
      <c r="I25" s="3" t="inlineStr">
        <is>
          <t>EQ #3 (mentor — 2025-08 CU-answered DP says EXPERIAN)</t>
        </is>
      </c>
      <c r="J25" t="inlineStr">
        <is>
          <t>B — Self-UW (in branch)</t>
        </is>
      </c>
      <c r="K25" t="inlineStr">
        <is>
          <t>N/M (no published range; no forum DPs)</t>
        </is>
      </c>
      <c r="L25" t="inlineStr">
        <is>
          <t>~$5.4B</t>
        </is>
      </c>
      <c r="M25" t="inlineStr">
        <is>
          <t>—</t>
        </is>
      </c>
      <c r="N25" t="inlineStr">
        <is>
          <t>~25 branches: 14 LA/OC + 11 San Diego (North Island brand) + Temecula; LAUSD/educator roots</t>
        </is>
      </c>
      <c r="O25" t="inlineStr">
        <is>
          <t>CA-HQ'd</t>
        </is>
      </c>
      <c r="P25" t="inlineStr">
        <is>
          <t>Yes</t>
        </is>
      </c>
      <c r="Q25" t="inlineStr">
        <is>
          <t>✅ no 0%; 8.25–15.25% (site; fn 2021); $0 AF; Platinum (low-rate) + Rewards (1%)</t>
        </is>
      </c>
      <c r="R25" s="7" t="inlineStr">
        <is>
          <t>Self (CCU is creditor per agreement; MeridianLink = processor)</t>
        </is>
      </c>
      <c r="S25" t="inlineStr">
        <is>
          <t>In-person</t>
        </is>
      </c>
      <c r="T25" t="inlineStr">
        <is>
          <t>Visit branch / contact a banker (no online application)</t>
        </is>
      </c>
      <c r="U25" t="inlineStr">
        <is>
          <t>https://www.ccu.com</t>
        </is>
      </c>
      <c r="V25" t="inlineStr">
        <is>
          <t>https://www.ccu.com/business/loans/business-credit-cards</t>
        </is>
      </c>
      <c r="W25" t="inlineStr">
        <is>
          <t>Experian (CU-answered myFICO Q&amp;A 2025-08-21; mentor said EQ — only one 2020 EQ DP)</t>
        </is>
      </c>
      <c r="X25" t="inlineStr">
        <is>
          <t>Negative to consumer bureaus per agreement; biz bureaus N/M</t>
        </is>
      </c>
      <c r="Y25" t="inlineStr">
        <is>
          <t>650 floor (2020 rep DP); CREDIT COVENANTS: financials + tax returns ON REQUEST within 45 days (agreement). Fed-charter conversion vote ~2025-08. myFICO #6838366 (2025-08) / #5877067 (2020-01).</t>
        </is>
      </c>
      <c r="Z25" t="inlineStr">
        <is>
          <t>2</t>
        </is>
      </c>
      <c r="AA25" t="inlineStr">
        <is>
          <t>PG yes (guarantor offset clause) + financials/tax-returns-on-request covenant</t>
        </is>
      </c>
      <c r="AB25" t="inlineStr">
        <is>
          <t>None (SBA Preferred Lender — full-doc)</t>
        </is>
      </c>
      <c r="AC25" t="inlineStr">
        <is>
          <t>Membership required — OPEN to any business via American Consumer Council (free, ccu.com/join); 6-county FOM; dba North Island CU in SD/Riverside</t>
        </is>
      </c>
      <c r="AD25" t="inlineStr">
        <is>
          <t>Open membership via ACC; phone-apply (mentor EQ→2025 DP says EXP)</t>
        </is>
      </c>
      <c r="AE25" t="inlineStr">
        <is>
          <t>Visa Business Platinum; Visa Business Rewards (1%); Visa School Business Card (no-PG, schools only)</t>
        </is>
      </c>
      <c r="AF25" t="inlineStr">
        <is>
          <t>SoCal / LA (Glendale)</t>
        </is>
      </c>
      <c r="AG25" t="inlineStr">
        <is>
          <t>Glendale</t>
        </is>
      </c>
      <c r="AH25" t="inlineStr">
        <is>
          <t>CU</t>
        </is>
      </c>
      <c r="AI25" t="inlineStr">
        <is>
          <t>HIGH self/products/ACC-open-membership/Chex-yes; MED terms (2021 footnote); HP=EXP per 2025 DP (contradicts mentor EQ). 2026-06-09</t>
        </is>
      </c>
      <c r="AJ25" t="inlineStr">
        <is>
          <t>ccu.com/business/loans/business-credit-cards + Business Rewards agreement PDF (eff 2019-02-28) + /join; myFICO #6838366 (2025-08-21) + #5877067 (2020-01)</t>
        </is>
      </c>
    </row>
    <row r="26">
      <c r="A26" t="inlineStr">
        <is>
          <t>25</t>
        </is>
      </c>
      <c r="B26" t="inlineStr">
        <is>
          <t>25</t>
        </is>
      </c>
      <c r="C26" s="2" t="inlineStr">
        <is>
          <t>Kinecta Federal Credit Union</t>
        </is>
      </c>
      <c r="D26" s="11" t="inlineStr">
        <is>
          <t>Credit Union</t>
        </is>
      </c>
      <c r="E26" t="inlineStr">
        <is>
          <t>★ Core SoCal</t>
        </is>
      </c>
      <c r="F26" s="4" t="inlineStr">
        <is>
          <t>3/4  ✓SUW ✗Onl ✓SoCal ✓Card</t>
        </is>
      </c>
      <c r="G26" t="inlineStr">
        <is>
          <t>N/M</t>
        </is>
      </c>
      <c r="H26" t="inlineStr">
        <is>
          <t>N/M</t>
        </is>
      </c>
      <c r="I26" t="inlineStr"/>
      <c r="J26" t="inlineStr">
        <is>
          <t>B — Self-UW (in branch)</t>
        </is>
      </c>
      <c r="K26" t="inlineStr">
        <is>
          <t>N/M (no bank-specific data point found)</t>
        </is>
      </c>
      <c r="L26" t="inlineStr">
        <is>
          <t>~$6.8B</t>
        </is>
      </c>
      <c r="M26" t="inlineStr">
        <is>
          <t>—</t>
        </is>
      </c>
      <c r="N26" t="inlineStr">
        <is>
          <t>HQ Manhattan Beach (LA County); ~23-28 branches; Greater LA + open via Innovision</t>
        </is>
      </c>
      <c r="O26" t="inlineStr">
        <is>
          <t>CA-HQ'd</t>
        </is>
      </c>
      <c r="P26" t="inlineStr">
        <is>
          <t>Yes</t>
        </is>
      </c>
      <c r="Q26" t="inlineStr">
        <is>
          <t>✅ MyPro Business Mastercard: 0% 18 cyc on BALANCE TRANSFERS only; 12.24-18%; $0 AF; 3/2/1% cash back</t>
        </is>
      </c>
      <c r="R26" s="7" t="inlineStr">
        <is>
          <t>Self (Kinecta FCU; CUNA Mutual/TruStage = forms vendor only)</t>
        </is>
      </c>
      <c r="S26" t="inlineStr">
        <is>
          <t>In-person</t>
        </is>
      </c>
      <c r="T26" t="inlineStr">
        <is>
          <t>By appointment or mail PDF (no instant online)</t>
        </is>
      </c>
      <c r="U26" t="inlineStr">
        <is>
          <t>https://www.kinecta.org/credit-card/mypro</t>
        </is>
      </c>
      <c r="V26" t="inlineStr">
        <is>
          <t>https://www.kinecta.org/credit-card/mypro</t>
        </is>
      </c>
      <c r="W26" t="inlineStr">
        <is>
          <t>N/M</t>
        </is>
      </c>
      <c r="X26" t="inlineStr">
        <is>
          <t>N/M (reports owner + business; behavior/bureaus unspecified)</t>
        </is>
      </c>
      <c r="Y26" t="inlineStr">
        <is>
          <t>Apply by appointment / mail PDF (no instant online). No forum data points.</t>
        </is>
      </c>
      <c r="Z26" t="inlineStr">
        <is>
          <t>2</t>
        </is>
      </c>
      <c r="AA26" t="inlineStr">
        <is>
          <t>PG yes (guaranty section); financials on request</t>
        </is>
      </c>
      <c r="AB26" t="inlineStr">
        <is>
          <t>None (SBA/CRE full-doc)</t>
        </is>
      </c>
      <c r="AC26" t="inlineStr">
        <is>
          <t>Membership required (Greater LA SoCal ZIPs; OPEN nationwide via Innovision Society $10 — Kinecta covers yr1)</t>
        </is>
      </c>
      <c r="AD26" t="inlineStr">
        <is>
          <t>No-doc card — apply in branch</t>
        </is>
      </c>
      <c r="AE26" t="inlineStr">
        <is>
          <t>MyPro Business Mastercard</t>
        </is>
      </c>
      <c r="AF26" t="inlineStr">
        <is>
          <t>SoCal / Los Angeles (Manhattan Beach)</t>
        </is>
      </c>
      <c r="AG26" t="inlineStr">
        <is>
          <t>Manhattan Beach, CA</t>
        </is>
      </c>
      <c r="AH26" t="inlineStr">
        <is>
          <t>CU</t>
        </is>
      </c>
      <c r="AI26" t="inlineStr">
        <is>
          <t>HIGH self/terms/PG/SoCal/open-membership-path; apply N (appointment); N/M HP, reports. 2026-05-28</t>
        </is>
      </c>
      <c r="AJ26" t="inlineStr">
        <is>
          <t>kinecta.org/credit-card/mypro + MyPro agreement/disclosure PDFs; CFPB Kinecta MyPro agreement; join pages</t>
        </is>
      </c>
    </row>
    <row r="27">
      <c r="A27" t="inlineStr">
        <is>
          <t>26</t>
        </is>
      </c>
      <c r="B27" t="inlineStr">
        <is>
          <t>26</t>
        </is>
      </c>
      <c r="C27" s="2" t="inlineStr">
        <is>
          <t>Enterprise Bank &amp; Trust</t>
        </is>
      </c>
      <c r="D27" s="8" t="inlineStr">
        <is>
          <t>Regional</t>
        </is>
      </c>
      <c r="E27" t="inlineStr">
        <is>
          <t>★ Core SoCal</t>
        </is>
      </c>
      <c r="F27" s="4" t="inlineStr">
        <is>
          <t>3/4  ✓SUW ✗Onl ✓SoCal ✓Card</t>
        </is>
      </c>
      <c r="G27" s="9" t="inlineStr">
        <is>
          <t>N/M (no disclosure, no DPs)</t>
        </is>
      </c>
      <c r="H27" t="inlineStr">
        <is>
          <t>N/M</t>
        </is>
      </c>
      <c r="I27" t="inlineStr"/>
      <c r="J27" t="inlineStr">
        <is>
          <t>B — Self-UW (in branch)</t>
        </is>
      </c>
      <c r="K27" t="inlineStr">
        <is>
          <t>~$50K claimed via broker channel (UNVERIFIED, 2026-06); no public DPs</t>
        </is>
      </c>
      <c r="L27" t="inlineStr">
        <is>
          <t>$17.2B</t>
        </is>
      </c>
      <c r="M27" t="inlineStr">
        <is>
          <t>$14.66B</t>
        </is>
      </c>
      <c r="N27" t="inlineStr">
        <is>
          <t>8 SoCal branches (FDIC SOD 2025): Cerritos, DTLA, Pasadena, Alhambra, Anaheim, San Juan Capistrano, Chula Vista, Encinitas; 58 offices total</t>
        </is>
      </c>
      <c r="O27" t="inlineStr">
        <is>
          <t>Major CA (branches + lending)</t>
        </is>
      </c>
      <c r="P27" t="inlineStr">
        <is>
          <t>Yes</t>
        </is>
      </c>
      <c r="Q27" t="inlineStr">
        <is>
          <t>✅ no 0% (biz); 19.25% (Prime+12.5%); $0/$50 AF; 1.25x/1.5x points; + Commercial Card Solution</t>
        </is>
      </c>
      <c r="R27" s="7" t="inlineStr">
        <is>
          <t>Self (FIS rails: eZBusiness/ezcardinfo/ScoreCard; zero agent-portal tells — MED-HIGH inference, no agreement PDF)</t>
        </is>
      </c>
      <c r="S27" t="inlineStr">
        <is>
          <t>In-person</t>
        </is>
      </c>
      <c r="T27" t="inlineStr">
        <is>
          <t>Visit branch / contact a banker (no online application)</t>
        </is>
      </c>
      <c r="U27" t="inlineStr">
        <is>
          <t>https://www.enterprisebank.com</t>
        </is>
      </c>
      <c r="V27" t="inlineStr">
        <is>
          <t>https://www.enterprisebank.com/business/credit-cards</t>
        </is>
      </c>
      <c r="W27" t="inlineStr">
        <is>
          <t>N/M (zero public DPs — datapoint desert)</t>
        </is>
      </c>
      <c r="X27" t="inlineStr">
        <is>
          <t>N/M</t>
        </is>
      </c>
      <c r="Y27" t="inlineStr">
        <is>
          <t>🎯 BROKER CLAIM (Credit Veterans / Credit-with-Colin / Freedom Funders via rep Jessica Morrow AVP jmorrow@, relayed 2026-06, PUBLICLY UNVERIFIED): ~$50K business LOC and/or card, app-only, NO financials. Scaffolding checks out: rep is real (ZoomInfo/TheOrg 2026-06-09); bank publishes SBA referral-fee program (the broker rail); SBA Express ≤$500K incl. LOCs (Preferred Lender, delegated). No published app-only tier — GET THE UNDERWRITING BOX IN WRITING. Broker BBB complaints on upfront fees.</t>
        </is>
      </c>
      <c r="Z27" t="inlineStr">
        <is>
          <t>2</t>
        </is>
      </c>
      <c r="AA27" t="inlineStr">
        <is>
          <t>N/M (nothing published)</t>
        </is>
      </c>
      <c r="AB27" t="inlineStr">
        <is>
          <t>SBA Express ≤$500K (term + LOC); claimed $50K app-only program = unpublished banker-channel</t>
        </is>
      </c>
      <c r="AC27" t="inlineStr">
        <is>
          <t>N/M (RM relationship expected)</t>
        </is>
      </c>
      <c r="AD27" t="inlineStr">
        <is>
          <t>🎯 Broker-claimed $50K app-only (UNVERIFIED) — 8 SoCal branches</t>
        </is>
      </c>
      <c r="AE27" t="inlineStr">
        <is>
          <t>Business Rewards ($0 AF, 1.25x); Business Preferred Rewards ($50 AF, 1.5x); Commercial Card Solution</t>
        </is>
      </c>
      <c r="AF27" t="inlineStr">
        <is>
          <t>SoCal / LA-OC-SD (8 CA branches, ex-First Choice + Seacoast; MO-HQ'd)</t>
        </is>
      </c>
      <c r="AG27" t="inlineStr">
        <is>
          <t>Clayton, MO</t>
        </is>
      </c>
      <c r="AH27" t="inlineStr">
        <is>
          <t>Reg</t>
        </is>
      </c>
      <c r="AI27" t="inlineStr">
        <is>
          <t>HIGH branches/products/terms (own site + FDIC SOD, 2026-06-09); MED-HIGH self-issue; $50K claim UNVERIFIED. 2026-06-09</t>
        </is>
      </c>
      <c r="AJ27" t="inlineStr">
        <is>
          <t>enterprisebank.com/business/credit-cards + /credit-card-login (FIS) + /business/sba-lending (referral fees); FDIC SOD 2025 cert 27237; zoominfo.com/p/Jessica-Morrow/3066046315; SEC First Choice PR 2021-04-26; BBB Freedom Funders complaints</t>
        </is>
      </c>
    </row>
    <row r="28">
      <c r="A28" t="inlineStr">
        <is>
          <t>27</t>
        </is>
      </c>
      <c r="B28" t="inlineStr">
        <is>
          <t>27</t>
        </is>
      </c>
      <c r="C28" s="2" t="inlineStr">
        <is>
          <t>CommunityAmerica Credit Union (ex-UNIFY)</t>
        </is>
      </c>
      <c r="D28" s="11" t="inlineStr">
        <is>
          <t>Credit Union</t>
        </is>
      </c>
      <c r="E28" t="inlineStr">
        <is>
          <t>★ Core SoCal</t>
        </is>
      </c>
      <c r="F28" s="4" t="inlineStr">
        <is>
          <t>3/4  ✓SUW ✗Onl ✓SoCal ✓Card</t>
        </is>
      </c>
      <c r="G28" t="inlineStr">
        <is>
          <t>N/M</t>
        </is>
      </c>
      <c r="H28" t="inlineStr">
        <is>
          <t>N/M</t>
        </is>
      </c>
      <c r="I28" t="inlineStr"/>
      <c r="J28" t="inlineStr">
        <is>
          <t>B — Self-UW (in branch)</t>
        </is>
      </c>
      <c r="K28" t="inlineStr">
        <is>
          <t>N/M (no bank-specific data point found)</t>
        </is>
      </c>
      <c r="L28" t="inlineStr">
        <is>
          <t>~$9.0B</t>
        </is>
      </c>
      <c r="M28" t="inlineStr">
        <is>
          <t>—</t>
        </is>
      </c>
      <c r="N28" t="inlineStr">
        <is>
          <t>11 LA/OC branches (ex-UNIFY)</t>
        </is>
      </c>
      <c r="O28" t="inlineStr">
        <is>
          <t>CA-HQ'd</t>
        </is>
      </c>
      <c r="P28" t="inlineStr">
        <is>
          <t>Yes</t>
        </is>
      </c>
      <c r="Q28" t="inlineStr">
        <is>
          <t>✅ Business Visa Rewards: 1% cash back; $0 AF; 'as low as 16.99%'; SELF-issued</t>
        </is>
      </c>
      <c r="R28" s="7" t="inlineStr">
        <is>
          <t>Self (CommunityAmerica CU)</t>
        </is>
      </c>
      <c r="S28" t="inlineStr">
        <is>
          <t>Assisted</t>
        </is>
      </c>
      <c r="T28" t="inlineStr">
        <is>
          <t>Staff-assisted (phone appointment / DocuSign; not instant)</t>
        </is>
      </c>
      <c r="U28" t="inlineStr">
        <is>
          <t>https://www.communityamerica.com</t>
        </is>
      </c>
      <c r="V28" t="inlineStr">
        <is>
          <t>https://www.communityamerica.com/business/borrow/business-financing/business-credit-cards</t>
        </is>
      </c>
      <c r="W28" t="inlineStr">
        <is>
          <t>N/M (no DPs, 2026-06-10)</t>
        </is>
      </c>
      <c r="X28" t="inlineStr">
        <is>
          <t>N/M</t>
        </is>
      </c>
      <c r="Y28" t="inlineStr">
        <is>
          <t>REAL SoCal retail via UNIFY Financial CU merger 2025-11-01 (brand retained; systems integrate mid-2026): Torrance ×2, Hawthorne, Lakewood, Montebello, Redondo Beach, Westchester, Glendale + HB, Santa Ana, Tustin. Light census 2026-06-10.</t>
        </is>
      </c>
      <c r="Z28" t="inlineStr">
        <is>
          <t>2</t>
        </is>
      </c>
      <c r="AA28" t="inlineStr">
        <is>
          <t>N/M</t>
        </is>
      </c>
      <c r="AB28" t="inlineStr">
        <is>
          <t>None published (BLOC offered, amounts N/M)</t>
        </is>
      </c>
      <c r="AC28" t="inlineStr">
        <is>
          <t>Membership: KC/StL metro live-work OR open path via Friends of Hobbs nonprofit</t>
        </is>
      </c>
      <c r="AD28" t="inlineStr">
        <is>
          <t>Self-UW 1% biz Visa — 11 ex-UNIFY LA/OC branches; phone-apply</t>
        </is>
      </c>
      <c r="AE28" t="inlineStr">
        <is>
          <t>Business Visa Rewards (1%, $0 AF)</t>
        </is>
      </c>
      <c r="AF28" t="inlineStr">
        <is>
          <t>SoCal / LA-OC (11 ex-UNIFY branches; KS-HQ'd)</t>
        </is>
      </c>
      <c r="AG28" t="inlineStr">
        <is>
          <t>Lenexa, KS</t>
        </is>
      </c>
      <c r="AH28" t="inlineStr">
        <is>
          <t>CU</t>
        </is>
      </c>
      <c r="AI28" t="inlineStr">
        <is>
          <t>HIGH self/terms/UNIFY-branches; phone-apply. Light census 2026-06-10</t>
        </is>
      </c>
      <c r="AJ28" t="inlineStr">
        <is>
          <t>communityamerica.com business-credit-cards + UNIFY merger news; unifyfcu.com locations</t>
        </is>
      </c>
    </row>
    <row r="29">
      <c r="A29" t="inlineStr">
        <is>
          <t>28</t>
        </is>
      </c>
      <c r="B29" t="inlineStr">
        <is>
          <t>28</t>
        </is>
      </c>
      <c r="C29" s="2" t="inlineStr">
        <is>
          <t>Provident Credit Union</t>
        </is>
      </c>
      <c r="D29" s="11" t="inlineStr">
        <is>
          <t>Credit Union</t>
        </is>
      </c>
      <c r="E29" t="inlineStr">
        <is>
          <t>Other — NorCal</t>
        </is>
      </c>
      <c r="F29" s="4" t="inlineStr">
        <is>
          <t>3/4  ✓SUW ✓Onl ✗SoCal ✓Card</t>
        </is>
      </c>
      <c r="G29" t="inlineStr">
        <is>
          <t>N/M</t>
        </is>
      </c>
      <c r="H29" t="inlineStr">
        <is>
          <t>N/M</t>
        </is>
      </c>
      <c r="I29" t="inlineStr"/>
      <c r="J29" t="inlineStr">
        <is>
          <t>A — Self-UW (online)</t>
        </is>
      </c>
      <c r="K29" t="inlineStr">
        <is>
          <t>N/M (no bank-specific data point found)</t>
        </is>
      </c>
      <c r="L29" t="inlineStr">
        <is>
          <t>~$3.5B</t>
        </is>
      </c>
      <c r="M29" t="inlineStr">
        <is>
          <t>—</t>
        </is>
      </c>
      <c r="N29" t="inlineStr">
        <is>
          <t>HQ Redwood City; ~23 Bay Area branches; FOM 10 NorCal counties + LA City</t>
        </is>
      </c>
      <c r="O29" t="inlineStr">
        <is>
          <t>CA-HQ'd</t>
        </is>
      </c>
      <c r="P29" t="inlineStr">
        <is>
          <t>Yes</t>
        </is>
      </c>
      <c r="Q29" t="inlineStr">
        <is>
          <t>✅ Business Rewards Visa + Business Share Secured Visa: 6mo intro reduced rate (not 0%); $0 AF; up to $50K; 'qualify with no credit history'</t>
        </is>
      </c>
      <c r="R29" s="7" t="inlineStr">
        <is>
          <t>Self (Provident CU; Velera/PSCU processing platform)</t>
        </is>
      </c>
      <c r="S29" t="inlineStr">
        <is>
          <t>Online</t>
        </is>
      </c>
      <c r="T29" t="inlineStr">
        <is>
          <t>Online — apply at https://providentcu.org/business/business-credit-cards/apply</t>
        </is>
      </c>
      <c r="U29" t="inlineStr">
        <is>
          <t>https://providentcu.org/business/business-credit-cards</t>
        </is>
      </c>
      <c r="V29" t="inlineStr">
        <is>
          <t>https://providentcu.org/business/business-credit-cards/apply</t>
        </is>
      </c>
      <c r="W29" t="inlineStr">
        <is>
          <t>N/M</t>
        </is>
      </c>
      <c r="X29" t="inlineStr">
        <is>
          <t>⚠️ Reports to all 3 PERSONAL bureaus (consumer secured confirmed; business inferred)</t>
        </is>
      </c>
      <c r="Y29" t="inlineStr">
        <is>
          <t>Online application (member-gated). 'Qualify with no credit history.' Share Secured = savings pledge. No business-card forum data.</t>
        </is>
      </c>
      <c r="Z29" t="inlineStr">
        <is>
          <t>1</t>
        </is>
      </c>
      <c r="AA29" t="inlineStr">
        <is>
          <t>PG N/M (inferred); account-opening docs (ID/EIN) only</t>
        </is>
      </c>
      <c r="AB29" t="inlineStr">
        <is>
          <t>Business Rewards Visa markets 'no credit history' approval; Share Secured (savings pledge). Low-barrier but not no-income-doc.</t>
        </is>
      </c>
      <c r="AC29" t="inlineStr">
        <is>
          <t>Membership required (10 NorCal counties + City of Los Angeles FOM; NO nationwide open path)</t>
        </is>
      </c>
      <c r="AD29" t="inlineStr">
        <is>
          <t>★ Reports to personal credit</t>
        </is>
      </c>
      <c r="AE29" t="inlineStr">
        <is>
          <t>Provident Business Rewards Visa; Business Share Secured Visa</t>
        </is>
      </c>
      <c r="AF29" t="inlineStr">
        <is>
          <t>NorCal / SF Bay (Redwood City)</t>
        </is>
      </c>
      <c r="AG29" t="inlineStr">
        <is>
          <t>Redwood City, CA</t>
        </is>
      </c>
      <c r="AH29" t="inlineStr">
        <is>
          <t>CU</t>
        </is>
      </c>
      <c r="AI29" t="inlineStr">
        <is>
          <t>HIGH self/products/apply-online/membership; ⚠️ reports to personal; N/M HP, PG. 2026-05-28</t>
        </is>
      </c>
      <c r="AJ29" t="inlineStr">
        <is>
          <t>providentcu.org/business/business-credit-cards + /rates + /apply; CFPB share-secured; velera.com</t>
        </is>
      </c>
    </row>
    <row r="30">
      <c r="A30" t="inlineStr">
        <is>
          <t>29</t>
        </is>
      </c>
      <c r="B30" t="inlineStr">
        <is>
          <t>29</t>
        </is>
      </c>
      <c r="C30" s="2" t="inlineStr">
        <is>
          <t>American United Federal Credit Union</t>
        </is>
      </c>
      <c r="D30" s="11" t="inlineStr">
        <is>
          <t>Credit Union</t>
        </is>
      </c>
      <c r="E30" t="inlineStr">
        <is>
          <t>Coachella (low)</t>
        </is>
      </c>
      <c r="F30" s="4" t="inlineStr">
        <is>
          <t>3/4  ✓SUW ✓Onl ✗SoCal ✓Card</t>
        </is>
      </c>
      <c r="G30" t="inlineStr">
        <is>
          <t>N/M</t>
        </is>
      </c>
      <c r="H30" t="inlineStr">
        <is>
          <t>N/M</t>
        </is>
      </c>
      <c r="I30" t="inlineStr"/>
      <c r="J30" t="inlineStr">
        <is>
          <t>A — Self-UW (online)</t>
        </is>
      </c>
      <c r="K30" t="inlineStr">
        <is>
          <t>N/M (no bank-specific data point found)</t>
        </is>
      </c>
      <c r="L30" t="inlineStr">
        <is>
          <t>$0.39B</t>
        </is>
      </c>
      <c r="M30" t="inlineStr">
        <is>
          <t>—</t>
        </is>
      </c>
      <c r="N30" t="inlineStr">
        <is>
          <t>3 Riverside-County branches (tribal casinos)</t>
        </is>
      </c>
      <c r="O30" t="inlineStr">
        <is>
          <t>CA-HQ'd</t>
        </is>
      </c>
      <c r="P30" t="inlineStr">
        <is>
          <t>Yes</t>
        </is>
      </c>
      <c r="Q30" t="inlineStr">
        <is>
          <t>✅ VISA Business Cash Back: 1% back; $0 AF; FIXED as low as 9.90%; SELF-issued (instant-issue in branch)</t>
        </is>
      </c>
      <c r="R30" s="7" t="inlineStr">
        <is>
          <t>Self (American United FCU)</t>
        </is>
      </c>
      <c r="S30" t="inlineStr">
        <is>
          <t>Online</t>
        </is>
      </c>
      <c r="T30" t="inlineStr">
        <is>
          <t>Online — apply at https://www.amucu.org/business/business-cash-back-visa/</t>
        </is>
      </c>
      <c r="U30" t="inlineStr">
        <is>
          <t>https://www.amucu.org</t>
        </is>
      </c>
      <c r="V30" t="inlineStr">
        <is>
          <t>https://www.amucu.org/business/business-cash-back-visa/</t>
        </is>
      </c>
      <c r="W30" t="inlineStr">
        <is>
          <t>N/M</t>
        </is>
      </c>
      <c r="X30" t="inlineStr">
        <is>
          <t>N/M</t>
        </is>
      </c>
      <c r="Y30" t="inlineStr">
        <is>
          <t>BLOC secured/unsecured ('limits vary by business financial health'). FAQ cites credit score + biz history + financial statements. Light census 2026-06-10.</t>
        </is>
      </c>
      <c r="Z30" t="inlineStr">
        <is>
          <t>3</t>
        </is>
      </c>
      <c r="AA30" t="inlineStr">
        <is>
          <t>N/M (financial statements cited in FAQ)</t>
        </is>
      </c>
      <c r="AB30" t="inlineStr">
        <is>
          <t>None published</t>
        </is>
      </c>
      <c r="AC30" t="inlineStr">
        <is>
          <t>Membership OPEN: $5 Financial Fitness Association path (anyone)</t>
        </is>
      </c>
      <c r="AD30" t="inlineStr">
        <is>
          <t>★ 9.90% FIXED biz Visa online + $5 FFA open join (Riverside Co.)</t>
        </is>
      </c>
      <c r="AE30" t="inlineStr">
        <is>
          <t>American United Platinum VISA Cash Back (9.90% fixed)</t>
        </is>
      </c>
      <c r="AF30" t="inlineStr">
        <is>
          <t>SoCal / Riverside-Coachella (3 casino branches: Spotlight 29 Coachella, Morongo Cabazon, Soboba San Jacinto; UT-HQ'd)</t>
        </is>
      </c>
      <c r="AG30" t="inlineStr">
        <is>
          <t>West Jordan, UT</t>
        </is>
      </c>
      <c r="AH30" t="inlineStr">
        <is>
          <t>CU</t>
        </is>
      </c>
      <c r="AI30" t="inlineStr">
        <is>
          <t>MED-HIGH self/9.90%-fixed/online/FFA-open; N/M limits, HP. Light census 2026-06-10</t>
        </is>
      </c>
      <c r="AJ30" t="inlineStr">
        <is>
          <t>amucu.org/business/business-cash-back-visa + lines-of-credit + become-a-member</t>
        </is>
      </c>
    </row>
    <row r="31">
      <c r="A31" t="inlineStr">
        <is>
          <t>30</t>
        </is>
      </c>
      <c r="B31" t="inlineStr">
        <is>
          <t>30</t>
        </is>
      </c>
      <c r="C31" s="2" t="inlineStr">
        <is>
          <t>Logix Federal Credit Union</t>
        </is>
      </c>
      <c r="D31" s="11" t="inlineStr">
        <is>
          <t>Credit Union</t>
        </is>
      </c>
      <c r="E31" t="inlineStr">
        <is>
          <t>★ Core SoCal</t>
        </is>
      </c>
      <c r="F31" s="4" t="inlineStr">
        <is>
          <t>3/4  ✓SUW ✗Onl ✓SoCal ✓Card</t>
        </is>
      </c>
      <c r="G31" t="inlineStr">
        <is>
          <t>N/M</t>
        </is>
      </c>
      <c r="H31" t="inlineStr">
        <is>
          <t>N/M</t>
        </is>
      </c>
      <c r="I31" t="inlineStr"/>
      <c r="J31" t="inlineStr">
        <is>
          <t>B — Self-UW (in branch)</t>
        </is>
      </c>
      <c r="K31" t="inlineStr">
        <is>
          <t>N/M (no bank-specific data point found)</t>
        </is>
      </c>
      <c r="L31" t="inlineStr">
        <is>
          <t>~$9.73B</t>
        </is>
      </c>
      <c r="M31" t="inlineStr">
        <is>
          <t>—</t>
        </is>
      </c>
      <c r="N31" t="inlineStr">
        <is>
          <t>HQ Valencia (LA County); ~18 branches LA + Ventura; CA-only business card</t>
        </is>
      </c>
      <c r="O31" t="inlineStr">
        <is>
          <t>CA-HQ'd</t>
        </is>
      </c>
      <c r="P31" t="inlineStr">
        <is>
          <t>Yes</t>
        </is>
      </c>
      <c r="Q31" t="inlineStr">
        <is>
          <t>✅ Smart Business Cashback Mastercard: 5.99% intro 6mo (NOT 0%); 17.99%; $0 AF; 1.5% cash back</t>
        </is>
      </c>
      <c r="R31" s="7" t="inlineStr">
        <is>
          <t>Self (Logix FCU)</t>
        </is>
      </c>
      <c r="S31" t="inlineStr">
        <is>
          <t>In-person</t>
        </is>
      </c>
      <c r="T31" t="inlineStr">
        <is>
          <t>By appointment (agreement allows online for members)</t>
        </is>
      </c>
      <c r="U31" t="inlineStr">
        <is>
          <t>https://www.logixbanking.com/business/credit-card</t>
        </is>
      </c>
      <c r="V31" t="inlineStr">
        <is>
          <t>https://www.logixbanking.com/business/credit-card</t>
        </is>
      </c>
      <c r="W31" t="inlineStr">
        <is>
          <t>N/M (personal pull; a consumer lawsuit alleged EQ + TU)</t>
        </is>
      </c>
      <c r="X31" t="inlineStr">
        <is>
          <t>⚠️ Reports to PERSONAL consumer bureaus (negative + tradeline)</t>
        </is>
      </c>
      <c r="Y31" t="inlineStr">
        <is>
          <t>Apply by appointment (agreement allows online for members). Conservative lender; CA-only business card. No business-card forum data.</t>
        </is>
      </c>
      <c r="Z31" t="inlineStr">
        <is>
          <t>0</t>
        </is>
      </c>
      <c r="AA31" t="inlineStr">
        <is>
          <t>PG (inferred); creditworthiness-based</t>
        </is>
      </c>
      <c r="AB31" t="inlineStr">
        <is>
          <t>None</t>
        </is>
      </c>
      <c r="AC31" t="inlineStr">
        <is>
          <t>Membership required (SoCal Easy-Membership + OPEN via American Consumer Council; business within 30mi of a branch)</t>
        </is>
      </c>
      <c r="AD31" t="inlineStr">
        <is>
          <t>Reports to personal credit</t>
        </is>
      </c>
      <c r="AE31" t="inlineStr">
        <is>
          <t>Logix Smart Business Cashback Mastercard</t>
        </is>
      </c>
      <c r="AF31" t="inlineStr">
        <is>
          <t>SoCal / Los Angeles (Valencia/Burbank) + Ventura</t>
        </is>
      </c>
      <c r="AG31" t="inlineStr">
        <is>
          <t>Valencia, CA</t>
        </is>
      </c>
      <c r="AH31" t="inlineStr">
        <is>
          <t>CU</t>
        </is>
      </c>
      <c r="AI31" t="inlineStr">
        <is>
          <t>HIGH self/terms/SoCal/membership; ⚠️ reports to personal credit; apply N (appointment). 2026-05-28</t>
        </is>
      </c>
      <c r="AJ31" t="inlineStr">
        <is>
          <t>logixbanking.com/business/credit-card + Smart Business Cashback agreement PDF (issuer=self); CFPB; become-a-member</t>
        </is>
      </c>
    </row>
    <row r="32">
      <c r="A32" t="inlineStr">
        <is>
          <t>31</t>
        </is>
      </c>
      <c r="B32" t="inlineStr">
        <is>
          <t>31</t>
        </is>
      </c>
      <c r="C32" s="2" t="inlineStr">
        <is>
          <t>Sunwest Bank</t>
        </is>
      </c>
      <c r="D32" s="8" t="inlineStr">
        <is>
          <t>Regional</t>
        </is>
      </c>
      <c r="E32" t="inlineStr">
        <is>
          <t>★ Core SoCal</t>
        </is>
      </c>
      <c r="F32" s="4" t="inlineStr">
        <is>
          <t>3/4  ✓SUW ✗Onl ✓SoCal ✓Card</t>
        </is>
      </c>
      <c r="G32" s="9" t="inlineStr">
        <is>
          <t>N/M (no public DP either way; 'early warning' on site = fraud-alert copy, not the agency)</t>
        </is>
      </c>
      <c r="H32" t="inlineStr">
        <is>
          <t>N/M</t>
        </is>
      </c>
      <c r="I32" s="3" t="inlineStr">
        <is>
          <t>EXP #2 (mentor — STALE: pre-2019 Elan era; now Torpago self-issue, bureau N/M)</t>
        </is>
      </c>
      <c r="J32" t="inlineStr">
        <is>
          <t>B — Self-UW (in branch)</t>
        </is>
      </c>
      <c r="K32" t="inlineStr">
        <is>
          <t>N/M (company-level limits; 'higher than traditional' marketing, unquantified)</t>
        </is>
      </c>
      <c r="L32" t="inlineStr">
        <is>
          <t>$4.27B</t>
        </is>
      </c>
      <c r="M32" t="inlineStr">
        <is>
          <t>$3.45B</t>
        </is>
      </c>
      <c r="N32" t="inlineStr">
        <is>
          <t>3 CA branches ALL Orange County: Irvine, Tustin, San Clemente; +UT/AZ/ID/FL; cert 20164</t>
        </is>
      </c>
      <c r="O32" t="inlineStr">
        <is>
          <t>Major CA (branches + lending)</t>
        </is>
      </c>
      <c r="P32" t="inlineStr">
        <is>
          <t>Yes</t>
        </is>
      </c>
      <c r="Q32" t="inlineStr">
        <is>
          <t>⚠️ Visionary Corporate Card — EXISTING Sunwest CLIENTS ONLY; no 0%; APR N/M; $0 AF; 1% cash back</t>
        </is>
      </c>
      <c r="R32" s="7" t="inlineStr">
        <is>
          <t>Self (Torpago 'Visionary' platform + Marqeta rails; own balance sheet)</t>
        </is>
      </c>
      <c r="S32" t="inlineStr">
        <is>
          <t>In-person</t>
        </is>
      </c>
      <c r="T32" t="inlineStr">
        <is>
          <t>Visit branch / contact a banker (no online application)</t>
        </is>
      </c>
      <c r="U32" t="inlineStr">
        <is>
          <t>https://www.sunwestbank.com</t>
        </is>
      </c>
      <c r="V32" t="inlineStr">
        <is>
          <t>https://www.sunwestbank.com/visionary-corporate-card/</t>
        </is>
      </c>
      <c r="W32" t="inlineStr">
        <is>
          <t>N/M (cash-flow/FICO-monitor UW; bureau unpublished. Mentor 'EXP' = STALE pre-2019 Elan-era intel — archive.org proof)</t>
        </is>
      </c>
      <c r="X32" t="inlineStr">
        <is>
          <t>'Build business credit' marketed; bureaus N/M</t>
        </is>
      </c>
      <c r="Y32" t="inlineStr">
        <is>
          <t>Cash-flow/statement-based UW (no tax returns evidenced; CLIs = bank statements, 3-5 day decision). Zero forum DPs. VisionaryPayments@SunwestBank.com.</t>
        </is>
      </c>
      <c r="Z32" t="inlineStr">
        <is>
          <t>2</t>
        </is>
      </c>
      <c r="AA32" t="inlineStr">
        <is>
          <t>N/M (Torpago-direct was no-PG; Sunwest agreement login-gated)</t>
        </is>
      </c>
      <c r="AB32" t="inlineStr">
        <is>
          <t>Card IS statement-based (no-tax-return); SBA Express ≤$350K 36-hr decision (low-doc)</t>
        </is>
      </c>
      <c r="AC32" t="inlineStr">
        <is>
          <t>YES — must be Sunwest deposit client first</t>
        </is>
      </c>
      <c r="AD32" t="inlineStr">
        <is>
          <t>Statement-based corporate card — CLIENTS ONLY (OC)</t>
        </is>
      </c>
      <c r="AE32" t="inlineStr">
        <is>
          <t>Visionary Corporate Card (Visa; physical + unlimited virtual; Torpago/Marqeta; launched 2024-01)</t>
        </is>
      </c>
      <c r="AF32" t="inlineStr">
        <is>
          <t>SoCal / Orange County (UT-chartered — why our CA-HQ sweep missed it)</t>
        </is>
      </c>
      <c r="AG32" t="inlineStr">
        <is>
          <t>Sandy, UT (ops Irvine/Tustin/San Clemente)</t>
        </is>
      </c>
      <c r="AH32" t="inlineStr">
        <is>
          <t>Reg</t>
        </is>
      </c>
      <c r="AI32" t="inlineStr">
        <is>
          <t>HIGH self/clients-only-gate/OC footprint (all primary, 2026-06-09); N/M bureau, PG, limits. 2026-06-09</t>
        </is>
      </c>
      <c r="AJ32" t="inlineStr">
        <is>
          <t>sunwestbank.com/visionary-corporate-card; support.visionarycorporatecard.com (clients-only, upd 2026-05-18); torpago.com PR 2024-01-24; FDIC cert 20164; web.archive.org 2015 (Elan-era proof)</t>
        </is>
      </c>
    </row>
    <row r="33">
      <c r="A33" t="inlineStr">
        <is>
          <t>32</t>
        </is>
      </c>
      <c r="B33" t="inlineStr">
        <is>
          <t>32</t>
        </is>
      </c>
      <c r="C33" s="2" t="inlineStr">
        <is>
          <t>Flagstar Bank, N.A.</t>
        </is>
      </c>
      <c r="D33" s="8" t="inlineStr">
        <is>
          <t>Regional</t>
        </is>
      </c>
      <c r="E33" t="inlineStr">
        <is>
          <t>★ Core SoCal</t>
        </is>
      </c>
      <c r="F33" s="4" t="inlineStr">
        <is>
          <t>3/4  ✗SUW ✓Onl ✓SoCal ✓Card</t>
        </is>
      </c>
      <c r="G33" s="6" t="inlineStr">
        <is>
          <t>Yes — pulls (DoC 2025-08-07)</t>
        </is>
      </c>
      <c r="H33" t="inlineStr">
        <is>
          <t>N/M</t>
        </is>
      </c>
      <c r="I33" t="inlineStr"/>
      <c r="J33" t="inlineStr">
        <is>
          <t>C — Other agent card</t>
        </is>
      </c>
      <c r="K33" t="inlineStr">
        <is>
          <t>N/M (no bank-specific data point found)</t>
        </is>
      </c>
      <c r="L33" t="inlineStr">
        <is>
          <t>N/M</t>
        </is>
      </c>
      <c r="M33" t="inlineStr">
        <is>
          <t>N/M</t>
        </is>
      </c>
      <c r="N33" t="inlineStr">
        <is>
          <t>~13 branches LA/OC/San Bernardino (FDIC SOD 2025); ex-NYCB</t>
        </is>
      </c>
      <c r="O33" t="inlineStr">
        <is>
          <t>N/M</t>
        </is>
      </c>
      <c r="P33" t="inlineStr">
        <is>
          <t>No</t>
        </is>
      </c>
      <c r="Q33" t="inlineStr">
        <is>
          <t>✅ Business Edition Visa (+Absolute Rewards / Secured); issued by FNBO; terms N/M</t>
        </is>
      </c>
      <c r="R33" s="9" t="inlineStr">
        <is>
          <t>FNBO (First National Bank of Omaha — agent program)</t>
        </is>
      </c>
      <c r="S33" t="inlineStr">
        <is>
          <t>Online</t>
        </is>
      </c>
      <c r="T33" t="inlineStr">
        <is>
          <t>Online — apply at https://card.fnbo.com/mpp/fi/flagstar/business/web-visa</t>
        </is>
      </c>
      <c r="U33" t="inlineStr">
        <is>
          <t>https://www.flagstar.com</t>
        </is>
      </c>
      <c r="V33" t="inlineStr">
        <is>
          <t>https://card.fnbo.com/mpp/fi/flagstar/business/web-visa</t>
        </is>
      </c>
      <c r="W33" t="inlineStr">
        <is>
          <t>Experian (FNBO standard; WalletHub/myFICO, acc. 2026-06-10)</t>
        </is>
      </c>
      <c r="X33" t="inlineStr">
        <is>
          <t>N/M</t>
        </is>
      </c>
      <c r="Y33" t="inlineStr">
        <is>
          <t>FNBO agent portal card.fnbo.com — online apply. Secured tier: self-set $2K–$10K deposit. Light census 2026-06-10.</t>
        </is>
      </c>
      <c r="Z33" t="inlineStr">
        <is>
          <t>3</t>
        </is>
      </c>
      <c r="AA33" t="inlineStr">
        <is>
          <t>PG typical (FNBO; N/M specifics)</t>
        </is>
      </c>
      <c r="AB33" t="inlineStr">
        <is>
          <t>BLOC = collateral-based (AR/inventory/equipment)</t>
        </is>
      </c>
      <c r="AC33" t="inlineStr">
        <is>
          <t>No (card portal open)</t>
        </is>
      </c>
      <c r="AD33" t="inlineStr">
        <is>
          <t>★ FNBO agent card — online apply, Experian (13 SoCal branches)</t>
        </is>
      </c>
      <c r="AE33" t="inlineStr">
        <is>
          <t>Business Edition Visa; w/ Absolute Rewards; Secured w/ Maximum Rewards (FNBO)</t>
        </is>
      </c>
      <c r="AF33" t="inlineStr">
        <is>
          <t>SoCal / LA-OC-SB (13 branches; NY-HQ'd)</t>
        </is>
      </c>
      <c r="AG33" t="inlineStr">
        <is>
          <t>Hicksville, NY</t>
        </is>
      </c>
      <c r="AH33" t="inlineStr">
        <is>
          <t>Reg</t>
        </is>
      </c>
      <c r="AI33" t="inlineStr">
        <is>
          <t>HIGH issuer=FNBO/online/EX; N/M limits. Light census 2026-06-10</t>
        </is>
      </c>
      <c r="AJ33" t="inlineStr">
        <is>
          <t>card.fnbo.com/mpp/fi/flagstar/business/web-visa; flagstar.com business-lines-of-credit; DoC Chex list 2025-08-07</t>
        </is>
      </c>
    </row>
    <row r="34">
      <c r="A34" t="inlineStr">
        <is>
          <t>33</t>
        </is>
      </c>
      <c r="B34" t="inlineStr">
        <is>
          <t>33</t>
        </is>
      </c>
      <c r="C34" s="2" t="inlineStr">
        <is>
          <t>HCN Bank</t>
        </is>
      </c>
      <c r="D34" s="15" t="inlineStr">
        <is>
          <t>CA Bank</t>
        </is>
      </c>
      <c r="E34" t="inlineStr">
        <is>
          <t>★ Core SoCal</t>
        </is>
      </c>
      <c r="F34" s="4" t="inlineStr">
        <is>
          <t>3/4  ✗SUW ✓Onl ✓SoCal ✓Card</t>
        </is>
      </c>
      <c r="G34" t="inlineStr">
        <is>
          <t>N/M</t>
        </is>
      </c>
      <c r="H34" t="inlineStr">
        <is>
          <t>N/M</t>
        </is>
      </c>
      <c r="I34" t="inlineStr"/>
      <c r="J34" t="inlineStr">
        <is>
          <t>C — Other agent card</t>
        </is>
      </c>
      <c r="K34" t="inlineStr">
        <is>
          <t>N/M (TIB; financials typically required $10K+)</t>
        </is>
      </c>
      <c r="L34" t="inlineStr">
        <is>
          <t>$0.97B</t>
        </is>
      </c>
      <c r="M34" t="inlineStr">
        <is>
          <t>N/M</t>
        </is>
      </c>
      <c r="N34" t="inlineStr">
        <is>
          <t>Inland Empire; Riverside HQ, Hemet, Anza, Beaumont; rebranded from Bank of Hemet (Jan 2023)</t>
        </is>
      </c>
      <c r="O34" t="inlineStr">
        <is>
          <t>CA-HQ'd</t>
        </is>
      </c>
      <c r="P34" t="inlineStr">
        <is>
          <t>No</t>
        </is>
      </c>
      <c r="Q34" t="inlineStr">
        <is>
          <t>✅ no 0%; APR N/M (Prime-based); $0/$49 AF; 1pt/$1 (Preferred Points)</t>
        </is>
      </c>
      <c r="R34" s="16" t="inlineStr">
        <is>
          <t>TIB</t>
        </is>
      </c>
      <c r="S34" t="inlineStr">
        <is>
          <t>Online</t>
        </is>
      </c>
      <c r="T34" t="inlineStr">
        <is>
          <t>Online — apply at https://www.hcnbank.com/Business-Credit-Cards/</t>
        </is>
      </c>
      <c r="U34" t="inlineStr">
        <is>
          <t>https://www.hcnbank.com</t>
        </is>
      </c>
      <c r="V34" t="inlineStr">
        <is>
          <t>https://www.hcnbank.com/Business-Credit-Cards/</t>
        </is>
      </c>
      <c r="W34" t="inlineStr">
        <is>
          <t>Experian (TIB; INFERENCE)</t>
        </is>
      </c>
      <c r="X34" t="inlineStr">
        <is>
          <t>N/M (TIB not on DoC list)</t>
        </is>
      </c>
      <c r="Y34" t="inlineStr">
        <is>
          <t>TIB program (cardaccount.net): underwritten/approved/serviced by TIB; 25-day grace. No HCN-specific forum DPs.</t>
        </is>
      </c>
      <c r="Z34" t="inlineStr">
        <is>
          <t>3</t>
        </is>
      </c>
      <c r="AA34" t="inlineStr">
        <is>
          <t>PG likely (TIB standard); income docs N/M</t>
        </is>
      </c>
      <c r="AB34" t="inlineStr">
        <is>
          <t>None (commercial equipment/CRE/construction/SBA + LOC full-doc)</t>
        </is>
      </c>
      <c r="AC34" t="inlineStr">
        <is>
          <t>N/M</t>
        </is>
      </c>
      <c r="AD34" t="inlineStr">
        <is>
          <t>★ No-doc card — apply online</t>
        </is>
      </c>
      <c r="AE34" t="inlineStr">
        <is>
          <t>Business Card Standard ($0 AF); Business Card Preferred Points ($49 AF, up to 10K pts/mo)</t>
        </is>
      </c>
      <c r="AF34" t="inlineStr">
        <is>
          <t>SoCal / Inland Empire</t>
        </is>
      </c>
      <c r="AG34" t="inlineStr">
        <is>
          <t>Riverside</t>
        </is>
      </c>
      <c r="AH34" t="inlineStr">
        <is>
          <t>63</t>
        </is>
      </c>
      <c r="AI34" t="inlineStr">
        <is>
          <t>HIGH issuer=TIB (own page disclosure)/online/Inland Empire/products; N/M APR, HP, reports. 2026-05-29</t>
        </is>
      </c>
      <c r="AJ34" t="inlineStr">
        <is>
          <t>hcnbank.com/Business-Credit-Cards (TIB disclosure); cardaccount.net; FDIC cert 21606</t>
        </is>
      </c>
    </row>
    <row r="35">
      <c r="A35" t="inlineStr">
        <is>
          <t>34</t>
        </is>
      </c>
      <c r="B35" t="inlineStr">
        <is>
          <t>34</t>
        </is>
      </c>
      <c r="C35" s="2" t="inlineStr">
        <is>
          <t>American Plus Bank, N.A.</t>
        </is>
      </c>
      <c r="D35" s="15" t="inlineStr">
        <is>
          <t>CA Bank</t>
        </is>
      </c>
      <c r="E35" t="inlineStr">
        <is>
          <t>★ Core SoCal</t>
        </is>
      </c>
      <c r="F35" s="4" t="inlineStr">
        <is>
          <t>3/4  ✗SUW ✓Onl ✓SoCal ✓Card</t>
        </is>
      </c>
      <c r="G35" t="inlineStr">
        <is>
          <t>N/M</t>
        </is>
      </c>
      <c r="H35" t="inlineStr">
        <is>
          <t>N/M</t>
        </is>
      </c>
      <c r="I35" t="inlineStr"/>
      <c r="J35" t="inlineStr">
        <is>
          <t>C — Other agent card</t>
        </is>
      </c>
      <c r="K35" t="inlineStr">
        <is>
          <t>N/M (TIB; financials typically required $10K+)</t>
        </is>
      </c>
      <c r="L35" t="inlineStr">
        <is>
          <t>$0.89B</t>
        </is>
      </c>
      <c r="M35" t="inlineStr">
        <is>
          <t>N/M</t>
        </is>
      </c>
      <c r="N35" t="inlineStr">
        <is>
          <t>~4 CA branches (Arcadia HQ + SGV); CDFI; Chinese-American (founded 2007)</t>
        </is>
      </c>
      <c r="O35" t="inlineStr">
        <is>
          <t>CA-HQ'd</t>
        </is>
      </c>
      <c r="P35" t="inlineStr">
        <is>
          <t>No</t>
        </is>
      </c>
      <c r="Q35" t="inlineStr">
        <is>
          <t>✅ TIB Visa (Platinum Cash Rewards consumer; Charge Company Rewards business); terms N/M</t>
        </is>
      </c>
      <c r="R35" s="16" t="inlineStr">
        <is>
          <t>TIB</t>
        </is>
      </c>
      <c r="S35" t="inlineStr">
        <is>
          <t>Online</t>
        </is>
      </c>
      <c r="T35" t="inlineStr">
        <is>
          <t>Online — apply at https://bankaplus.com/Credit-Cards</t>
        </is>
      </c>
      <c r="U35" t="inlineStr">
        <is>
          <t>https://bankaplus.com</t>
        </is>
      </c>
      <c r="V35" t="inlineStr">
        <is>
          <t>https://bankaplus.com/Credit-Cards</t>
        </is>
      </c>
      <c r="W35" t="inlineStr">
        <is>
          <t>Experian/TU (TIB; INFERENCE)</t>
        </is>
      </c>
      <c r="X35" t="inlineStr">
        <is>
          <t>N/M (TIB; biz-only reporting per forum, unconfirmed here)</t>
        </is>
      </c>
      <c r="Y35" t="inlineStr">
        <is>
          <t>TIB Community Card program (mycommunitycc.com portal); no AF typical, ~25-day grace (unverified for this program). No bank-specific DPs.</t>
        </is>
      </c>
      <c r="Z35" t="inlineStr">
        <is>
          <t>3</t>
        </is>
      </c>
      <c r="AA35" t="inlineStr">
        <is>
          <t>PG likely (TIB standard); docs N/M</t>
        </is>
      </c>
      <c r="AB35" t="inlineStr">
        <is>
          <t>None (commercial LOC/CRE/construction/SBA/trade full-doc)</t>
        </is>
      </c>
      <c r="AC35" t="inlineStr">
        <is>
          <t>N/M</t>
        </is>
      </c>
      <c r="AD35" t="inlineStr">
        <is>
          <t>★ No-doc card — apply online</t>
        </is>
      </c>
      <c r="AE35" t="inlineStr">
        <is>
          <t>Visa Platinum Cash Rewards (consumer); Visa Charge Company Rewards (business) — TIB Community Card suite</t>
        </is>
      </c>
      <c r="AF35" t="inlineStr">
        <is>
          <t>SoCal / LA (San Gabriel Valley)</t>
        </is>
      </c>
      <c r="AG35" t="inlineStr">
        <is>
          <t>Arcadia</t>
        </is>
      </c>
      <c r="AH35" t="inlineStr">
        <is>
          <t>65</t>
        </is>
      </c>
      <c r="AI35" t="inlineStr">
        <is>
          <t>MED-HIGH issuer=TIB (mycommunitycc.com portal)/online/SGV; N/M terms, HP, reports. 2026-05-29</t>
        </is>
      </c>
      <c r="AJ35" t="inlineStr">
        <is>
          <t>bankaplus.com/Credit-Cards; mycommunitycc.com (TIB portal); FDIC cert 58469</t>
        </is>
      </c>
    </row>
    <row r="36">
      <c r="A36" t="inlineStr">
        <is>
          <t>35</t>
        </is>
      </c>
      <c r="B36" t="inlineStr">
        <is>
          <t>35</t>
        </is>
      </c>
      <c r="C36" s="2" t="inlineStr">
        <is>
          <t>Orange County's Credit Union</t>
        </is>
      </c>
      <c r="D36" s="11" t="inlineStr">
        <is>
          <t>Credit Union</t>
        </is>
      </c>
      <c r="E36" t="inlineStr">
        <is>
          <t>★ Core SoCal</t>
        </is>
      </c>
      <c r="F36" s="4" t="inlineStr">
        <is>
          <t>3/4  ✓SUW ✗Onl ✓SoCal ✓Card</t>
        </is>
      </c>
      <c r="G36" t="inlineStr">
        <is>
          <t>N/M</t>
        </is>
      </c>
      <c r="H36" t="inlineStr">
        <is>
          <t>N/M</t>
        </is>
      </c>
      <c r="I36" t="inlineStr"/>
      <c r="J36" t="inlineStr">
        <is>
          <t>B — Self-UW (in branch)</t>
        </is>
      </c>
      <c r="K36" t="inlineStr">
        <is>
          <t>N/M (no bank-specific data point found)</t>
        </is>
      </c>
      <c r="L36" t="inlineStr">
        <is>
          <t>~$2.5B</t>
        </is>
      </c>
      <c r="M36" t="inlineStr">
        <is>
          <t>—</t>
        </is>
      </c>
      <c r="N36" t="inlineStr">
        <is>
          <t>OC branches + Chino; ~$2.5B</t>
        </is>
      </c>
      <c r="O36" t="inlineStr">
        <is>
          <t>CA-HQ'd</t>
        </is>
      </c>
      <c r="P36" t="inlineStr">
        <is>
          <t>Yes</t>
        </is>
      </c>
      <c r="Q36" t="inlineStr">
        <is>
          <t>✅ Business Mastercard; SELF-issued (payments to own Santa Ana PO Box; no external creditor); terms N/M</t>
        </is>
      </c>
      <c r="R36" s="7" t="inlineStr">
        <is>
          <t>Self (Orange County's CU)</t>
        </is>
      </c>
      <c r="S36" t="inlineStr">
        <is>
          <t>In-person</t>
        </is>
      </c>
      <c r="T36" t="inlineStr">
        <is>
          <t>Visit branch / contact a banker (no online application)</t>
        </is>
      </c>
      <c r="U36" t="inlineStr">
        <is>
          <t>https://www.orangecountyscu.org</t>
        </is>
      </c>
      <c r="V36" t="inlineStr">
        <is>
          <t>https://www.orangecountyscu.org/products/business-services/</t>
        </is>
      </c>
      <c r="W36" t="inlineStr">
        <is>
          <t>Experian (consumer loans, own FAQ; biz N/M)</t>
        </is>
      </c>
      <c r="X36" t="inlineStr">
        <is>
          <t>N/M</t>
        </is>
      </c>
      <c r="Y36" t="inlineStr">
        <is>
          <t>BLOC referenced in checking fee-waiver text (no product page). Light census 2026-06-10.</t>
        </is>
      </c>
      <c r="Z36" t="inlineStr">
        <is>
          <t>2</t>
        </is>
      </c>
      <c r="AA36" t="inlineStr">
        <is>
          <t>N/M</t>
        </is>
      </c>
      <c r="AB36" t="inlineStr">
        <is>
          <t>None published</t>
        </is>
      </c>
      <c r="AC36" t="inlineStr">
        <is>
          <t>Membership OPEN: American Consumer Council / Community Impact Fund paths; serves OC/LA/Riverside/SB</t>
        </is>
      </c>
      <c r="AD36" t="inlineStr">
        <is>
          <t>Self-UW biz MC; ACC open join; branch-apply</t>
        </is>
      </c>
      <c r="AE36" t="inlineStr">
        <is>
          <t>Business Mastercard Credit Card</t>
        </is>
      </c>
      <c r="AF36" t="inlineStr">
        <is>
          <t>SoCal / Orange County (+Chino SB)</t>
        </is>
      </c>
      <c r="AG36" t="inlineStr">
        <is>
          <t>Santa Ana, CA</t>
        </is>
      </c>
      <c r="AH36" t="inlineStr">
        <is>
          <t>CU</t>
        </is>
      </c>
      <c r="AI36" t="inlineStr">
        <is>
          <t>MED-HIGH self/EX-consumer/ACC-open/branch-apply. Light census 2026-06-10</t>
        </is>
      </c>
      <c r="AJ36" t="inlineStr">
        <is>
          <t>orangecountyscu.org business-services + FAQ (Experian KB218) + contact</t>
        </is>
      </c>
    </row>
    <row r="37">
      <c r="A37" t="inlineStr">
        <is>
          <t>36</t>
        </is>
      </c>
      <c r="B37" t="inlineStr">
        <is>
          <t>36</t>
        </is>
      </c>
      <c r="C37" s="2" t="inlineStr">
        <is>
          <t>Christian Community Credit Union (AdelFi)</t>
        </is>
      </c>
      <c r="D37" s="11" t="inlineStr">
        <is>
          <t>Credit Union</t>
        </is>
      </c>
      <c r="E37" t="inlineStr">
        <is>
          <t>★ Core SoCal</t>
        </is>
      </c>
      <c r="F37" s="4" t="inlineStr">
        <is>
          <t>3/4  ✓SUW ✗Onl ✓SoCal ✓Card</t>
        </is>
      </c>
      <c r="G37" t="inlineStr">
        <is>
          <t>N/M</t>
        </is>
      </c>
      <c r="H37" t="inlineStr">
        <is>
          <t>N/M</t>
        </is>
      </c>
      <c r="I37" t="inlineStr"/>
      <c r="J37" t="inlineStr">
        <is>
          <t>B — Self-UW (in branch)</t>
        </is>
      </c>
      <c r="K37" t="inlineStr">
        <is>
          <t>N/M (no bank-specific data point found)</t>
        </is>
      </c>
      <c r="L37" t="inlineStr">
        <is>
          <t>~$0.89B (combined)</t>
        </is>
      </c>
      <c r="M37" t="inlineStr">
        <is>
          <t>—</t>
        </is>
      </c>
      <c r="N37" t="inlineStr">
        <is>
          <t>San Dimas + Brea</t>
        </is>
      </c>
      <c r="O37" t="inlineStr">
        <is>
          <t>CA-HQ'd</t>
        </is>
      </c>
      <c r="P37" t="inlineStr">
        <is>
          <t>Yes</t>
        </is>
      </c>
      <c r="Q37" t="inlineStr">
        <is>
          <t>✅ 'Gives to Missions' Visa Business Rewards: 1.5% cash back; $300/$3K bonus; SELF-issued. Merged w/ AdelFi 2025-12-01 (~$885M combined; AdelFi brand by mid-2026)</t>
        </is>
      </c>
      <c r="R37" s="7" t="inlineStr">
        <is>
          <t>Self (CCCU charter continues)</t>
        </is>
      </c>
      <c r="S37" t="inlineStr">
        <is>
          <t>Assisted</t>
        </is>
      </c>
      <c r="T37" t="inlineStr">
        <is>
          <t>Staff-assisted (phone appointment / DocuSign; not instant)</t>
        </is>
      </c>
      <c r="U37" t="inlineStr">
        <is>
          <t>https://www.adelfibanking.com</t>
        </is>
      </c>
      <c r="V37" t="inlineStr">
        <is>
          <t>https://www.adelfibanking.com/ministry/ministry-credit-cards/</t>
        </is>
      </c>
      <c r="W37" t="inlineStr">
        <is>
          <t>N/M</t>
        </is>
      </c>
      <c r="X37" t="inlineStr">
        <is>
          <t>N/M</t>
        </is>
      </c>
      <c r="Y37" t="inlineStr">
        <is>
          <t>Ministry LOCs need 3yr financial statements (churchlend.com) — biz-card docs N/M. Light census 2026-06-10.</t>
        </is>
      </c>
      <c r="Z37" t="inlineStr">
        <is>
          <t>2</t>
        </is>
      </c>
      <c r="AA37" t="inlineStr">
        <is>
          <t>N/M</t>
        </is>
      </c>
      <c r="AB37" t="inlineStr">
        <is>
          <t>None published</t>
        </is>
      </c>
      <c r="AC37" t="inlineStr">
        <is>
          <t>Membership: Christians (statement of faith) — individuals, churches, ministries, Christian-owned businesses, US-wide (open-ish)</t>
        </is>
      </c>
      <c r="AD37" t="inlineStr">
        <is>
          <t>No-doc card — apply in branch</t>
        </is>
      </c>
      <c r="AE37" t="inlineStr">
        <is>
          <t>Gives to Missions Visa Business Rewards (1.5%)</t>
        </is>
      </c>
      <c r="AF37" t="inlineStr">
        <is>
          <t>SoCal / LA (San Dimas HQ) + OC (Brea AdelFi)</t>
        </is>
      </c>
      <c r="AG37" t="inlineStr">
        <is>
          <t>San Dimas, CA</t>
        </is>
      </c>
      <c r="AH37" t="inlineStr">
        <is>
          <t>CU</t>
        </is>
      </c>
      <c r="AI37" t="inlineStr">
        <is>
          <t>MED-HIGH self/products/merger-flux. Light census 2026-06-10</t>
        </is>
      </c>
      <c r="AJ37" t="inlineStr">
        <is>
          <t>adelfibanking.com ministry-credit-cards + business-lines-of-credit; cutimes.com 2025-12-03</t>
        </is>
      </c>
    </row>
    <row r="38">
      <c r="A38" t="inlineStr">
        <is>
          <t>37</t>
        </is>
      </c>
      <c r="B38" t="inlineStr">
        <is>
          <t>37</t>
        </is>
      </c>
      <c r="C38" s="2" t="inlineStr">
        <is>
          <t>Truist</t>
        </is>
      </c>
      <c r="D38" s="3" t="inlineStr">
        <is>
          <t>National</t>
        </is>
      </c>
      <c r="E38" t="inlineStr">
        <is>
          <t>National (lends in CA)</t>
        </is>
      </c>
      <c r="F38" s="4" t="inlineStr">
        <is>
          <t>3/4  ✓SUW ✓Onl ✗SoCal ✓Card</t>
        </is>
      </c>
      <c r="G38" s="6" t="inlineStr">
        <is>
          <t>Yes — personal (DoC 2025-08-07; ~2026-03 DP); one DP: business in-branch SKIPPED Chex (2025-10-17)</t>
        </is>
      </c>
      <c r="H38" s="6" t="inlineStr">
        <is>
          <t>Yes — pulls (EWS co-owner; predecessor biz DP 2019-01-12; DP 2026-05-22)</t>
        </is>
      </c>
      <c r="I38" t="inlineStr"/>
      <c r="J38" t="inlineStr">
        <is>
          <t>A — Self-UW (online)</t>
        </is>
      </c>
      <c r="K38" t="inlineStr">
        <is>
          <t>~$10K (EQ 754); $25K seen; combined stacks ~$18K–$72K  [myFICO #6741527]</t>
        </is>
      </c>
      <c r="L38" t="inlineStr">
        <is>
          <t>~$548B</t>
        </is>
      </c>
      <c r="M38" t="inlineStr">
        <is>
          <t>—</t>
        </is>
      </c>
      <c r="N38" t="inlineStr">
        <is>
          <t>SE/Mid-Atlantic + new TX (Austin/Dallas); NO California branches</t>
        </is>
      </c>
      <c r="O38" t="inlineStr">
        <is>
          <t>⚠ Needs local branch/account — minimal/no CA retail (likely NOT reachable)</t>
        </is>
      </c>
      <c r="P38" t="inlineStr">
        <is>
          <t>Yes</t>
        </is>
      </c>
      <c r="Q38" t="inlineStr">
        <is>
          <t>✅ Business Card 0% 12 cyc, $0 AF (best); Cash Rewards 0% 9cyc; Visa Infinite ($299) branch-only</t>
        </is>
      </c>
      <c r="R38" s="7" t="inlineStr">
        <is>
          <t>Self (Truist Bank)</t>
        </is>
      </c>
      <c r="S38" t="inlineStr">
        <is>
          <t>Online</t>
        </is>
      </c>
      <c r="T38" t="inlineStr">
        <is>
          <t>Online — apply at https://businesscreditcard.digitalcommerce.truist.com/product/SBL</t>
        </is>
      </c>
      <c r="U38" t="inlineStr">
        <is>
          <t>https://www.truist.com/small-business/credit-cards/compare</t>
        </is>
      </c>
      <c r="V38" t="inlineStr">
        <is>
          <t>https://businesscreditcard.digitalcommerce.truist.com/product/SBL</t>
        </is>
      </c>
      <c r="W38" t="inlineStr">
        <is>
          <t>Equifax (exclusively)</t>
        </is>
      </c>
      <c r="X38" t="inlineStr">
        <is>
          <t>Personal: N/M (Truist absent from DoC list). Business: N/M</t>
        </is>
      </c>
      <c r="Y38" t="inlineStr">
        <is>
          <t>Equifax-ONLY HP, per app; SOFT-pull pre-qual path exists. Friendly velocity (approved 6yr LLC then startup LLC ~1wk later). Limits ~$10K (EQ 754), $25K seen; combined ~$18-72K stacks. myfico.com #6741527 / #6650127</t>
        </is>
      </c>
      <c r="Z38" t="inlineStr">
        <is>
          <t>4</t>
        </is>
      </c>
      <c r="AA38" t="inlineStr">
        <is>
          <t>PG yes (Guarantor, for-profit); NO tax returns (Equifax-driven)</t>
        </is>
      </c>
      <c r="AB38" t="inlineStr">
        <is>
          <t>LOC/term/SBA = doc-based (not no-doc)</t>
        </is>
      </c>
      <c r="AC38" t="inlineStr">
        <is>
          <t>No (recommended for Loyalty Cash Bonus)</t>
        </is>
      </c>
      <c r="AD38" t="inlineStr">
        <is>
          <t>★ ⚠ No CA branches — likely not reachable from CA</t>
        </is>
      </c>
      <c r="AE38" t="inlineStr">
        <is>
          <t>Business Cash Rewards, Business Travel ($49), Business Premium Visa Infinite ($299, branch-only), Business Card (0%)</t>
        </is>
      </c>
      <c r="AF38" t="inlineStr">
        <is>
          <t>National — NO CA branches (SE/Mid-Atlantic + TX); CA online eligibility UNVERIFIED</t>
        </is>
      </c>
      <c r="AG38" t="inlineStr">
        <is>
          <t>Charlotte, NC</t>
        </is>
      </c>
      <c r="AH38" t="inlineStr">
        <is>
          <t>Natl</t>
        </is>
      </c>
      <c r="AI38" t="inlineStr">
        <is>
          <t>HIGH self/lineup/HP=Equifax/no-CA-branches; LOW CA online eligibility, personal/biz reporting (N/M). 2026-05-28</t>
        </is>
      </c>
      <c r="AJ38" t="inlineStr">
        <is>
          <t>truist.com/small-business/credit-cards; businesscreditworkshop.me; myfico.com #6741527; media.truist.com (Visa Infinite)</t>
        </is>
      </c>
    </row>
    <row r="39">
      <c r="A39" t="inlineStr">
        <is>
          <t>38</t>
        </is>
      </c>
      <c r="B39" t="inlineStr">
        <is>
          <t>38</t>
        </is>
      </c>
      <c r="C39" s="2" t="inlineStr">
        <is>
          <t>MidFirst Bank</t>
        </is>
      </c>
      <c r="D39" s="8" t="inlineStr">
        <is>
          <t>Regional</t>
        </is>
      </c>
      <c r="E39" t="inlineStr">
        <is>
          <t>★ Core SoCal</t>
        </is>
      </c>
      <c r="F39" s="4" t="inlineStr">
        <is>
          <t>3/4  ✓SUW ✗Onl ✓SoCal ✓Card</t>
        </is>
      </c>
      <c r="G39" s="6" t="inlineStr">
        <is>
          <t>Yes — pulls, 4 DPs (DoC 2025-08-07)</t>
        </is>
      </c>
      <c r="H39" t="inlineStr">
        <is>
          <t>N/M</t>
        </is>
      </c>
      <c r="I39" t="inlineStr"/>
      <c r="J39" t="inlineStr">
        <is>
          <t>B — Self-UW (in branch)</t>
        </is>
      </c>
      <c r="K39" t="inlineStr">
        <is>
          <t>N/M (no bank-specific data point found)</t>
        </is>
      </c>
      <c r="L39" t="inlineStr">
        <is>
          <t>N/M</t>
        </is>
      </c>
      <c r="M39" t="inlineStr">
        <is>
          <t>N/M</t>
        </is>
      </c>
      <c r="N39" t="inlineStr">
        <is>
          <t>3 LA branches (FDIC SOD 2025); largest private US bank</t>
        </is>
      </c>
      <c r="O39" t="inlineStr">
        <is>
          <t>N/M</t>
        </is>
      </c>
      <c r="P39" t="inlineStr">
        <is>
          <t>Yes</t>
        </is>
      </c>
      <c r="Q39" t="inlineStr">
        <is>
          <t>✅ Business Credit Card / Business Rewards / Business Secured ($35 AF); terms N/M</t>
        </is>
      </c>
      <c r="R39" s="7" t="inlineStr">
        <is>
          <t>Self (MidFirst Bank — no third-party portal)</t>
        </is>
      </c>
      <c r="S39" t="inlineStr">
        <is>
          <t>In-person</t>
        </is>
      </c>
      <c r="T39" t="inlineStr">
        <is>
          <t>Visit branch / contact a banker (no online application)</t>
        </is>
      </c>
      <c r="U39" t="inlineStr">
        <is>
          <t>https://www.midfirst.com</t>
        </is>
      </c>
      <c r="V39" t="inlineStr">
        <is>
          <t>https://www.midfirst.com/business-and-commercial/card-solutions/credit</t>
        </is>
      </c>
      <c r="W39" t="inlineStr">
        <is>
          <t>N/M</t>
        </is>
      </c>
      <c r="X39" t="inlineStr">
        <is>
          <t>N/M</t>
        </is>
      </c>
      <c r="Y39" t="inlineStr">
        <is>
          <t>Self-issued lineup incl. secured tier. Commercial LOC $1M–$30M+ (separate tier). Light census 2026-06-10.</t>
        </is>
      </c>
      <c r="Z39" t="inlineStr">
        <is>
          <t>2</t>
        </is>
      </c>
      <c r="AA39" t="inlineStr">
        <is>
          <t>N/M</t>
        </is>
      </c>
      <c r="AB39" t="inlineStr">
        <is>
          <t>None published</t>
        </is>
      </c>
      <c r="AC39" t="inlineStr">
        <is>
          <t>N/M (relationship bank)</t>
        </is>
      </c>
      <c r="AD39" t="inlineStr">
        <is>
          <t>Self-UW, branch-apply (3 LA branches)</t>
        </is>
      </c>
      <c r="AE39" t="inlineStr">
        <is>
          <t>Business Credit Card; Business Rewards; Business Secured ($35 AF)</t>
        </is>
      </c>
      <c r="AF39" t="inlineStr">
        <is>
          <t>SoCal / LA (3 branches; OK-HQ'd)</t>
        </is>
      </c>
      <c r="AG39" t="inlineStr">
        <is>
          <t>Oklahoma City, OK</t>
        </is>
      </c>
      <c r="AH39" t="inlineStr">
        <is>
          <t>Reg</t>
        </is>
      </c>
      <c r="AI39" t="inlineStr">
        <is>
          <t>MED-HIGH self/branch-apply; N/M terms, HP. Light census 2026-06-10</t>
        </is>
      </c>
      <c r="AJ39" t="inlineStr">
        <is>
          <t>midfirst.com/business-and-commercial/card-solutions/credit; DoC Chex list 2025-08-07 (pulls, 4 DPs)</t>
        </is>
      </c>
    </row>
    <row r="40">
      <c r="A40" t="inlineStr">
        <is>
          <t>39</t>
        </is>
      </c>
      <c r="B40" t="inlineStr">
        <is>
          <t>39</t>
        </is>
      </c>
      <c r="C40" s="12" t="inlineStr">
        <is>
          <t>Banner Bank</t>
        </is>
      </c>
      <c r="D40" s="8" t="inlineStr">
        <is>
          <t>Regional</t>
        </is>
      </c>
      <c r="E40" t="inlineStr">
        <is>
          <t>Other — West Coast — CA</t>
        </is>
      </c>
      <c r="F40" s="13" t="inlineStr">
        <is>
          <t>2/4  ✓SUW ✗Onl ✗SoCal ✓Card</t>
        </is>
      </c>
      <c r="G40" s="6" t="inlineStr">
        <is>
          <t>Yes — pulls, sensitive (Unchex; BankDealGuy reader DP 2026-01-27); BankOn 'Digital Account' = fallback</t>
        </is>
      </c>
      <c r="H40" t="inlineStr">
        <is>
          <t>N/M</t>
        </is>
      </c>
      <c r="I40" s="3" t="inlineStr">
        <is>
          <t>TU #1 (mentor — publicly N/M; plausible, unverified)</t>
        </is>
      </c>
      <c r="J40" t="inlineStr">
        <is>
          <t>B — Self-UW (in branch)</t>
        </is>
      </c>
      <c r="K40" t="inlineStr">
        <is>
          <t>N/M (no bank-specific data point found)</t>
        </is>
      </c>
      <c r="L40" t="inlineStr">
        <is>
          <t>~$16.56B</t>
        </is>
      </c>
      <c r="M40" t="inlineStr">
        <is>
          <t>—</t>
        </is>
      </c>
      <c r="N40" t="inlineStr">
        <is>
          <t>HQ Walla Walla; ~135 branches; ~30 CA branches (ex-AmericanWest/AltaPacific acquisitions)</t>
        </is>
      </c>
      <c r="O40" t="inlineStr">
        <is>
          <t>Major CA (branches + lending)</t>
        </is>
      </c>
      <c r="P40" t="inlineStr">
        <is>
          <t>Yes</t>
        </is>
      </c>
      <c r="Q40" t="inlineStr">
        <is>
          <t>✅ Business Platinum Mastercard: 0% 12mo, $0 AF; Business Cash Rewards; + commercial</t>
        </is>
      </c>
      <c r="R40" s="7" t="inlineStr">
        <is>
          <t>Self (Banner Bank)</t>
        </is>
      </c>
      <c r="S40" t="inlineStr">
        <is>
          <t>In-person</t>
        </is>
      </c>
      <c r="T40" t="inlineStr">
        <is>
          <t>Download PDF application → bring to branch (full PG underwriting)</t>
        </is>
      </c>
      <c r="U40" t="inlineStr">
        <is>
          <t>https://www.bannerbank.com/business-solutions/services/small-business-credit-card</t>
        </is>
      </c>
      <c r="V40" t="inlineStr">
        <is>
          <t>https://www.bannerbank.com/business-solutions/services/small-business-credit-card/business-platinum-mastercard</t>
        </is>
      </c>
      <c r="W40" t="inlineStr">
        <is>
          <t>N/M public — mentor DP (2026-06, unverified): TransUnion</t>
        </is>
      </c>
      <c r="X40" t="inlineStr">
        <is>
          <t>N/M</t>
        </is>
      </c>
      <c r="Y40" t="inlineStr">
        <is>
          <t>Download PDF application -&gt; bring to branch. No forum data.</t>
        </is>
      </c>
      <c r="Z40" t="inlineStr">
        <is>
          <t>2</t>
        </is>
      </c>
      <c r="AA40" t="inlineStr">
        <is>
          <t>PG YES (joint &amp; several) + full underwriting (Tax ID + gross revenue + guarantor SSN/income/net worth + bureau pull)</t>
        </is>
      </c>
      <c r="AB40" t="inlineStr">
        <is>
          <t>None (full-doc card; commercial lending full-doc)</t>
        </is>
      </c>
      <c r="AC40" t="inlineStr">
        <is>
          <t>N/M</t>
        </is>
      </c>
      <c r="AD40" t="inlineStr">
        <is>
          <t>No-doc card — apply in branch</t>
        </is>
      </c>
      <c r="AE40" t="inlineStr">
        <is>
          <t>Business Platinum Mastercard, Business Cash Rewards Mastercard; Commercial / Commercial Rewards</t>
        </is>
      </c>
      <c r="AF40" t="inlineStr">
        <is>
          <t>West Coast — CA/WA/OR/ID (~30 CA branches)</t>
        </is>
      </c>
      <c r="AG40" t="inlineStr">
        <is>
          <t>Walla Walla, WA</t>
        </is>
      </c>
      <c r="AH40" t="inlineStr">
        <is>
          <t>Reg</t>
        </is>
      </c>
      <c r="AI40" t="inlineStr">
        <is>
          <t>HIGH self/products/0%-12mo/PG-full-underwrite/CA-footprint; apply N (paper-&gt;branch). 2026-05-28</t>
        </is>
      </c>
      <c r="AJ40" t="inlineStr">
        <is>
          <t>bannerbank.com/.../business-platinum-mastercard + application PDF (issuer=self, PG); FDIC cert 28489</t>
        </is>
      </c>
    </row>
    <row r="41">
      <c r="A41" t="inlineStr">
        <is>
          <t>40</t>
        </is>
      </c>
      <c r="B41" t="inlineStr">
        <is>
          <t>40</t>
        </is>
      </c>
      <c r="C41" s="2" t="inlineStr">
        <is>
          <t>Infinity Bank</t>
        </is>
      </c>
      <c r="D41" s="15" t="inlineStr">
        <is>
          <t>CA Bank</t>
        </is>
      </c>
      <c r="E41" t="inlineStr">
        <is>
          <t>★ Core SoCal</t>
        </is>
      </c>
      <c r="F41" s="4" t="inlineStr">
        <is>
          <t>3/4  ✗SUW ✓Onl ✓SoCal ✓Card</t>
        </is>
      </c>
      <c r="G41" s="9" t="inlineStr">
        <is>
          <t>N/M (no disclosure, no DPs — ask the banker)</t>
        </is>
      </c>
      <c r="H41" t="inlineStr">
        <is>
          <t>N/M</t>
        </is>
      </c>
      <c r="I41" t="inlineStr"/>
      <c r="J41" t="inlineStr">
        <is>
          <t>C — Other agent card</t>
        </is>
      </c>
      <c r="K41" t="inlineStr">
        <is>
          <t>N/M (ServisFirst; no published limit / forum DP)</t>
        </is>
      </c>
      <c r="L41" t="inlineStr">
        <is>
          <t>$0.39B</t>
        </is>
      </c>
      <c r="M41" t="inlineStr">
        <is>
          <t>N/M</t>
        </is>
      </c>
      <c r="N41" t="inlineStr">
        <is>
          <t>Single branch (Santa Ana, OC); Infinity Bancorp; est 2018</t>
        </is>
      </c>
      <c r="O41" t="inlineStr">
        <is>
          <t>CA-HQ'd</t>
        </is>
      </c>
      <c r="P41" t="inlineStr">
        <is>
          <t>No</t>
        </is>
      </c>
      <c r="Q41" t="inlineStr">
        <is>
          <t>✅ no 0%; ~16.75% (Cash Back) / 18.75% (Platinum) var; $79 / $0 AF; 1% cash back to $1K/yr</t>
        </is>
      </c>
      <c r="R41" s="17" t="inlineStr">
        <is>
          <t>ServisFirst Bank (agent program)</t>
        </is>
      </c>
      <c r="S41" t="inlineStr">
        <is>
          <t>Online</t>
        </is>
      </c>
      <c r="T41" t="inlineStr">
        <is>
          <t>Online — apply at https://app.ccdepartment.com/Credit/credit?name=GoInfinityBank193</t>
        </is>
      </c>
      <c r="U41" t="inlineStr">
        <is>
          <t>https://www.infinity.bank</t>
        </is>
      </c>
      <c r="V41" t="inlineStr">
        <is>
          <t>https://app.ccdepartment.com/Credit/credit?name=GoInfinityBank193</t>
        </is>
      </c>
      <c r="W41" t="inlineStr">
        <is>
          <t>N/M (personal pull on guarantor; bureau not named)</t>
        </is>
      </c>
      <c r="X41" t="inlineStr">
        <is>
          <t>N/M (SBFE/biz reporting not disclosed)</t>
        </is>
      </c>
      <c r="Y41" t="inlineStr">
        <is>
          <t>ServisFirst Agent Bank Card Program (app.ccdepartment.com) — portal states verbatim 'issued by ServisFirst Bank'; bank disclosure PDF titled 'Servis-First-Business-Credit...'. App requires signed guarantee + financials (P&amp;L/income stmt/balance sheet OR tax return — one of). CORRECTION: prior 'Elan' tag was a subagent mis-ID. No forum DPs.</t>
        </is>
      </c>
      <c r="Z41" t="inlineStr">
        <is>
          <t>3</t>
        </is>
      </c>
      <c r="AA41" t="inlineStr">
        <is>
          <t>PG yes (signed guarantee required); NO tax returns mandated (financials OR return accepted)</t>
        </is>
      </c>
      <c r="AB41" t="inlineStr">
        <is>
          <t>None (business LOC/merchant services full-doc)</t>
        </is>
      </c>
      <c r="AC41" t="inlineStr">
        <is>
          <t>N/M</t>
        </is>
      </c>
      <c r="AD41" t="inlineStr">
        <is>
          <t>★ No-doc card — apply online</t>
        </is>
      </c>
      <c r="AE41" t="inlineStr">
        <is>
          <t>Business Platinum Cash Back Rewards ($79 AF, 1% to $1K/yr); Business Platinum ($0 AF) — Visa via ServisFirst</t>
        </is>
      </c>
      <c r="AF41" t="inlineStr">
        <is>
          <t>SoCal / Orange County</t>
        </is>
      </c>
      <c r="AG41" t="inlineStr">
        <is>
          <t>Santa Ana</t>
        </is>
      </c>
      <c r="AH41" t="inlineStr">
        <is>
          <t>90</t>
        </is>
      </c>
      <c r="AI41" t="inlineStr">
        <is>
          <t>HIGH issuer=ServisFirst (portal disclosure + Servis-First PDF, triple-confirmed)/online/OC/terms; N/M HP, reports, limit. 2026-05-29</t>
        </is>
      </c>
      <c r="AJ41" t="inlineStr">
        <is>
          <t>infinity.bank/.../business-credit-cards; app.ccdepartment.com (ServisFirst disclosure); cms...Servis-First-Business-Credit-CRD-Application-Disclosures.pdf; aba.com (ServisFirst Agent Bank program); FDIC cert 59098</t>
        </is>
      </c>
    </row>
    <row r="42">
      <c r="A42" t="inlineStr">
        <is>
          <t>41</t>
        </is>
      </c>
      <c r="B42" t="inlineStr"/>
      <c r="C42" s="18" t="inlineStr">
        <is>
          <t>City National Bank</t>
        </is>
      </c>
      <c r="D42" s="15" t="inlineStr">
        <is>
          <t>CA Bank</t>
        </is>
      </c>
      <c r="E42" t="inlineStr">
        <is>
          <t>★ Core SoCal</t>
        </is>
      </c>
      <c r="F42" s="19" t="inlineStr">
        <is>
          <t>2/4  ✓SUW ✗Onl ✓SoCal ✗Card</t>
        </is>
      </c>
      <c r="G42" t="inlineStr">
        <is>
          <t>N/M</t>
        </is>
      </c>
      <c r="H42" t="inlineStr">
        <is>
          <t>N/M</t>
        </is>
      </c>
      <c r="I42" t="inlineStr"/>
      <c r="J42" t="inlineStr">
        <is>
          <t>Commercial-only</t>
        </is>
      </c>
      <c r="K42" t="inlineStr">
        <is>
          <t>—</t>
        </is>
      </c>
      <c r="L42" t="inlineStr">
        <is>
          <t>$99.95B</t>
        </is>
      </c>
      <c r="M42" t="inlineStr">
        <is>
          <t>$81.07B</t>
        </is>
      </c>
      <c r="N42" t="inlineStr">
        <is>
          <t>~75 offices SoCal + SF Bay Area; RBC-owned</t>
        </is>
      </c>
      <c r="O42" t="inlineStr">
        <is>
          <t>CA-HQ'd</t>
        </is>
      </c>
      <c r="P42" t="inlineStr">
        <is>
          <t>Yes</t>
        </is>
      </c>
      <c r="Q42" t="inlineStr">
        <is>
          <t>⚠️ Commercial only — Visa Commercial/Crystal; no 0%; $50/$400 AF; branch only</t>
        </is>
      </c>
      <c r="R42" s="7" t="inlineStr">
        <is>
          <t>Self</t>
        </is>
      </c>
      <c r="S42" t="inlineStr">
        <is>
          <t>In-person</t>
        </is>
      </c>
      <c r="T42" t="inlineStr">
        <is>
          <t>Branch only (commercial Visa; relationship)</t>
        </is>
      </c>
      <c r="U42" t="inlineStr">
        <is>
          <t>https://www.cnb.com</t>
        </is>
      </c>
      <c r="V42" t="inlineStr">
        <is>
          <t>https://www.cnb.com/business-banking/lending/credit-cards/commercial.html</t>
        </is>
      </c>
      <c r="W42" t="inlineStr">
        <is>
          <t>Experian (personal Crystal card; biz N/M)</t>
        </is>
      </c>
      <c r="X42" t="inlineStr">
        <is>
          <t>N/M</t>
        </is>
      </c>
      <c r="Y42" t="inlineStr">
        <is>
          <t>N/M for biz card (forum data is for personal Crystal Visa Infinite only)</t>
        </is>
      </c>
      <c r="Z42" t="inlineStr">
        <is>
          <t>0</t>
        </is>
      </c>
      <c r="AA42" t="inlineStr">
        <is>
          <t>PG + Personal Financial Statement + tax returns (full-doc)</t>
        </is>
      </c>
      <c r="AB42" t="inlineStr">
        <is>
          <t>None (LOC/SBA/ABL full-doc)</t>
        </is>
      </c>
      <c r="AC42" t="inlineStr">
        <is>
          <t>N/M (relationship expected)</t>
        </is>
      </c>
      <c r="AD42" t="inlineStr">
        <is>
          <t>Commercial / full underwriting</t>
        </is>
      </c>
      <c r="AE42" t="inlineStr">
        <is>
          <t>Visa Commercial; Visa Crystal Commercial (corporate)</t>
        </is>
      </c>
      <c r="AF42" t="inlineStr">
        <is>
          <t>SoCal / LA</t>
        </is>
      </c>
      <c r="AG42" t="inlineStr">
        <is>
          <t>Los Angeles</t>
        </is>
      </c>
      <c r="AH42" t="inlineStr">
        <is>
          <t>1</t>
        </is>
      </c>
      <c r="AI42" t="inlineStr">
        <is>
          <t>HIGH self-issuer/commercial/no-online. 2026-05-28</t>
        </is>
      </c>
      <c r="AJ42" t="inlineStr">
        <is>
          <t>cnb.com commercial + crystal pages; Commercial-Credit-Card Agreement PDF</t>
        </is>
      </c>
    </row>
    <row r="43">
      <c r="A43" t="inlineStr">
        <is>
          <t>42</t>
        </is>
      </c>
      <c r="B43" t="inlineStr">
        <is>
          <t>41</t>
        </is>
      </c>
      <c r="C43" s="2" t="inlineStr">
        <is>
          <t>KeyBank</t>
        </is>
      </c>
      <c r="D43" s="8" t="inlineStr">
        <is>
          <t>Regional</t>
        </is>
      </c>
      <c r="E43" t="inlineStr">
        <is>
          <t>National (lends in CA)</t>
        </is>
      </c>
      <c r="F43" s="4" t="inlineStr">
        <is>
          <t>3/4  ✓SUW ✓Onl ✗SoCal ✓Card</t>
        </is>
      </c>
      <c r="G43" s="6" t="inlineStr">
        <is>
          <t>Yes — pulls (DoC 2025-08-07; Crediful 2025-10-22)</t>
        </is>
      </c>
      <c r="H43" s="6" t="inlineStr">
        <is>
          <t>Yes — mixed 2-yes/1-no (DoC EWS list)</t>
        </is>
      </c>
      <c r="I43" s="3" t="inlineStr">
        <is>
          <t>EQ #2 (mentor ✓ matches our EQ; but NO CA retail — reachability conflict)</t>
        </is>
      </c>
      <c r="J43" t="inlineStr">
        <is>
          <t>A — Self-UW (online)</t>
        </is>
      </c>
      <c r="K43" t="inlineStr">
        <is>
          <t>Modest biz $3K–$4K DP; soft-pull EQ; CLIs after 6mo  [myFICO #5345434]</t>
        </is>
      </c>
      <c r="L43" t="inlineStr">
        <is>
          <t>~$184B</t>
        </is>
      </c>
      <c r="M43" t="inlineStr">
        <is>
          <t>—</t>
        </is>
      </c>
      <c r="N43" t="inlineStr">
        <is>
          <t>~940 branches/15 states; CA = commercial banking (LA/Newport/SD), negligible retail</t>
        </is>
      </c>
      <c r="O43" t="inlineStr">
        <is>
          <t>⚠ Needs local branch/account — minimal/no CA retail (likely NOT reachable)</t>
        </is>
      </c>
      <c r="P43" t="inlineStr">
        <is>
          <t>Yes</t>
        </is>
      </c>
      <c r="Q43" t="inlineStr">
        <is>
          <t>✅ Business Rewards / Cash Rewards / Business MC: 0% 6 cycles, $0 AF</t>
        </is>
      </c>
      <c r="R43" s="7" t="inlineStr">
        <is>
          <t>Self (KeyBank NA; self-issues since 2012, ex-Elan)</t>
        </is>
      </c>
      <c r="S43" t="inlineStr">
        <is>
          <t>Online</t>
        </is>
      </c>
      <c r="T43" t="inlineStr">
        <is>
          <t>Online — apply at https://www.key.com/small-business/banking/credit-cards/card-comparison.html</t>
        </is>
      </c>
      <c r="U43" t="inlineStr">
        <is>
          <t>https://www.key.com/small-business/banking/credit-cards/card-comparison.html</t>
        </is>
      </c>
      <c r="V43" t="inlineStr">
        <is>
          <t>https://www.key.com/small-business/banking/credit-cards/card-comparison.html</t>
        </is>
      </c>
      <c r="W43" t="inlineStr">
        <is>
          <t>Equifax (SOFT pull reported for some / existing customers)</t>
        </is>
      </c>
      <c r="X43" t="inlineStr">
        <is>
          <t>Personal: NEVER (FAQ confirmed). Business: SBFE likely (N/M)</t>
        </is>
      </c>
      <c r="Y43" t="inlineStr">
        <is>
          <t>Soft-pull Equifax common (esp. existing customers); relationship-gated. Biz limits modest ($3-4K DP); consumer high ($25K+$32.5K dual). CLIs after 6mo. myfico.com #5345434 / #1073204</t>
        </is>
      </c>
      <c r="Z43" t="inlineStr">
        <is>
          <t>5</t>
        </is>
      </c>
      <c r="AA43" t="inlineStr">
        <is>
          <t>PG likely (INFERENCE); no tax returns for cards</t>
        </is>
      </c>
      <c r="AB43" t="inlineStr">
        <is>
          <t>Business LOC/term = full-doc. Cards NEVER report to personal = strong keep-off-personal play.</t>
        </is>
      </c>
      <c r="AC43" t="inlineStr">
        <is>
          <t>No to apply (relationship helps)</t>
        </is>
      </c>
      <c r="AD43" t="inlineStr">
        <is>
          <t>★ ⚠ Minimal CA retail — great no-doc IF you have a relationship</t>
        </is>
      </c>
      <c r="AE43" t="inlineStr">
        <is>
          <t>KeyBank Business Rewards MC, Business Cash Rewards MC, Business MC</t>
        </is>
      </c>
      <c r="AF43" t="inlineStr">
        <is>
          <t>National — CA commercial presence (expanded SoCal 2024), minimal CA retail</t>
        </is>
      </c>
      <c r="AG43" t="inlineStr">
        <is>
          <t>Cleveland, OH</t>
        </is>
      </c>
      <c r="AH43" t="inlineStr">
        <is>
          <t>Reg</t>
        </is>
      </c>
      <c r="AI43" t="inlineStr">
        <is>
          <t>HIGH self/no-personal-reporting (FAQ)/soft-pull-EQ; MED apply-online (relationship-gated). 2026-05-28</t>
        </is>
      </c>
      <c r="AJ43" t="inlineStr">
        <is>
          <t>key.com/small-business/.../credit-cards + business-credit-card-faq (no personal reporting); crainscleveland.com (self-issue since 2012); cardright.com (Equifax); myfico.com #5345434</t>
        </is>
      </c>
    </row>
    <row r="44">
      <c r="A44" t="inlineStr">
        <is>
          <t>43</t>
        </is>
      </c>
      <c r="B44" t="inlineStr">
        <is>
          <t>42</t>
        </is>
      </c>
      <c r="C44" s="2" t="inlineStr">
        <is>
          <t>Mission Valley Bank</t>
        </is>
      </c>
      <c r="D44" s="15" t="inlineStr">
        <is>
          <t>CA Bank</t>
        </is>
      </c>
      <c r="E44" t="inlineStr">
        <is>
          <t>★ Core SoCal</t>
        </is>
      </c>
      <c r="F44" s="4" t="inlineStr">
        <is>
          <t>3/4  ✗SUW ✓Onl ✓SoCal ✓Card</t>
        </is>
      </c>
      <c r="G44" t="inlineStr">
        <is>
          <t>N/M</t>
        </is>
      </c>
      <c r="H44" t="inlineStr">
        <is>
          <t>N/M</t>
        </is>
      </c>
      <c r="I44" t="inlineStr"/>
      <c r="J44" t="inlineStr">
        <is>
          <t>D — TCM agent</t>
        </is>
      </c>
      <c r="K44" t="inlineStr">
        <is>
          <t>N/M (TCM; conservative, Experian-driven)</t>
        </is>
      </c>
      <c r="L44" t="inlineStr">
        <is>
          <t>$0.77B</t>
        </is>
      </c>
      <c r="M44" t="inlineStr">
        <is>
          <t>N/M</t>
        </is>
      </c>
      <c r="N44" t="inlineStr">
        <is>
          <t>LA County; Sun Valley HQ + Santa Clarita branch</t>
        </is>
      </c>
      <c r="O44" t="inlineStr">
        <is>
          <t>CA-HQ'd</t>
        </is>
      </c>
      <c r="P44" t="inlineStr">
        <is>
          <t>No</t>
        </is>
      </c>
      <c r="Q44" t="inlineStr">
        <is>
          <t>✅ TCM business Visa; terms N/M (see Summary of Credit Terms at app); 1pt/$1 typical</t>
        </is>
      </c>
      <c r="R44" s="20" t="inlineStr">
        <is>
          <t>TCM Bank, N.A.</t>
        </is>
      </c>
      <c r="S44" t="inlineStr">
        <is>
          <t>Online</t>
        </is>
      </c>
      <c r="T44" t="inlineStr">
        <is>
          <t>Online — apply at https://www.mycommunitycc.com/A0oVKGkHmrYt</t>
        </is>
      </c>
      <c r="U44" t="inlineStr">
        <is>
          <t>https://www.missionvalleybank.com</t>
        </is>
      </c>
      <c r="V44" t="inlineStr">
        <is>
          <t>https://www.mycommunitycc.com/A0oVKGkHmrYt</t>
        </is>
      </c>
      <c r="W44" t="inlineStr">
        <is>
          <t>Experian (TCM)</t>
        </is>
      </c>
      <c r="X44" t="inlineStr">
        <is>
          <t>N/M (TCM; biz bureaus/SBFE typical)</t>
        </is>
      </c>
      <c r="Y44" t="inlineStr">
        <is>
          <t>TCM platform: Experian pull (apps + CLIs); SBA-eligible only; conservative. myfico.com #6303273</t>
        </is>
      </c>
      <c r="Z44" t="inlineStr">
        <is>
          <t>3</t>
        </is>
      </c>
      <c r="AA44" t="inlineStr">
        <is>
          <t>PG likely; SBA-eligible only; no tax returns at app</t>
        </is>
      </c>
      <c r="AB44" t="inlineStr">
        <is>
          <t>None (SBA/AR financing/BusinessManager/LOC/term/equipment/CRE full-doc)</t>
        </is>
      </c>
      <c r="AC44" t="inlineStr">
        <is>
          <t>N/M</t>
        </is>
      </c>
      <c r="AD44" t="inlineStr">
        <is>
          <t>★ No-doc card — apply online</t>
        </is>
      </c>
      <c r="AE44" t="inlineStr">
        <is>
          <t>TCM business Visa (rewards/cash-back variants; names not enumerated)</t>
        </is>
      </c>
      <c r="AF44" t="inlineStr">
        <is>
          <t>SoCal / LA (San Fernando Valley)</t>
        </is>
      </c>
      <c r="AG44" t="inlineStr">
        <is>
          <t>Sun Valley</t>
        </is>
      </c>
      <c r="AH44" t="inlineStr">
        <is>
          <t>71</t>
        </is>
      </c>
      <c r="AI44" t="inlineStr">
        <is>
          <t>HIGH issuer=TCM (own page quote)/online/SFV; N/M terms, HP forum-only, reports. 2026-05-29</t>
        </is>
      </c>
      <c r="AJ44" t="inlineStr">
        <is>
          <t>missionvalleybank.com/card-services ('issued by TCM Bank, N.A.'); mycommunitycc.com; FDIC cert 57101</t>
        </is>
      </c>
    </row>
    <row r="45">
      <c r="A45" t="inlineStr">
        <is>
          <t>44</t>
        </is>
      </c>
      <c r="B45" t="inlineStr">
        <is>
          <t>43</t>
        </is>
      </c>
      <c r="C45" s="2" t="inlineStr">
        <is>
          <t>GBC International Bank</t>
        </is>
      </c>
      <c r="D45" s="15" t="inlineStr">
        <is>
          <t>CA Bank</t>
        </is>
      </c>
      <c r="E45" t="inlineStr">
        <is>
          <t>★ Core SoCal</t>
        </is>
      </c>
      <c r="F45" s="4" t="inlineStr">
        <is>
          <t>3/4  ✗SUW ✓Onl ✓SoCal ✓Card</t>
        </is>
      </c>
      <c r="G45" t="inlineStr">
        <is>
          <t>N/M</t>
        </is>
      </c>
      <c r="H45" t="inlineStr">
        <is>
          <t>N/M</t>
        </is>
      </c>
      <c r="I45" t="inlineStr"/>
      <c r="J45" t="inlineStr">
        <is>
          <t>D — TCM agent</t>
        </is>
      </c>
      <c r="K45" t="inlineStr">
        <is>
          <t>N/M (TCM; conservative, Experian-driven)</t>
        </is>
      </c>
      <c r="L45" t="inlineStr">
        <is>
          <t>$0.68B</t>
        </is>
      </c>
      <c r="M45" t="inlineStr">
        <is>
          <t>N/M</t>
        </is>
      </c>
      <c r="N45" t="inlineStr">
        <is>
          <t>8 offices, all SoCal/LA; Chinese-American + trade finance; SBA Preferred Lender</t>
        </is>
      </c>
      <c r="O45" t="inlineStr">
        <is>
          <t>CA-HQ'd</t>
        </is>
      </c>
      <c r="P45" t="inlineStr">
        <is>
          <t>No</t>
        </is>
      </c>
      <c r="Q45" t="inlineStr">
        <is>
          <t>✅ TCM business Visa; terms N/M; $0 AF likely</t>
        </is>
      </c>
      <c r="R45" s="20" t="inlineStr">
        <is>
          <t>TCM Bank, N.A.</t>
        </is>
      </c>
      <c r="S45" t="inlineStr">
        <is>
          <t>Online</t>
        </is>
      </c>
      <c r="T45" t="inlineStr">
        <is>
          <t>Online — apply at https://www.mycommunitycc.com/k7OgnYPt1fSE</t>
        </is>
      </c>
      <c r="U45" t="inlineStr">
        <is>
          <t>https://www.gbcib.com</t>
        </is>
      </c>
      <c r="V45" t="inlineStr">
        <is>
          <t>https://www.mycommunitycc.com/k7OgnYPt1fSE</t>
        </is>
      </c>
      <c r="W45" t="inlineStr">
        <is>
          <t>Experian (TCM; BBB DPs)</t>
        </is>
      </c>
      <c r="X45" t="inlineStr">
        <is>
          <t>N/M (TCM; biz bureaus typical)</t>
        </is>
      </c>
      <c r="Y45" t="inlineStr">
        <is>
          <t>TCM platform: Experian pull (apps + CLIs); SBA-eligible only; conservative. myfico.com #6303273</t>
        </is>
      </c>
      <c r="Z45" t="inlineStr">
        <is>
          <t>3</t>
        </is>
      </c>
      <c r="AA45" t="inlineStr">
        <is>
          <t>PG likely; SBA-eligible only</t>
        </is>
      </c>
      <c r="AB45" t="inlineStr">
        <is>
          <t>None (BELOC real-estate-secured / SBA / Ex-Im / LC / CRE full-doc)</t>
        </is>
      </c>
      <c r="AC45" t="inlineStr">
        <is>
          <t>N/M</t>
        </is>
      </c>
      <c r="AD45" t="inlineStr">
        <is>
          <t>★ No-doc card — apply online</t>
        </is>
      </c>
      <c r="AE45" t="inlineStr">
        <is>
          <t>GBC-branded TCM business Visa (names not enumerated)</t>
        </is>
      </c>
      <c r="AF45" t="inlineStr">
        <is>
          <t>SoCal / LA</t>
        </is>
      </c>
      <c r="AG45" t="inlineStr">
        <is>
          <t>Los Angeles</t>
        </is>
      </c>
      <c r="AH45" t="inlineStr">
        <is>
          <t>74</t>
        </is>
      </c>
      <c r="AI45" t="inlineStr">
        <is>
          <t>MED-HIGH issuer=TCM (mycommunitycc.com portal + mycardstatement.com)/online/LA; N/M terms, reports. 2026-05-29</t>
        </is>
      </c>
      <c r="AJ45" t="inlineStr">
        <is>
          <t>gbcib.com/business; mycommunitycc.com/k7OgnYPt1fSE; tcmbank.com; FDIC cert 22366</t>
        </is>
      </c>
    </row>
    <row r="46">
      <c r="A46" t="inlineStr">
        <is>
          <t>45</t>
        </is>
      </c>
      <c r="B46" t="inlineStr">
        <is>
          <t>44</t>
        </is>
      </c>
      <c r="C46" s="2" t="inlineStr">
        <is>
          <t>Banc of California</t>
        </is>
      </c>
      <c r="D46" s="15" t="inlineStr">
        <is>
          <t>CA Bank</t>
        </is>
      </c>
      <c r="E46" t="inlineStr">
        <is>
          <t>★ Core SoCal</t>
        </is>
      </c>
      <c r="F46" s="4" t="inlineStr">
        <is>
          <t>3/4  ✗SUW ✓Onl ✓SoCal ✓Card</t>
        </is>
      </c>
      <c r="G46" s="6" t="inlineStr">
        <is>
          <t>Yes — weak single source (Unchex, undated); verify in branch</t>
        </is>
      </c>
      <c r="H46" t="inlineStr">
        <is>
          <t>N/M</t>
        </is>
      </c>
      <c r="I46" t="inlineStr"/>
      <c r="J46" t="inlineStr">
        <is>
          <t>E — Elan agent</t>
        </is>
      </c>
      <c r="K46" t="inlineStr">
        <is>
          <t>Elan platform: ~$3K–$10K start, to ~$20K strong files (~$500 seen at 800+ FICO)  [myFICO #6658960]</t>
        </is>
      </c>
      <c r="L46" t="inlineStr">
        <is>
          <t>$34.64B</t>
        </is>
      </c>
      <c r="M46" t="inlineStr">
        <is>
          <t>$27.44B</t>
        </is>
      </c>
      <c r="N46" t="inlineStr">
        <is>
          <t>~80 CA branches; LA County, Orange County, San Diego (merged PacWest)</t>
        </is>
      </c>
      <c r="O46" t="inlineStr">
        <is>
          <t>CA-HQ'd</t>
        </is>
      </c>
      <c r="P46" t="inlineStr">
        <is>
          <t>No</t>
        </is>
      </c>
      <c r="Q46" t="inlineStr">
        <is>
          <t>✅ 0% 20 cycles → ~17-26% var; $0 AF (BEST 0% in set)</t>
        </is>
      </c>
      <c r="R46" s="6" t="inlineStr">
        <is>
          <t>Elan</t>
        </is>
      </c>
      <c r="S46" t="inlineStr">
        <is>
          <t>Online</t>
        </is>
      </c>
      <c r="T46" t="inlineStr">
        <is>
          <t>Online — apply at https://bancofcal.com/payment-solutions/business-credit-card/</t>
        </is>
      </c>
      <c r="U46" t="inlineStr">
        <is>
          <t>https://bancofcal.com</t>
        </is>
      </c>
      <c r="V46" t="inlineStr">
        <is>
          <t>https://bancofcal.com/payment-solutions/business-credit-card/</t>
        </is>
      </c>
      <c r="W46" t="inlineStr">
        <is>
          <t>TransUnion (varies EX/EQ)</t>
        </is>
      </c>
      <c r="X46" t="inlineStr">
        <is>
          <t>D&amp;B; not personal in good standing</t>
        </is>
      </c>
      <c r="Y4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46" t="inlineStr">
        <is>
          <t>3</t>
        </is>
      </c>
      <c r="AA46" t="inlineStr">
        <is>
          <t>PG yes; no tax returns (&lt;$25K)</t>
        </is>
      </c>
      <c r="AB46" t="inlineStr">
        <is>
          <t>None (SBA/LOC/term full-doc)</t>
        </is>
      </c>
      <c r="AC46" t="inlineStr">
        <is>
          <t>No</t>
        </is>
      </c>
      <c r="AD46" t="inlineStr">
        <is>
          <t>Longest 0% — 20 billing cycles (Elan)</t>
        </is>
      </c>
      <c r="AE46" t="inlineStr">
        <is>
          <t>Business Card (0% 20 cyc); Business Cash Card (3/2/1%)</t>
        </is>
      </c>
      <c r="AF46" t="inlineStr">
        <is>
          <t>SoCal / LA</t>
        </is>
      </c>
      <c r="AG46" t="inlineStr">
        <is>
          <t>Los Angeles</t>
        </is>
      </c>
      <c r="AH46" t="inlineStr">
        <is>
          <t>3</t>
        </is>
      </c>
      <c r="AI46" t="inlineStr">
        <is>
          <t>HIGH issuer/PG/0%-20cyc/apply/$0AF; N/M go-to APR. 2026-05-28</t>
        </is>
      </c>
      <c r="AJ46" t="inlineStr">
        <is>
          <t>bancofcal.com business credit card page; online1.elancard.com STD_BIZ.pdf; hustlermoneyblog.com</t>
        </is>
      </c>
    </row>
    <row r="47">
      <c r="A47" t="inlineStr">
        <is>
          <t>46</t>
        </is>
      </c>
      <c r="B47" t="inlineStr">
        <is>
          <t>45</t>
        </is>
      </c>
      <c r="C47" s="2" t="inlineStr">
        <is>
          <t>Mega Bank</t>
        </is>
      </c>
      <c r="D47" s="15" t="inlineStr">
        <is>
          <t>CA Bank</t>
        </is>
      </c>
      <c r="E47" t="inlineStr">
        <is>
          <t>★ Core SoCal</t>
        </is>
      </c>
      <c r="F47" s="4" t="inlineStr">
        <is>
          <t>3/4  ✗SUW ✓Onl ✓SoCal ✓Card</t>
        </is>
      </c>
      <c r="G47" t="inlineStr">
        <is>
          <t>N/M</t>
        </is>
      </c>
      <c r="H47" t="inlineStr">
        <is>
          <t>N/M</t>
        </is>
      </c>
      <c r="I47" t="inlineStr"/>
      <c r="J47" t="inlineStr">
        <is>
          <t>D — TCM agent</t>
        </is>
      </c>
      <c r="K47" t="inlineStr">
        <is>
          <t>N/M (TCM; conservative, Experian-driven)</t>
        </is>
      </c>
      <c r="L47" t="inlineStr">
        <is>
          <t>$0.47B</t>
        </is>
      </c>
      <c r="M47" t="inlineStr">
        <is>
          <t>N/M</t>
        </is>
      </c>
      <c r="N47" t="inlineStr">
        <is>
          <t>4 CA branches (San Gabriel HQ, Arcadia, Hacienda Heights); est 2008; Chinese-American</t>
        </is>
      </c>
      <c r="O47" t="inlineStr">
        <is>
          <t>CA-HQ'd</t>
        </is>
      </c>
      <c r="P47" t="inlineStr">
        <is>
          <t>No</t>
        </is>
      </c>
      <c r="Q47" t="inlineStr">
        <is>
          <t>✅ TCM business + personal Visa; terms N/M; $0/low AF likely</t>
        </is>
      </c>
      <c r="R47" s="20" t="inlineStr">
        <is>
          <t>TCM Bank, N.A.</t>
        </is>
      </c>
      <c r="S47" t="inlineStr">
        <is>
          <t>Online</t>
        </is>
      </c>
      <c r="T47" t="inlineStr">
        <is>
          <t>Online — apply at https://www.mycommunitycc.com/vsqcwJmaxwd7</t>
        </is>
      </c>
      <c r="U47" t="inlineStr">
        <is>
          <t>https://www.megabankusa.com</t>
        </is>
      </c>
      <c r="V47" t="inlineStr">
        <is>
          <t>https://www.mycommunitycc.com/vsqcwJmaxwd7</t>
        </is>
      </c>
      <c r="W47" t="inlineStr">
        <is>
          <t>Experian (TCM)</t>
        </is>
      </c>
      <c r="X47" t="inlineStr">
        <is>
          <t>N/M (TCM)</t>
        </is>
      </c>
      <c r="Y47" t="inlineStr">
        <is>
          <t>TCM platform (mycommunitycc.com): Experian pull; SBA-eligible only; conservative. myfico.com #6303273</t>
        </is>
      </c>
      <c r="Z47" t="inlineStr">
        <is>
          <t>3</t>
        </is>
      </c>
      <c r="AA47" t="inlineStr">
        <is>
          <t>PG likely; SBA-eligible only</t>
        </is>
      </c>
      <c r="AB47" t="inlineStr">
        <is>
          <t>None (CRE/construction/commercial/small-business full-doc)</t>
        </is>
      </c>
      <c r="AC47" t="inlineStr">
        <is>
          <t>N/M</t>
        </is>
      </c>
      <c r="AD47" t="inlineStr">
        <is>
          <t>★ No-doc card — apply online</t>
        </is>
      </c>
      <c r="AE47" t="inlineStr">
        <is>
          <t>TCM business Visa ('Administered by TCM Bank, N.A.'; names not enumerated)</t>
        </is>
      </c>
      <c r="AF47" t="inlineStr">
        <is>
          <t>SoCal / LA (San Gabriel Valley)</t>
        </is>
      </c>
      <c r="AG47" t="inlineStr">
        <is>
          <t>San Gabriel</t>
        </is>
      </c>
      <c r="AH47" t="inlineStr">
        <is>
          <t>80</t>
        </is>
      </c>
      <c r="AI47" t="inlineStr">
        <is>
          <t>HIGH issuer=TCM (own page 'Administered by TCM Bank')/online/SGV; N/M terms, reports. 2026-05-29</t>
        </is>
      </c>
      <c r="AJ47" t="inlineStr">
        <is>
          <t>megabankusa.com/Other-Services; mycommunitycc.com/vsqcwJmaxwd7; FDIC cert 58401</t>
        </is>
      </c>
    </row>
    <row r="48">
      <c r="A48" t="inlineStr">
        <is>
          <t>47</t>
        </is>
      </c>
      <c r="B48" t="inlineStr">
        <is>
          <t>46</t>
        </is>
      </c>
      <c r="C48" s="2" t="inlineStr">
        <is>
          <t>Home Bank of California</t>
        </is>
      </c>
      <c r="D48" s="15" t="inlineStr">
        <is>
          <t>CA Bank</t>
        </is>
      </c>
      <c r="E48" t="inlineStr">
        <is>
          <t>★ Core SoCal</t>
        </is>
      </c>
      <c r="F48" s="4" t="inlineStr">
        <is>
          <t>3/4  ✗SUW ✓Onl ✓SoCal ✓Card</t>
        </is>
      </c>
      <c r="G48" t="inlineStr">
        <is>
          <t>N/M</t>
        </is>
      </c>
      <c r="H48" t="inlineStr">
        <is>
          <t>N/M</t>
        </is>
      </c>
      <c r="I48" t="inlineStr"/>
      <c r="J48" t="inlineStr">
        <is>
          <t>D — TCM agent</t>
        </is>
      </c>
      <c r="K48" t="inlineStr">
        <is>
          <t>N/M (TCM; conservative, Experian-driven)</t>
        </is>
      </c>
      <c r="L48" t="inlineStr">
        <is>
          <t>$0.25B</t>
        </is>
      </c>
      <c r="M48" t="inlineStr">
        <is>
          <t>N/M</t>
        </is>
      </c>
      <c r="N48" t="inlineStr">
        <is>
          <t>Single branch (San Diego, Ruffin Rd); est 1981</t>
        </is>
      </c>
      <c r="O48" t="inlineStr">
        <is>
          <t>CA-HQ'd</t>
        </is>
      </c>
      <c r="P48" t="inlineStr">
        <is>
          <t>No</t>
        </is>
      </c>
      <c r="Q48" t="inlineStr">
        <is>
          <t>✅ TCM business Visa + Company Rewards Charge ($0 AF, 1pt/$1 no cap); terms N/M</t>
        </is>
      </c>
      <c r="R48" s="20" t="inlineStr">
        <is>
          <t>TCM Bank, N.A.</t>
        </is>
      </c>
      <c r="S48" t="inlineStr">
        <is>
          <t>Online</t>
        </is>
      </c>
      <c r="T48" t="inlineStr">
        <is>
          <t>Online — apply at https://www.mycommunitycc.com/uJU63OjSlxHb</t>
        </is>
      </c>
      <c r="U48" t="inlineStr">
        <is>
          <t>https://www.hbc.bank</t>
        </is>
      </c>
      <c r="V48" t="inlineStr">
        <is>
          <t>https://www.mycommunitycc.com/uJU63OjSlxHb</t>
        </is>
      </c>
      <c r="W48" t="inlineStr">
        <is>
          <t>Experian (TCM; BBB DPs)</t>
        </is>
      </c>
      <c r="X48" t="inlineStr">
        <is>
          <t>N/M (TCM)</t>
        </is>
      </c>
      <c r="Y48" t="inlineStr">
        <is>
          <t>TCM platform (mycommunitycc.com): Experian pull; SBA-eligible only; conservative. myfico.com #6303273</t>
        </is>
      </c>
      <c r="Z48" t="inlineStr">
        <is>
          <t>3</t>
        </is>
      </c>
      <c r="AA48" t="inlineStr">
        <is>
          <t>PG likely; SBA-eligible only</t>
        </is>
      </c>
      <c r="AB48" t="inlineStr">
        <is>
          <t>None (SBA/CRE/term/LOC full-doc)</t>
        </is>
      </c>
      <c r="AC48" t="inlineStr">
        <is>
          <t>N/M</t>
        </is>
      </c>
      <c r="AD48" t="inlineStr">
        <is>
          <t>★ No-doc card — apply online</t>
        </is>
      </c>
      <c r="AE48" t="inlineStr">
        <is>
          <t>TCM business Visa (multiple) + Company Rewards Charge Card ($0 AF, 1pt/$1 uncapped, free employee cards)</t>
        </is>
      </c>
      <c r="AF48" t="inlineStr">
        <is>
          <t>SoCal / San Diego</t>
        </is>
      </c>
      <c r="AG48" t="inlineStr">
        <is>
          <t>San Diego</t>
        </is>
      </c>
      <c r="AH48" t="inlineStr">
        <is>
          <t>98</t>
        </is>
      </c>
      <c r="AI48" t="inlineStr">
        <is>
          <t>HIGH issuer=TCM (own page 'issued by TCM Bank, N.A.')/online/San Diego/products; N/M APR, reports. 2026-05-29</t>
        </is>
      </c>
      <c r="AJ48" t="inlineStr">
        <is>
          <t>hbc.bank/business/.../business-credit-cards + /company-rewards-charge-card; mycommunitycc.com; FDIC cert 26271</t>
        </is>
      </c>
    </row>
    <row r="49">
      <c r="A49" t="inlineStr">
        <is>
          <t>48</t>
        </is>
      </c>
      <c r="B49" t="inlineStr">
        <is>
          <t>47</t>
        </is>
      </c>
      <c r="C49" s="12" t="inlineStr">
        <is>
          <t>Comerica Bank</t>
        </is>
      </c>
      <c r="D49" s="3" t="inlineStr">
        <is>
          <t>National</t>
        </is>
      </c>
      <c r="E49" t="inlineStr">
        <is>
          <t>National (lends in CA)</t>
        </is>
      </c>
      <c r="F49" s="13" t="inlineStr">
        <is>
          <t>2/4  ✗SUW ✓Onl ✗SoCal ✓Card</t>
        </is>
      </c>
      <c r="G49" t="inlineStr">
        <is>
          <t>N/M</t>
        </is>
      </c>
      <c r="H49" t="inlineStr">
        <is>
          <t>N/M</t>
        </is>
      </c>
      <c r="I49" t="inlineStr"/>
      <c r="J49" t="inlineStr">
        <is>
          <t>E — Elan agent</t>
        </is>
      </c>
      <c r="K49" t="inlineStr">
        <is>
          <t>$25K starting (Elan DP); declined 3rd Elan card  [creditboards #632782]</t>
        </is>
      </c>
      <c r="L49" t="inlineStr">
        <is>
          <t>~$79B</t>
        </is>
      </c>
      <c r="M49" t="inlineStr">
        <is>
          <t>—</t>
        </is>
      </c>
      <c r="N49" t="inlineStr">
        <is>
          <t>TX/MI/CA/FL/AZ; CA core market. NOTE: acquired by Fifth Third Bank (closed Feb 1, 2026) — program in transition</t>
        </is>
      </c>
      <c r="O49" t="inlineStr">
        <is>
          <t>Major CA (branches + lending)</t>
        </is>
      </c>
      <c r="P49" t="inlineStr">
        <is>
          <t>No</t>
        </is>
      </c>
      <c r="Q49" t="inlineStr">
        <is>
          <t>✅ Elan Mastercards (Business Cash 0% 12cyc; Smart Business Rewards $95 after yr1)</t>
        </is>
      </c>
      <c r="R49" s="6" t="inlineStr">
        <is>
          <t>Elan</t>
        </is>
      </c>
      <c r="S49" t="inlineStr">
        <is>
          <t>Online</t>
        </is>
      </c>
      <c r="T49" t="inlineStr">
        <is>
          <t>Online — apply at https://branchoffer.com/11t1/smart-business-rewards</t>
        </is>
      </c>
      <c r="U49" t="inlineStr">
        <is>
          <t>https://www.comerica.com/small-business/banking-and-services/business-credit-cards.html</t>
        </is>
      </c>
      <c r="V49" t="inlineStr">
        <is>
          <t>https://branchoffer.com/11t1/smart-business-rewards</t>
        </is>
      </c>
      <c r="W49" t="inlineStr">
        <is>
          <t>TransUnion-lean (Elan; varies EX/EQ)</t>
        </is>
      </c>
      <c r="X49" t="inlineStr">
        <is>
          <t>Personal: only on default. Business: SBFE</t>
        </is>
      </c>
      <c r="Y49" t="inlineStr">
        <is>
          <t>Elan platform. Comerica DP: $25K starting limit. Declined on 3rd Elan card ('sufficient available credit'); Elan rep says no hard cap (cited a customer w/ 13 Elan accounts). creditboards.com #632782 / myfico.com #6478775</t>
        </is>
      </c>
      <c r="Z49" t="inlineStr">
        <is>
          <t>3</t>
        </is>
      </c>
      <c r="AA49" t="inlineStr">
        <is>
          <t>PG yes; NO tax returns</t>
        </is>
      </c>
      <c r="AB49" t="inlineStr">
        <is>
          <t>None (commercial LOC/SBA doc-based)</t>
        </is>
      </c>
      <c r="AC49" t="inlineStr">
        <is>
          <t>N/M (relationship path)</t>
        </is>
      </c>
      <c r="AD49" t="inlineStr">
        <is>
          <t>No-doc 0% card — apply online (Elan)</t>
        </is>
      </c>
      <c r="AE49" t="inlineStr">
        <is>
          <t>Mastercard Business Platinum, Real Rewards, Rewards PLUS, Smart Business Rewards; + Visa Secured</t>
        </is>
      </c>
      <c r="AF49" t="inlineStr">
        <is>
          <t>National — major CA market since 1983</t>
        </is>
      </c>
      <c r="AG49" t="inlineStr">
        <is>
          <t>Dallas, TX</t>
        </is>
      </c>
      <c r="AH49" t="inlineStr">
        <is>
          <t>Natl</t>
        </is>
      </c>
      <c r="AI49" t="inlineStr">
        <is>
          <t>HIGH issuer=Elan (NOT self)/PG/personal-default-only; MED Comerica-branded terms; flag Fifth Third acquisition. 2026-05-28</t>
        </is>
      </c>
      <c r="AJ49" t="inlineStr">
        <is>
          <t>comerica.com business credit cards; online1.elancard.com COMERICA_CLIENT_SEC.pdf; creditboards.com #632782; 53.com (acquisition)</t>
        </is>
      </c>
    </row>
    <row r="50">
      <c r="A50" t="inlineStr">
        <is>
          <t>49</t>
        </is>
      </c>
      <c r="B50" t="inlineStr">
        <is>
          <t>48</t>
        </is>
      </c>
      <c r="C50" s="2" t="inlineStr">
        <is>
          <t>Cathay Bank</t>
        </is>
      </c>
      <c r="D50" s="15" t="inlineStr">
        <is>
          <t>CA Bank</t>
        </is>
      </c>
      <c r="E50" t="inlineStr">
        <is>
          <t>★ Core SoCal</t>
        </is>
      </c>
      <c r="F50" s="4" t="inlineStr">
        <is>
          <t>3/4  ✗SUW ✓Onl ✓SoCal ✓Card</t>
        </is>
      </c>
      <c r="G50" t="inlineStr">
        <is>
          <t>N/M</t>
        </is>
      </c>
      <c r="H50" t="inlineStr">
        <is>
          <t>N/M</t>
        </is>
      </c>
      <c r="I50" t="inlineStr"/>
      <c r="J50" t="inlineStr">
        <is>
          <t>E — Elan agent</t>
        </is>
      </c>
      <c r="K50" t="inlineStr">
        <is>
          <t>Elan platform: ~$3K–$10K start, to ~$20K strong files (~$500 seen at 800+ FICO)  [myFICO #6658960]</t>
        </is>
      </c>
      <c r="L50" t="inlineStr">
        <is>
          <t>$24.04B</t>
        </is>
      </c>
      <c r="M50" t="inlineStr">
        <is>
          <t>$20.70B</t>
        </is>
      </c>
      <c r="N50" t="inlineStr">
        <is>
          <t>~43 branches/37 cities; LA/SGV, SF Bay, Orange County</t>
        </is>
      </c>
      <c r="O50" t="inlineStr">
        <is>
          <t>CA-HQ'd</t>
        </is>
      </c>
      <c r="P50" t="inlineStr">
        <is>
          <t>No</t>
        </is>
      </c>
      <c r="Q50" t="inlineStr">
        <is>
          <t>✅ 6-mo intro; 1% cash back; APR N/M</t>
        </is>
      </c>
      <c r="R50" s="6" t="inlineStr">
        <is>
          <t>Elan</t>
        </is>
      </c>
      <c r="S50" t="inlineStr">
        <is>
          <t>Online</t>
        </is>
      </c>
      <c r="T50" t="inlineStr">
        <is>
          <t>Online — apply at https://www.mycardapply.com/synindex/?ecdma-lc=36055&amp;ecid=OTHE_25940#business</t>
        </is>
      </c>
      <c r="U50" t="inlineStr">
        <is>
          <t>https://www.cathaybank.com</t>
        </is>
      </c>
      <c r="V50" t="inlineStr">
        <is>
          <t>https://www.mycardapply.com/synindex/?ecdma-lc=36055&amp;ecid=OTHE_25940#business</t>
        </is>
      </c>
      <c r="W50" t="inlineStr">
        <is>
          <t>TransUnion (varies EX/EQ)</t>
        </is>
      </c>
      <c r="X50" t="inlineStr">
        <is>
          <t>D&amp;B; not personal in good standing</t>
        </is>
      </c>
      <c r="Y5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50" t="inlineStr">
        <is>
          <t>3</t>
        </is>
      </c>
      <c r="AA50" t="inlineStr">
        <is>
          <t>PG yes; no tax returns (&lt;$25K)</t>
        </is>
      </c>
      <c r="AB50" t="inlineStr">
        <is>
          <t>Smart Loans (simplified-doc LOC) $5K-$250K by time-in-biz</t>
        </is>
      </c>
      <c r="AC50" t="inlineStr">
        <is>
          <t>N/M (not required to apply)</t>
        </is>
      </c>
      <c r="AD50" t="inlineStr">
        <is>
          <t>Smart Loans: simplified-doc LOC (Elan)</t>
        </is>
      </c>
      <c r="AE50" t="inlineStr">
        <is>
          <t>MC Business Platinum; MC Business Platinum Rewards (1% cash back)</t>
        </is>
      </c>
      <c r="AF50" t="inlineStr">
        <is>
          <t>SoCal / LA</t>
        </is>
      </c>
      <c r="AG50" t="inlineStr">
        <is>
          <t>Los Angeles</t>
        </is>
      </c>
      <c r="AH50" t="inlineStr">
        <is>
          <t>5</t>
        </is>
      </c>
      <c r="AI50" t="inlineStr">
        <is>
          <t>HIGH relevance/issuer/online/6mo-intro/1%; N/M APR, AF. 2026-05-28</t>
        </is>
      </c>
      <c r="AJ50" t="inlineStr">
        <is>
          <t>cathaybank.com/business/credit-cards; mycardapply.com; cathaybank.com smart-loans</t>
        </is>
      </c>
    </row>
    <row r="51">
      <c r="A51" t="inlineStr">
        <is>
          <t>50</t>
        </is>
      </c>
      <c r="B51" t="inlineStr">
        <is>
          <t>49</t>
        </is>
      </c>
      <c r="C51" s="12" t="inlineStr">
        <is>
          <t>Patelco Credit Union</t>
        </is>
      </c>
      <c r="D51" s="11" t="inlineStr">
        <is>
          <t>Credit Union</t>
        </is>
      </c>
      <c r="E51" t="inlineStr">
        <is>
          <t>Other — NorCal</t>
        </is>
      </c>
      <c r="F51" s="13" t="inlineStr">
        <is>
          <t>2/4  ✓SUW ✗Onl ✗SoCal ✓Card</t>
        </is>
      </c>
      <c r="G51" t="inlineStr">
        <is>
          <t>N/M</t>
        </is>
      </c>
      <c r="H51" t="inlineStr">
        <is>
          <t>N/M</t>
        </is>
      </c>
      <c r="I51" t="inlineStr"/>
      <c r="J51" t="inlineStr">
        <is>
          <t>B — Self-UW (in branch)</t>
        </is>
      </c>
      <c r="K51" t="inlineStr">
        <is>
          <t>N/M (no bank-specific data point found)</t>
        </is>
      </c>
      <c r="L51" t="inlineStr">
        <is>
          <t>~$9.52B</t>
        </is>
      </c>
      <c r="M51" t="inlineStr">
        <is>
          <t>—</t>
        </is>
      </c>
      <c r="N51" t="inlineStr">
        <is>
          <t>16 NorCal/Central counties + nationwide via FFA; ~35 branches</t>
        </is>
      </c>
      <c r="O51" t="inlineStr">
        <is>
          <t>CA-HQ'd</t>
        </is>
      </c>
      <c r="P51" t="inlineStr">
        <is>
          <t>Yes</t>
        </is>
      </c>
      <c r="Q51" t="inlineStr">
        <is>
          <t>✅ Mastercard Business Rewards: NO 0% intro; 10.65-20.15% (LOW); $0 AF; 1.5pts. 2yr-in-business required</t>
        </is>
      </c>
      <c r="R51" s="7" t="inlineStr">
        <is>
          <t>Self (Patelco Credit Union)</t>
        </is>
      </c>
      <c r="S51" t="inlineStr">
        <is>
          <t>Assisted</t>
        </is>
      </c>
      <c r="T51" t="inlineStr">
        <is>
          <t>Virtual Branch (staff-assisted)</t>
        </is>
      </c>
      <c r="U51" t="inlineStr">
        <is>
          <t>https://www.patelco.org/business-banking/business-rewards-card</t>
        </is>
      </c>
      <c r="V51" t="inlineStr">
        <is>
          <t>https://www.patelco.org/business-banking/business-rewards-card</t>
        </is>
      </c>
      <c r="W51" t="inlineStr">
        <is>
          <t>Experian (personal cards; business INFERENCE)</t>
        </is>
      </c>
      <c r="X51" t="inlineStr">
        <is>
          <t>⚠️ Personal: ALWAYS (reports to BOTH personal + business credit). Business: D&amp;B/EX-Biz/EQ-Biz</t>
        </is>
      </c>
      <c r="Y51" t="inlineStr">
        <is>
          <t>Apply via Virtual Branch (staff-assisted). 2yr-business required. Personal-card DPs: $25K approvals, Experian, generous CLIs. Business-card DPs N/M.</t>
        </is>
      </c>
      <c r="Z51" t="inlineStr">
        <is>
          <t>0</t>
        </is>
      </c>
      <c r="AA51" t="inlineStr">
        <is>
          <t>PG yes (INFERENCE); no tax returns</t>
        </is>
      </c>
      <c r="AB51" t="inlineStr">
        <is>
          <t>None. Card reports to personal credit (weak for keep-off-personal). Low APR is the draw.</t>
        </is>
      </c>
      <c r="AC51" t="inlineStr">
        <is>
          <t>Membership required (16 NorCal counties + family; OPEN nationwide via Financial Fitness Assoc, Patelco pays yr1)</t>
        </is>
      </c>
      <c r="AD51" t="inlineStr">
        <is>
          <t>Low APR but reports to personal</t>
        </is>
      </c>
      <c r="AE51" t="inlineStr">
        <is>
          <t>Patelco Mastercard Business Rewards (low-rate, 1.5 pts)</t>
        </is>
      </c>
      <c r="AF51" t="inlineStr">
        <is>
          <t>NorCal / SF Bay (16-county FOM)</t>
        </is>
      </c>
      <c r="AG51" t="inlineStr">
        <is>
          <t>Dublin, CA</t>
        </is>
      </c>
      <c r="AH51" t="inlineStr">
        <is>
          <t>CU</t>
        </is>
      </c>
      <c r="AI51" t="inlineStr">
        <is>
          <t>HIGH self/low-APR/membership; ⚠️ reports to PERSONAL credit always. 2026-05-28</t>
        </is>
      </c>
      <c r="AJ51" t="inlineStr">
        <is>
          <t>patelco.org/business-banking/business-rewards-card + T&amp;C PDF; /how-do-business-credit-cards-work (personal+business reporting); /become-a-member (FFA); myfico.com #6585690</t>
        </is>
      </c>
    </row>
    <row r="52">
      <c r="A52" t="inlineStr">
        <is>
          <t>51</t>
        </is>
      </c>
      <c r="B52" t="inlineStr">
        <is>
          <t>50</t>
        </is>
      </c>
      <c r="C52" s="12" t="inlineStr">
        <is>
          <t>SAFE Credit Union</t>
        </is>
      </c>
      <c r="D52" s="11" t="inlineStr">
        <is>
          <t>Credit Union</t>
        </is>
      </c>
      <c r="E52" t="inlineStr">
        <is>
          <t>Other — NorCal</t>
        </is>
      </c>
      <c r="F52" s="13" t="inlineStr">
        <is>
          <t>2/4  ✓SUW ✗Onl ✗SoCal ✓Card</t>
        </is>
      </c>
      <c r="G52" t="inlineStr">
        <is>
          <t>N/M</t>
        </is>
      </c>
      <c r="H52" t="inlineStr">
        <is>
          <t>N/M</t>
        </is>
      </c>
      <c r="I52" t="inlineStr"/>
      <c r="J52" t="inlineStr">
        <is>
          <t>B — Self-UW (in branch)</t>
        </is>
      </c>
      <c r="K52" t="inlineStr">
        <is>
          <t>N/M (no bank-specific data point found)</t>
        </is>
      </c>
      <c r="L52" t="inlineStr">
        <is>
          <t>~$5B</t>
        </is>
      </c>
      <c r="M52" t="inlineStr">
        <is>
          <t>—</t>
        </is>
      </c>
      <c r="N52" t="inlineStr">
        <is>
          <t>13 NorCal counties + family / Aerospace Museum path; ~20 branches</t>
        </is>
      </c>
      <c r="O52" t="inlineStr">
        <is>
          <t>CA-HQ'd</t>
        </is>
      </c>
      <c r="P52" t="inlineStr">
        <is>
          <t>Yes</t>
        </is>
      </c>
      <c r="Q52" t="inlineStr">
        <is>
          <t>✅ SAFE Visa Business: 0% 12mo BT promo; 13.40-19.40%; $0 AF; ScoreCard points</t>
        </is>
      </c>
      <c r="R52" s="7" t="inlineStr">
        <is>
          <t>Self (SAFE Credit Union)</t>
        </is>
      </c>
      <c r="S52" t="inlineStr">
        <is>
          <t>In-person</t>
        </is>
      </c>
      <c r="T52" t="inlineStr">
        <is>
          <t>Phone appointment (no online form)</t>
        </is>
      </c>
      <c r="U52" t="inlineStr">
        <is>
          <t>https://www.safecu.org/business/grow-your-business/visa-business</t>
        </is>
      </c>
      <c r="V52" t="inlineStr">
        <is>
          <t>https://www.safecu.org/business/grow-your-business/visa-business</t>
        </is>
      </c>
      <c r="W52" t="inlineStr">
        <is>
          <t>N/M business (TransUnion for personal/membership)</t>
        </is>
      </c>
      <c r="X52" t="inlineStr">
        <is>
          <t>Negative/default reporting (personal); business bureaus N/M</t>
        </is>
      </c>
      <c r="Y52" t="inlineStr">
        <is>
          <t>Apply via phone appointment (no online form). PG explicit; financials on request (Sec 23). Membership-gated.</t>
        </is>
      </c>
      <c r="Z52" t="inlineStr">
        <is>
          <t>2</t>
        </is>
      </c>
      <c r="AA52" t="inlineStr">
        <is>
          <t>PG YES (explicit guaranty) + financials on request — NOT fully no-doc</t>
        </is>
      </c>
      <c r="AB52" t="inlineStr">
        <is>
          <t>None (PG + financials-on-request clause)</t>
        </is>
      </c>
      <c r="AC52" t="inlineStr">
        <is>
          <t>Membership required (13 NorCal counties + family; Aerospace Museum 'anyone can join' path)</t>
        </is>
      </c>
      <c r="AD52" t="inlineStr">
        <is>
          <t>No-doc card — apply in branch</t>
        </is>
      </c>
      <c r="AE52" t="inlineStr">
        <is>
          <t>SAFE Visa Business Credit Card</t>
        </is>
      </c>
      <c r="AF52" t="inlineStr">
        <is>
          <t>NorCal / Sacramento (13-county FOM)</t>
        </is>
      </c>
      <c r="AG52" t="inlineStr">
        <is>
          <t>Folsom, CA (Sacramento metro)</t>
        </is>
      </c>
      <c r="AH52" t="inlineStr">
        <is>
          <t>CU</t>
        </is>
      </c>
      <c r="AI52" t="inlineStr">
        <is>
          <t>HIGH self/terms/PG-explicit/membership; MED 0%-BT-promo, HP. Financials-on-request = not pure no-doc. 2026-05-28</t>
        </is>
      </c>
      <c r="AJ52" t="inlineStr">
        <is>
          <t>safecu.org/business/grow-your-business/visa-business + Business Credit Card Agreement PDF (PG, Sec 23 financials); /about/join-safe; dfpi.ca.gov</t>
        </is>
      </c>
    </row>
    <row r="53">
      <c r="A53" t="inlineStr">
        <is>
          <t>52</t>
        </is>
      </c>
      <c r="B53" t="inlineStr">
        <is>
          <t>51</t>
        </is>
      </c>
      <c r="C53" s="2" t="inlineStr">
        <is>
          <t>Icon Business Bank</t>
        </is>
      </c>
      <c r="D53" s="15" t="inlineStr">
        <is>
          <t>CA Bank</t>
        </is>
      </c>
      <c r="E53" t="inlineStr">
        <is>
          <t>★ Core SoCal</t>
        </is>
      </c>
      <c r="F53" s="4" t="inlineStr">
        <is>
          <t>3/4  ✗SUW ✓Onl ✓SoCal ✓Card</t>
        </is>
      </c>
      <c r="G53" t="inlineStr">
        <is>
          <t>N/M</t>
        </is>
      </c>
      <c r="H53" t="inlineStr">
        <is>
          <t>N/M</t>
        </is>
      </c>
      <c r="I53" t="inlineStr"/>
      <c r="J53" t="inlineStr">
        <is>
          <t>D — TCM agent</t>
        </is>
      </c>
      <c r="K53" t="inlineStr">
        <is>
          <t>N/M (TCM; conservative, Experian-driven)</t>
        </is>
      </c>
      <c r="L53" t="inlineStr">
        <is>
          <t>$0.16B</t>
        </is>
      </c>
      <c r="M53" t="inlineStr">
        <is>
          <t>N/M</t>
        </is>
      </c>
      <c r="N53" t="inlineStr">
        <is>
          <t>Riverside HQ (IE) + Santa Ana (OC); de novo est Aug 2023; Icon Bcorp</t>
        </is>
      </c>
      <c r="O53" t="inlineStr">
        <is>
          <t>CA-HQ'd</t>
        </is>
      </c>
      <c r="P53" t="inlineStr">
        <is>
          <t>No</t>
        </is>
      </c>
      <c r="Q53" t="inlineStr">
        <is>
          <t>✅ TCM business + personal Visa; terms N/M; $0/low AF likely</t>
        </is>
      </c>
      <c r="R53" s="20" t="inlineStr">
        <is>
          <t>TCM Bank, N.A.</t>
        </is>
      </c>
      <c r="S53" t="inlineStr">
        <is>
          <t>Online</t>
        </is>
      </c>
      <c r="T53" t="inlineStr">
        <is>
          <t>Online — apply at https://www.mycommunitycc.com/lSp9OsZX4zOr</t>
        </is>
      </c>
      <c r="U53" t="inlineStr">
        <is>
          <t>https://www.iconbusinessbank.com</t>
        </is>
      </c>
      <c r="V53" t="inlineStr">
        <is>
          <t>https://www.mycommunitycc.com/lSp9OsZX4zOr</t>
        </is>
      </c>
      <c r="W53" t="inlineStr">
        <is>
          <t>Experian (TCM)</t>
        </is>
      </c>
      <c r="X53" t="inlineStr">
        <is>
          <t>N/M (TCM; biz bureaus/SBFE typical)</t>
        </is>
      </c>
      <c r="Y53" t="inlineStr">
        <is>
          <t>TCM Agent Program (mycommunitycc.com): Experian pull; SBA-eligible only; PG-based. myfico.com #6303273</t>
        </is>
      </c>
      <c r="Z53" t="inlineStr">
        <is>
          <t>3</t>
        </is>
      </c>
      <c r="AA53" t="inlineStr">
        <is>
          <t>PG likely; SBA-eligible only</t>
        </is>
      </c>
      <c r="AB53" t="inlineStr">
        <is>
          <t>None (unsecured LOC/term/ABL/equipment/CRE/CELOC/SBA 504/7(a) full-doc)</t>
        </is>
      </c>
      <c r="AC53" t="inlineStr">
        <is>
          <t>N/M</t>
        </is>
      </c>
      <c r="AD53" t="inlineStr">
        <is>
          <t>★ No-doc card — apply online</t>
        </is>
      </c>
      <c r="AE53" t="inlineStr">
        <is>
          <t>TCM business Visa (via mycommunitycc.com; SKUs N/M)</t>
        </is>
      </c>
      <c r="AF53" t="inlineStr">
        <is>
          <t>SoCal / Inland Empire</t>
        </is>
      </c>
      <c r="AG53" t="inlineStr">
        <is>
          <t>Riverside</t>
        </is>
      </c>
      <c r="AH53" t="inlineStr">
        <is>
          <t>109</t>
        </is>
      </c>
      <c r="AI53" t="inlineStr">
        <is>
          <t>MED-HIGH issuer=TCM (mycommunitycc.com portal)/online/Inland Empire; N/M terms, HP, reports. 2026-05-29</t>
        </is>
      </c>
      <c r="AJ53" t="inlineStr">
        <is>
          <t>iconbusinessbank.com (homepage credit-cards link); mycommunitycc.com/lSp9OsZX4zOr; icba.org TCM; FDIC cert 59314</t>
        </is>
      </c>
    </row>
    <row r="54">
      <c r="A54" t="inlineStr">
        <is>
          <t>53</t>
        </is>
      </c>
      <c r="B54" t="inlineStr">
        <is>
          <t>52</t>
        </is>
      </c>
      <c r="C54" s="2" t="inlineStr">
        <is>
          <t>Citizens Business Bank</t>
        </is>
      </c>
      <c r="D54" s="15" t="inlineStr">
        <is>
          <t>CA Bank</t>
        </is>
      </c>
      <c r="E54" t="inlineStr">
        <is>
          <t>★ Core SoCal</t>
        </is>
      </c>
      <c r="F54" s="4" t="inlineStr">
        <is>
          <t>3/4  ✗SUW ✓Onl ✓SoCal ✓Card</t>
        </is>
      </c>
      <c r="G54" t="inlineStr">
        <is>
          <t>N/M</t>
        </is>
      </c>
      <c r="H54" t="inlineStr">
        <is>
          <t>N/M</t>
        </is>
      </c>
      <c r="I54" t="inlineStr"/>
      <c r="J54" t="inlineStr">
        <is>
          <t>E — Elan agent</t>
        </is>
      </c>
      <c r="K54" t="inlineStr">
        <is>
          <t>Elan platform: ~$3K–$10K start, to ~$20K strong files (~$500 seen at 800+ FICO)  [myFICO #6658960]</t>
        </is>
      </c>
      <c r="L54" t="inlineStr">
        <is>
          <t>$15.51B</t>
        </is>
      </c>
      <c r="M54" t="inlineStr">
        <is>
          <t>$12.00B</t>
        </is>
      </c>
      <c r="N54" t="inlineStr">
        <is>
          <t>CA-only; ~64 branches/57 cities statewide</t>
        </is>
      </c>
      <c r="O54" t="inlineStr">
        <is>
          <t>CA-HQ'd</t>
        </is>
      </c>
      <c r="P54" t="inlineStr">
        <is>
          <t>No</t>
        </is>
      </c>
      <c r="Q54" t="inlineStr">
        <is>
          <t>✅ 0% 12 cycles → 17.24-26.24%; $0 AF</t>
        </is>
      </c>
      <c r="R54" s="6" t="inlineStr">
        <is>
          <t>Elan</t>
        </is>
      </c>
      <c r="S54" t="inlineStr">
        <is>
          <t>Online</t>
        </is>
      </c>
      <c r="T54" t="inlineStr">
        <is>
          <t>Online — apply at https://creditcardlearnmore.com/11t3/index?ecdma-lc=26893&amp;ecid=OTHE_25940#business</t>
        </is>
      </c>
      <c r="U54" t="inlineStr">
        <is>
          <t>https://www.cbbank.com</t>
        </is>
      </c>
      <c r="V54" t="inlineStr">
        <is>
          <t>https://creditcardlearnmore.com/11t3/index?ecdma-lc=26893&amp;ecid=OTHE_25940#business</t>
        </is>
      </c>
      <c r="W54" t="inlineStr">
        <is>
          <t>TransUnion (varies EX/EQ)</t>
        </is>
      </c>
      <c r="X54" t="inlineStr">
        <is>
          <t>D&amp;B; not personal in good standing</t>
        </is>
      </c>
      <c r="Y54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54" t="inlineStr">
        <is>
          <t>3</t>
        </is>
      </c>
      <c r="AA54" t="inlineStr">
        <is>
          <t>PG yes; no tax returns (&lt;$25K)</t>
        </is>
      </c>
      <c r="AB54" t="inlineStr">
        <is>
          <t>None (SBA/LOC need biz tax returns)</t>
        </is>
      </c>
      <c r="AC54" t="inlineStr">
        <is>
          <t>No</t>
        </is>
      </c>
      <c r="AD54" t="inlineStr">
        <is>
          <t>No-doc 0% card — apply online (Elan)</t>
        </is>
      </c>
      <c r="AE54" t="inlineStr">
        <is>
          <t>'Mastercard Business Card' = Elan suite (Cash Preferred/Smart/Real Rewards)</t>
        </is>
      </c>
      <c r="AF54" t="inlineStr">
        <is>
          <t>SoCal / Inland Empire</t>
        </is>
      </c>
      <c r="AG54" t="inlineStr">
        <is>
          <t>Ontario</t>
        </is>
      </c>
      <c r="AH54" t="inlineStr">
        <is>
          <t>8</t>
        </is>
      </c>
      <c r="AI54" t="inlineStr">
        <is>
          <t>HIGH relevance/issuer/online/PG/footprint. 2026-05-28</t>
        </is>
      </c>
      <c r="AJ54" t="inlineStr">
        <is>
          <t>cbbank.com/business-cards; creditcardlearnmore.com; cbbank.com/sba-lending</t>
        </is>
      </c>
    </row>
    <row r="55">
      <c r="A55" t="inlineStr">
        <is>
          <t>54</t>
        </is>
      </c>
      <c r="B55" t="inlineStr">
        <is>
          <t>53</t>
        </is>
      </c>
      <c r="C55" s="12" t="inlineStr">
        <is>
          <t>Community West Bank</t>
        </is>
      </c>
      <c r="D55" s="15" t="inlineStr">
        <is>
          <t>CA Bank</t>
        </is>
      </c>
      <c r="E55" t="inlineStr">
        <is>
          <t>Other — Central Valley</t>
        </is>
      </c>
      <c r="F55" s="13" t="inlineStr">
        <is>
          <t>2/4  ✗SUW ✓Onl ✗SoCal ✓Card</t>
        </is>
      </c>
      <c r="G55" t="inlineStr">
        <is>
          <t>N/M</t>
        </is>
      </c>
      <c r="H55" t="inlineStr">
        <is>
          <t>N/M</t>
        </is>
      </c>
      <c r="I55" t="inlineStr"/>
      <c r="J55" t="inlineStr">
        <is>
          <t>C — Other agent card</t>
        </is>
      </c>
      <c r="K55" t="inlineStr">
        <is>
          <t>TIB: $10K+ needs financials (flat-priced, not FICO-risk)  [myFICO #5028638]</t>
        </is>
      </c>
      <c r="L55" t="inlineStr">
        <is>
          <t>$3.70B</t>
        </is>
      </c>
      <c r="M55" t="inlineStr">
        <is>
          <t>$3.15B</t>
        </is>
      </c>
      <c r="N55" t="inlineStr">
        <is>
          <t>Central Valley + Central Coast (Central Valley Community Bancorp merger 2024)</t>
        </is>
      </c>
      <c r="O55" t="inlineStr">
        <is>
          <t>CA-HQ'd</t>
        </is>
      </c>
      <c r="P55" t="inlineStr">
        <is>
          <t>No</t>
        </is>
      </c>
      <c r="Q55" t="inlineStr">
        <is>
          <t>✅ no 0%; ~19.5% (Prime+10.99%); $0/$49 AF</t>
        </is>
      </c>
      <c r="R55" s="16" t="inlineStr">
        <is>
          <t>TIB</t>
        </is>
      </c>
      <c r="S55" t="inlineStr">
        <is>
          <t>Online</t>
        </is>
      </c>
      <c r="T55" t="inlineStr">
        <is>
          <t>Online — apply at https://www.cardaccount.net/application/f87a3255c0/business/new</t>
        </is>
      </c>
      <c r="U55" t="inlineStr">
        <is>
          <t>https://www.communitywestbank.com</t>
        </is>
      </c>
      <c r="V55" t="inlineStr">
        <is>
          <t>https://www.cardaccount.net/application/f87a3255c0/business/new</t>
        </is>
      </c>
      <c r="W55" t="inlineStr">
        <is>
          <t>Experian</t>
        </is>
      </c>
      <c r="X55" t="inlineStr">
        <is>
          <t>N/M (TIB not on DoC list)</t>
        </is>
      </c>
      <c r="Y55" t="inlineStr">
        <is>
          <t>TIB: pulls Experian incl. CLIs (CLI=hard pull); $10K+ needs financials; flat pricing (not FICO-risk-priced). myfico.com #5028638</t>
        </is>
      </c>
      <c r="Z55" t="inlineStr">
        <is>
          <t>3</t>
        </is>
      </c>
      <c r="AA55" t="inlineStr">
        <is>
          <t>PG yes; financials required $10K+ (sub-$10K light-doc)</t>
        </is>
      </c>
      <c r="AB55" t="inlineStr">
        <is>
          <t>N/M (TIB card &lt;$10K is the light-doc path)</t>
        </is>
      </c>
      <c r="AC55" t="inlineStr">
        <is>
          <t>N/M</t>
        </is>
      </c>
      <c r="AD55" t="inlineStr">
        <is>
          <t>★ No-doc card — apply online</t>
        </is>
      </c>
      <c r="AE55" t="inlineStr">
        <is>
          <t>Standard Business Card ($0 AF); Preferred Points Business Rewards ($49 AF)</t>
        </is>
      </c>
      <c r="AF55" t="inlineStr">
        <is>
          <t>Central Valley / Central Coast</t>
        </is>
      </c>
      <c r="AG55" t="inlineStr">
        <is>
          <t>Fresno</t>
        </is>
      </c>
      <c r="AH55" t="inlineStr">
        <is>
          <t>31</t>
        </is>
      </c>
      <c r="AI55" t="inlineStr">
        <is>
          <t>HIGH products/issuer (TIB)/APR/fees/HP=Experian; N/M reports, deposit. 2026-05-28</t>
        </is>
      </c>
      <c r="AJ55" t="inlineStr">
        <is>
          <t>communitywestbank.com/business-credit-cards; cardaccount.net/application/f87a3255c0; myfico.com #5028638</t>
        </is>
      </c>
    </row>
    <row r="56">
      <c r="A56" t="inlineStr">
        <is>
          <t>55</t>
        </is>
      </c>
      <c r="B56" t="inlineStr">
        <is>
          <t>54</t>
        </is>
      </c>
      <c r="C56" s="2" t="inlineStr">
        <is>
          <t>Farmers &amp; Merchants Bank of Long Beach</t>
        </is>
      </c>
      <c r="D56" s="15" t="inlineStr">
        <is>
          <t>CA Bank</t>
        </is>
      </c>
      <c r="E56" t="inlineStr">
        <is>
          <t>★ Core SoCal</t>
        </is>
      </c>
      <c r="F56" s="4" t="inlineStr">
        <is>
          <t>3/4  ✗SUW ✓Onl ✓SoCal ✓Card</t>
        </is>
      </c>
      <c r="G56" t="inlineStr">
        <is>
          <t>N/M</t>
        </is>
      </c>
      <c r="H56" t="inlineStr">
        <is>
          <t>N/M</t>
        </is>
      </c>
      <c r="I56" t="inlineStr"/>
      <c r="J56" t="inlineStr">
        <is>
          <t>E — Elan agent</t>
        </is>
      </c>
      <c r="K56" t="inlineStr">
        <is>
          <t>Elan platform: ~$3K–$10K start, to ~$20K strong files (~$500 seen at 800+ FICO)  [myFICO #6658960]</t>
        </is>
      </c>
      <c r="L56" t="inlineStr">
        <is>
          <t>$11.86B</t>
        </is>
      </c>
      <c r="M56" t="inlineStr">
        <is>
          <t>$8.94B</t>
        </is>
      </c>
      <c r="N56" t="inlineStr">
        <is>
          <t>27 branches; Long Beach, Orange County, South Bay, Santa Barbara</t>
        </is>
      </c>
      <c r="O56" t="inlineStr">
        <is>
          <t>CA-HQ'd</t>
        </is>
      </c>
      <c r="P56" t="inlineStr">
        <is>
          <t>No</t>
        </is>
      </c>
      <c r="Q56" t="inlineStr">
        <is>
          <t>✅ 0% 12 cycles → 17.24-26.24%; $0 AF; $350 SUB</t>
        </is>
      </c>
      <c r="R56" s="6" t="inlineStr">
        <is>
          <t>Elan</t>
        </is>
      </c>
      <c r="S56" t="inlineStr">
        <is>
          <t>Online</t>
        </is>
      </c>
      <c r="T56" t="inlineStr">
        <is>
          <t>Online — apply at https://creditcardlearnmore.com/11t3/index?ecdma-lc=31463&amp;ecid=OTHE_25940</t>
        </is>
      </c>
      <c r="U56" t="inlineStr">
        <is>
          <t>https://www.fmb.com</t>
        </is>
      </c>
      <c r="V56" t="inlineStr">
        <is>
          <t>https://creditcardlearnmore.com/11t3/index?ecdma-lc=31463&amp;ecid=OTHE_25940</t>
        </is>
      </c>
      <c r="W56" t="inlineStr">
        <is>
          <t>TransUnion (varies EX/EQ)</t>
        </is>
      </c>
      <c r="X56" t="inlineStr">
        <is>
          <t>D&amp;B + SBFE (infer); not personal</t>
        </is>
      </c>
      <c r="Y5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56" t="inlineStr">
        <is>
          <t>3</t>
        </is>
      </c>
      <c r="AA56" t="inlineStr">
        <is>
          <t>PG yes; no tax returns (&lt;$25K)</t>
        </is>
      </c>
      <c r="AB56" t="inlineStr">
        <is>
          <t>None (CRE/C&amp;I/SBA full-doc)</t>
        </is>
      </c>
      <c r="AC56" t="inlineStr">
        <is>
          <t>No</t>
        </is>
      </c>
      <c r="AD56" t="inlineStr">
        <is>
          <t>No-doc 0% card — apply online (Elan)</t>
        </is>
      </c>
      <c r="AE56" t="inlineStr">
        <is>
          <t>6 Elan business Visa: Cash Preferred, Real Rewards, Zero+, Smart Signature, CommUNITY, Company</t>
        </is>
      </c>
      <c r="AF56" t="inlineStr">
        <is>
          <t>SoCal / LA-Long Beach</t>
        </is>
      </c>
      <c r="AG56" t="inlineStr">
        <is>
          <t>Long Beach</t>
        </is>
      </c>
      <c r="AH56" t="inlineStr">
        <is>
          <t>10</t>
        </is>
      </c>
      <c r="AI56" t="inlineStr">
        <is>
          <t>HIGH products/issuer/online/terms. Not fandm.bank (ServisFirst). 2026-05-28</t>
        </is>
      </c>
      <c r="AJ56" t="inlineStr">
        <is>
          <t>fmb.com/business/business-credit-card; creditcardlearnmore.com; cdwest.fmb.com/Locations</t>
        </is>
      </c>
    </row>
    <row r="57">
      <c r="A57" t="inlineStr">
        <is>
          <t>56</t>
        </is>
      </c>
      <c r="B57" t="inlineStr">
        <is>
          <t>55</t>
        </is>
      </c>
      <c r="C57" s="12" t="inlineStr">
        <is>
          <t>Tri Counties Bank</t>
        </is>
      </c>
      <c r="D57" s="15" t="inlineStr">
        <is>
          <t>CA Bank</t>
        </is>
      </c>
      <c r="E57" t="inlineStr">
        <is>
          <t>Other — NorCal</t>
        </is>
      </c>
      <c r="F57" s="13" t="inlineStr">
        <is>
          <t>2/4  ✓SUW ✗Onl ✗SoCal ✓Card</t>
        </is>
      </c>
      <c r="G57" t="inlineStr">
        <is>
          <t>N/M</t>
        </is>
      </c>
      <c r="H57" t="inlineStr">
        <is>
          <t>N/M</t>
        </is>
      </c>
      <c r="I57" t="inlineStr"/>
      <c r="J57" t="inlineStr">
        <is>
          <t>B — Self-UW (in branch)</t>
        </is>
      </c>
      <c r="K57" t="inlineStr">
        <is>
          <t>N/M (no bank-specific data point found)</t>
        </is>
      </c>
      <c r="L57" t="inlineStr">
        <is>
          <t>$9.95B</t>
        </is>
      </c>
      <c r="M57" t="inlineStr">
        <is>
          <t>$8.41B</t>
        </is>
      </c>
      <c r="N57" t="inlineStr">
        <is>
          <t>CA-only; NorCal/Central + SoCal</t>
        </is>
      </c>
      <c r="O57" t="inlineStr">
        <is>
          <t>CA-HQ'd</t>
        </is>
      </c>
      <c r="P57" t="inlineStr">
        <is>
          <t>Yes</t>
        </is>
      </c>
      <c r="Q57" t="inlineStr">
        <is>
          <t>✅ no 0%; APR N/M; $0 AF; 1.5% cash back (Platinum)</t>
        </is>
      </c>
      <c r="R57" s="7" t="inlineStr">
        <is>
          <t>Self (Tri Counties Bank, N.A.)</t>
        </is>
      </c>
      <c r="S57" t="inlineStr">
        <is>
          <t>In-person</t>
        </is>
      </c>
      <c r="T57" t="inlineStr">
        <is>
          <t>Paper form BCC-301 (in-branch)</t>
        </is>
      </c>
      <c r="U57" t="inlineStr">
        <is>
          <t>https://www.tcbk.com</t>
        </is>
      </c>
      <c r="V57" t="inlineStr">
        <is>
          <t>https://www.tcbk.com/business/credit-cards</t>
        </is>
      </c>
      <c r="W57" t="inlineStr">
        <is>
          <t>N/M (personal pull via PG; bureau not named)</t>
        </is>
      </c>
      <c r="X57" t="inlineStr">
        <is>
          <t>N/M ('may report'; bureaus unnamed)</t>
        </is>
      </c>
      <c r="Y57" t="inlineStr">
        <is>
          <t>N/M — zero forum data points (small self-issued program)</t>
        </is>
      </c>
      <c r="Z57" t="inlineStr">
        <is>
          <t>2</t>
        </is>
      </c>
      <c r="AA57" t="inlineStr">
        <is>
          <t>PG yes (mandatory guarantor); no tax returns at app (self-reported revenue)</t>
        </is>
      </c>
      <c r="AB57" t="inlineStr">
        <is>
          <t>None truly no-doc (LOC needs 3yr profitability)</t>
        </is>
      </c>
      <c r="AC57" t="inlineStr">
        <is>
          <t>N/M</t>
        </is>
      </c>
      <c r="AD57" t="inlineStr">
        <is>
          <t>No-doc card — apply in branch</t>
        </is>
      </c>
      <c r="AE57" t="inlineStr">
        <is>
          <t>Visa Business Card; Visa Business Platinum. (Personal cards = TCM — don't conflate)</t>
        </is>
      </c>
      <c r="AF57" t="inlineStr">
        <is>
          <t>NorCal / Sacramento</t>
        </is>
      </c>
      <c r="AG57" t="inlineStr">
        <is>
          <t>Chico</t>
        </is>
      </c>
      <c r="AH57" t="inlineStr">
        <is>
          <t>11</t>
        </is>
      </c>
      <c r="AI57" t="inlineStr">
        <is>
          <t>MED-HIGH self-issuer/products/PG/no-tax; N/M HP, reports, APR. 2026-05-28</t>
        </is>
      </c>
      <c r="AJ57" t="inlineStr">
        <is>
          <t>tcbk.com/business/credit-cards + Business_Card_Disclosure PDF + application PDF</t>
        </is>
      </c>
    </row>
    <row r="58">
      <c r="A58" t="inlineStr">
        <is>
          <t>57</t>
        </is>
      </c>
      <c r="B58" t="inlineStr">
        <is>
          <t>56</t>
        </is>
      </c>
      <c r="C58" s="2" t="inlineStr">
        <is>
          <t>Hanmi Bank</t>
        </is>
      </c>
      <c r="D58" s="15" t="inlineStr">
        <is>
          <t>CA Bank</t>
        </is>
      </c>
      <c r="E58" t="inlineStr">
        <is>
          <t>★ Core SoCal</t>
        </is>
      </c>
      <c r="F58" s="4" t="inlineStr">
        <is>
          <t>3/4  ✗SUW ✓Onl ✓SoCal ✓Card</t>
        </is>
      </c>
      <c r="G58" t="inlineStr">
        <is>
          <t>N/M</t>
        </is>
      </c>
      <c r="H58" t="inlineStr">
        <is>
          <t>N/M</t>
        </is>
      </c>
      <c r="I58" t="inlineStr"/>
      <c r="J58" t="inlineStr">
        <is>
          <t>E — Elan agent</t>
        </is>
      </c>
      <c r="K58" t="inlineStr">
        <is>
          <t>Elan platform: ~$3K–$10K start, to ~$20K strong files (~$500 seen at 800+ FICO)  [myFICO #6658960]</t>
        </is>
      </c>
      <c r="L58" t="inlineStr">
        <is>
          <t>$7.79B</t>
        </is>
      </c>
      <c r="M58" t="inlineStr">
        <is>
          <t>$6.80B</t>
        </is>
      </c>
      <c r="N58" t="inlineStr">
        <is>
          <t>~21 CA branches; LA, Orange County, San Diego, Silicon Valley; Korean-American</t>
        </is>
      </c>
      <c r="O58" t="inlineStr">
        <is>
          <t>CA-HQ'd</t>
        </is>
      </c>
      <c r="P58" t="inlineStr">
        <is>
          <t>No</t>
        </is>
      </c>
      <c r="Q58" t="inlineStr">
        <is>
          <t>✅ 0% 18 cycles (Business Zero+); APR/AF N/M</t>
        </is>
      </c>
      <c r="R58" s="6" t="inlineStr">
        <is>
          <t>Elan</t>
        </is>
      </c>
      <c r="S58" t="inlineStr">
        <is>
          <t>Online</t>
        </is>
      </c>
      <c r="T58" t="inlineStr">
        <is>
          <t>Online — apply at https://www.mycardapply.com/synindex/product?ecdma-lc=36069&amp;ecid=OTHE_25940&amp;offertype=132</t>
        </is>
      </c>
      <c r="U58" t="inlineStr">
        <is>
          <t>https://www.hanmi.com</t>
        </is>
      </c>
      <c r="V58" t="inlineStr">
        <is>
          <t>https://www.mycardapply.com/synindex/product?ecdma-lc=36069&amp;ecid=OTHE_25940&amp;offertype=132</t>
        </is>
      </c>
      <c r="W58" t="inlineStr">
        <is>
          <t>TransUnion (varies EX/EQ)</t>
        </is>
      </c>
      <c r="X58" t="inlineStr">
        <is>
          <t>D&amp;B; not personal in good standing</t>
        </is>
      </c>
      <c r="Y58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58" t="inlineStr">
        <is>
          <t>3</t>
        </is>
      </c>
      <c r="AA58" t="inlineStr">
        <is>
          <t>PG yes; no tax returns (&lt;$25K)</t>
        </is>
      </c>
      <c r="AB58" t="inlineStr">
        <is>
          <t>None (SBA/CRE/term/trade full-doc)</t>
        </is>
      </c>
      <c r="AC58" t="inlineStr">
        <is>
          <t>No</t>
        </is>
      </c>
      <c r="AD58" t="inlineStr">
        <is>
          <t>0% for 18 billing cycles (Elan)</t>
        </is>
      </c>
      <c r="AE58" t="inlineStr">
        <is>
          <t>Business Zero+ (0% 18 cyc), Business Real Rewards, Business Cash Preferred, Smart Business Rewards</t>
        </is>
      </c>
      <c r="AF58" t="inlineStr">
        <is>
          <t>SoCal / LA</t>
        </is>
      </c>
      <c r="AG58" t="inlineStr">
        <is>
          <t>Los Angeles</t>
        </is>
      </c>
      <c r="AH58" t="inlineStr">
        <is>
          <t>14</t>
        </is>
      </c>
      <c r="AI58" t="inlineStr">
        <is>
          <t>HIGH relevance/issuer/online/PG; MED HP. (Not 'Fifth Third' — snippet error.) 2026-05-28</t>
        </is>
      </c>
      <c r="AJ58" t="inlineStr">
        <is>
          <t>hanmi.com/business/business-credit-cards; mycardapply.com; online1.elancard.com STD_BIZ.pdf</t>
        </is>
      </c>
    </row>
    <row r="59">
      <c r="A59" t="inlineStr">
        <is>
          <t>58</t>
        </is>
      </c>
      <c r="B59" t="inlineStr">
        <is>
          <t>57</t>
        </is>
      </c>
      <c r="C59" s="2" t="inlineStr">
        <is>
          <t>Preferred Bank</t>
        </is>
      </c>
      <c r="D59" s="15" t="inlineStr">
        <is>
          <t>CA Bank</t>
        </is>
      </c>
      <c r="E59" t="inlineStr">
        <is>
          <t>★ Core SoCal</t>
        </is>
      </c>
      <c r="F59" s="4" t="inlineStr">
        <is>
          <t>3/4  ✗SUW ✓Onl ✓SoCal ✓Card</t>
        </is>
      </c>
      <c r="G59" t="inlineStr">
        <is>
          <t>N/M</t>
        </is>
      </c>
      <c r="H59" t="inlineStr">
        <is>
          <t>N/M</t>
        </is>
      </c>
      <c r="I59" t="inlineStr"/>
      <c r="J59" t="inlineStr">
        <is>
          <t>E — Elan agent</t>
        </is>
      </c>
      <c r="K59" t="inlineStr">
        <is>
          <t>Elan platform: ~$3K–$10K start, to ~$20K strong files (~$500 seen at 800+ FICO)  [myFICO #6658960]</t>
        </is>
      </c>
      <c r="L59" t="inlineStr">
        <is>
          <t>$7.66B</t>
        </is>
      </c>
      <c r="M59" t="inlineStr">
        <is>
          <t>$6.43B</t>
        </is>
      </c>
      <c r="N59" t="inlineStr">
        <is>
          <t>13 CA branches/11 cities; LA + Orange County + SF; Chinese-American</t>
        </is>
      </c>
      <c r="O59" t="inlineStr">
        <is>
          <t>CA-HQ'd</t>
        </is>
      </c>
      <c r="P59" t="inlineStr">
        <is>
          <t>No</t>
        </is>
      </c>
      <c r="Q59" t="inlineStr">
        <is>
          <t>✅ 0% 12 cycles → 17.24-26.24%; $0 AF</t>
        </is>
      </c>
      <c r="R59" s="6" t="inlineStr">
        <is>
          <t>Elan</t>
        </is>
      </c>
      <c r="S59" t="inlineStr">
        <is>
          <t>Online</t>
        </is>
      </c>
      <c r="T59" t="inlineStr">
        <is>
          <t>Online — apply at https://creditcardlearnmore.com/11t3/index?ecdma-lc=25483&amp;ecid=OTHE_25940#business</t>
        </is>
      </c>
      <c r="U59" t="inlineStr">
        <is>
          <t>https://www.preferredbank.com</t>
        </is>
      </c>
      <c r="V59" t="inlineStr">
        <is>
          <t>https://creditcardlearnmore.com/11t3/index?ecdma-lc=25483&amp;ecid=OTHE_25940#business</t>
        </is>
      </c>
      <c r="W59" t="inlineStr">
        <is>
          <t>TransUnion (varies EX/EQ)</t>
        </is>
      </c>
      <c r="X59" t="inlineStr">
        <is>
          <t>Personal delinquency-only; biz bureaus N/M</t>
        </is>
      </c>
      <c r="Y59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59" t="inlineStr">
        <is>
          <t>3</t>
        </is>
      </c>
      <c r="AA59" t="inlineStr">
        <is>
          <t>PG yes; no tax returns (&lt;$25K)</t>
        </is>
      </c>
      <c r="AB59" t="inlineStr">
        <is>
          <t>None (LOC/term/SBA full-doc)</t>
        </is>
      </c>
      <c r="AC59" t="inlineStr">
        <is>
          <t>No</t>
        </is>
      </c>
      <c r="AD59" t="inlineStr">
        <is>
          <t>No-doc 0% card — apply online (Elan)</t>
        </is>
      </c>
      <c r="AE59" t="inlineStr">
        <is>
          <t>Business Cash Preferred, Smart Business Rewards, Business Real Rewards</t>
        </is>
      </c>
      <c r="AF59" t="inlineStr">
        <is>
          <t>SoCal / LA</t>
        </is>
      </c>
      <c r="AG59" t="inlineStr">
        <is>
          <t>Los Angeles</t>
        </is>
      </c>
      <c r="AH59" t="inlineStr">
        <is>
          <t>16</t>
        </is>
      </c>
      <c r="AI59" t="inlineStr">
        <is>
          <t>HIGH issuer/products/terms/online; N/M HP, biz reporting. 2026-05-28</t>
        </is>
      </c>
      <c r="AJ59" t="inlineStr">
        <is>
          <t>preferredbank.com/business/loans-and-credit/credit-cards; creditcardlearnmore.com (25483)</t>
        </is>
      </c>
    </row>
    <row r="60">
      <c r="A60" t="inlineStr">
        <is>
          <t>59</t>
        </is>
      </c>
      <c r="B60" t="inlineStr">
        <is>
          <t>58</t>
        </is>
      </c>
      <c r="C60" s="12" t="inlineStr">
        <is>
          <t>FFB Bank</t>
        </is>
      </c>
      <c r="D60" s="15" t="inlineStr">
        <is>
          <t>CA Bank</t>
        </is>
      </c>
      <c r="E60" t="inlineStr">
        <is>
          <t>Other — Central Valley</t>
        </is>
      </c>
      <c r="F60" s="13" t="inlineStr">
        <is>
          <t>2/4  ✗SUW ✓Onl ✗SoCal ✓Card</t>
        </is>
      </c>
      <c r="G60" t="inlineStr">
        <is>
          <t>N/M</t>
        </is>
      </c>
      <c r="H60" t="inlineStr">
        <is>
          <t>N/M</t>
        </is>
      </c>
      <c r="I60" t="inlineStr"/>
      <c r="J60" t="inlineStr">
        <is>
          <t>C — Other agent card</t>
        </is>
      </c>
      <c r="K60" t="inlineStr">
        <is>
          <t>N/M (TIB; financials typically required $10K+)</t>
        </is>
      </c>
      <c r="L60" t="inlineStr">
        <is>
          <t>$1.57B</t>
        </is>
      </c>
      <c r="M60" t="inlineStr">
        <is>
          <t>$1.35B</t>
        </is>
      </c>
      <c r="N60" t="inlineStr">
        <is>
          <t>Single Fresno branch + Irvine + ~30 states virtual; leading Central Valley SBA lender</t>
        </is>
      </c>
      <c r="O60" t="inlineStr">
        <is>
          <t>CA-HQ'd</t>
        </is>
      </c>
      <c r="P60" t="inlineStr">
        <is>
          <t>No</t>
        </is>
      </c>
      <c r="Q60" t="inlineStr">
        <is>
          <t>✅ no 0%; APR N/M; no AF</t>
        </is>
      </c>
      <c r="R60" s="16" t="inlineStr">
        <is>
          <t>TIB</t>
        </is>
      </c>
      <c r="S60" t="inlineStr">
        <is>
          <t>Online</t>
        </is>
      </c>
      <c r="T60" t="inlineStr">
        <is>
          <t>Online — apply at https://www.ffb.bank/home/business/loans-credit/credit-cards/</t>
        </is>
      </c>
      <c r="U60" t="inlineStr">
        <is>
          <t>https://www.ffb.bank</t>
        </is>
      </c>
      <c r="V60" t="inlineStr">
        <is>
          <t>https://www.ffb.bank/home/business/loans-credit/credit-cards/</t>
        </is>
      </c>
      <c r="W60" t="inlineStr">
        <is>
          <t>Experian (infer; single 2021 DP; TIB variable)</t>
        </is>
      </c>
      <c r="X60" t="inlineStr">
        <is>
          <t>N/M</t>
        </is>
      </c>
      <c r="Y60" t="inlineStr">
        <is>
          <t>N/M FFB-specific; TIB-general only</t>
        </is>
      </c>
      <c r="Z60" t="inlineStr">
        <is>
          <t>3</t>
        </is>
      </c>
      <c r="AA60" t="inlineStr">
        <is>
          <t>PG typical (N/M); income docs N/M</t>
        </is>
      </c>
      <c r="AB60" t="inlineStr">
        <is>
          <t>N/M (SBA-focused; conventional/SBA full-doc)</t>
        </is>
      </c>
      <c r="AC60" t="inlineStr">
        <is>
          <t>N/M</t>
        </is>
      </c>
      <c r="AD60" t="inlineStr">
        <is>
          <t>★ No-doc card — apply online</t>
        </is>
      </c>
      <c r="AE60" t="inlineStr">
        <is>
          <t>FFB Visa Business Card; FFB Visa Business Preferred Points Card</t>
        </is>
      </c>
      <c r="AF60" t="inlineStr">
        <is>
          <t>Central Valley</t>
        </is>
      </c>
      <c r="AG60" t="inlineStr">
        <is>
          <t>Fresno</t>
        </is>
      </c>
      <c r="AH60" t="inlineStr">
        <is>
          <t>47</t>
        </is>
      </c>
      <c r="AI60" t="inlineStr">
        <is>
          <t>HIGH products/no-AF/SBA; MED-HIGH issuer=TIB (ecosystem); LOW HP, APR. 2026-05-28</t>
        </is>
      </c>
      <c r="AJ60" t="inlineStr">
        <is>
          <t>ffb.bank/home/business/loans-credit/credit-cards; mypreferredpoints.com; myfico.com #6303273</t>
        </is>
      </c>
    </row>
    <row r="61">
      <c r="A61" t="inlineStr">
        <is>
          <t>60</t>
        </is>
      </c>
      <c r="B61" t="inlineStr">
        <is>
          <t>59</t>
        </is>
      </c>
      <c r="C61" s="12" t="inlineStr">
        <is>
          <t>Montecito Bank &amp; Trust</t>
        </is>
      </c>
      <c r="D61" s="15" t="inlineStr">
        <is>
          <t>CA Bank</t>
        </is>
      </c>
      <c r="E61" t="inlineStr">
        <is>
          <t>Other — Central Coast</t>
        </is>
      </c>
      <c r="F61" s="13" t="inlineStr">
        <is>
          <t>2/4  ✓SUW ✗Onl ✗SoCal ✓Card</t>
        </is>
      </c>
      <c r="G61" t="inlineStr">
        <is>
          <t>N/M</t>
        </is>
      </c>
      <c r="H61" t="inlineStr">
        <is>
          <t>N/M</t>
        </is>
      </c>
      <c r="I61" t="inlineStr"/>
      <c r="J61" t="inlineStr">
        <is>
          <t>B — Self-UW (in branch)</t>
        </is>
      </c>
      <c r="K61" t="inlineStr">
        <is>
          <t>Visa Business Rewards up to $100K (advertised)</t>
        </is>
      </c>
      <c r="L61" t="inlineStr">
        <is>
          <t>$2.04B</t>
        </is>
      </c>
      <c r="M61" t="inlineStr">
        <is>
          <t>$1.79B</t>
        </is>
      </c>
      <c r="N61" t="inlineStr">
        <is>
          <t>~13 branches Santa Barbara + Ventura counties; largest Central Coast bank</t>
        </is>
      </c>
      <c r="O61" t="inlineStr">
        <is>
          <t>CA-HQ'd</t>
        </is>
      </c>
      <c r="P61" t="inlineStr">
        <is>
          <t>Yes</t>
        </is>
      </c>
      <c r="Q61" t="inlineStr">
        <is>
          <t>✅ no 0%; 16.49-24.49%; $0 AF; 1% cash back; $250 SUB</t>
        </is>
      </c>
      <c r="R61" s="7" t="inlineStr">
        <is>
          <t>Self (Montecito B&amp;T is creditor)</t>
        </is>
      </c>
      <c r="S61" t="inlineStr">
        <is>
          <t>Assisted</t>
        </is>
      </c>
      <c r="T61" t="inlineStr">
        <is>
          <t>DocuSign (staff-assisted; not instant)</t>
        </is>
      </c>
      <c r="U61" t="inlineStr">
        <is>
          <t>https://montecito.bank</t>
        </is>
      </c>
      <c r="V61" t="inlineStr">
        <is>
          <t>https://montecito.bank/business/credit-card</t>
        </is>
      </c>
      <c r="W61" t="inlineStr">
        <is>
          <t>N/M (personal pull on guarantor)</t>
        </is>
      </c>
      <c r="X61" t="inlineStr">
        <is>
          <t>Reports to bureaus; personal on default (specific bureaus N/M)</t>
        </is>
      </c>
      <c r="Y61" t="inlineStr">
        <is>
          <t>N/M (no forum data)</t>
        </is>
      </c>
      <c r="Z61" t="inlineStr">
        <is>
          <t>2</t>
        </is>
      </c>
      <c r="AA61" t="inlineStr">
        <is>
          <t>Co-liability/guarantor; tax returns N/M</t>
        </is>
      </c>
      <c r="AB61" t="inlineStr">
        <is>
          <t>BizMax LOC + Term $10K-$250K, apply online, decision in minutes</t>
        </is>
      </c>
      <c r="AC61" t="inlineStr">
        <is>
          <t>YES — deposit customers only (rare hard requirement)</t>
        </is>
      </c>
      <c r="AD61" t="inlineStr">
        <is>
          <t>No-doc card — apply in branch</t>
        </is>
      </c>
      <c r="AE61" t="inlineStr">
        <is>
          <t>Visa Business Rewards (limit up to $100K); Fiserv SpendTrack servicing</t>
        </is>
      </c>
      <c r="AF61" t="inlineStr">
        <is>
          <t>Central Coast</t>
        </is>
      </c>
      <c r="AG61" t="inlineStr">
        <is>
          <t>Santa Barbara</t>
        </is>
      </c>
      <c r="AH61" t="inlineStr">
        <is>
          <t>41</t>
        </is>
      </c>
      <c r="AI61" t="inlineStr">
        <is>
          <t>HIGH self-issuer/terms/deposit-required; MED PG; N/M HP, biz-bureau. 2026-05-28</t>
        </is>
      </c>
      <c r="AJ61" t="inlineStr">
        <is>
          <t>montecito.bank/business/credit-card + business-credit-card-contract PDF + /business/lending/.../bizmax</t>
        </is>
      </c>
    </row>
    <row r="62">
      <c r="A62" t="inlineStr">
        <is>
          <t>61</t>
        </is>
      </c>
      <c r="B62" t="inlineStr">
        <is>
          <t>60</t>
        </is>
      </c>
      <c r="C62" s="2" t="inlineStr">
        <is>
          <t>Royal Business Bank</t>
        </is>
      </c>
      <c r="D62" s="15" t="inlineStr">
        <is>
          <t>CA Bank</t>
        </is>
      </c>
      <c r="E62" t="inlineStr">
        <is>
          <t>★ Core SoCal</t>
        </is>
      </c>
      <c r="F62" s="4" t="inlineStr">
        <is>
          <t>3/4  ✗SUW ✓Onl ✓SoCal ✓Card</t>
        </is>
      </c>
      <c r="G62" t="inlineStr">
        <is>
          <t>N/M</t>
        </is>
      </c>
      <c r="H62" t="inlineStr">
        <is>
          <t>N/M</t>
        </is>
      </c>
      <c r="I62" t="inlineStr"/>
      <c r="J62" t="inlineStr">
        <is>
          <t>E — Elan agent</t>
        </is>
      </c>
      <c r="K62" t="inlineStr">
        <is>
          <t>Elan platform: ~$3K–$10K start, to ~$20K strong files (~$500 seen at 800+ FICO)  [myFICO #6658960]</t>
        </is>
      </c>
      <c r="L62" t="inlineStr">
        <is>
          <t>$4.19B</t>
        </is>
      </c>
      <c r="M62" t="inlineStr">
        <is>
          <t>$3.39B</t>
        </is>
      </c>
      <c r="N62" t="inlineStr">
        <is>
          <t>12 CA branches/11 cities; LA + Orange County; Asian-American (RBB Bancorp)</t>
        </is>
      </c>
      <c r="O62" t="inlineStr">
        <is>
          <t>CA-HQ'd</t>
        </is>
      </c>
      <c r="P62" t="inlineStr">
        <is>
          <t>No</t>
        </is>
      </c>
      <c r="Q62" t="inlineStr">
        <is>
          <t>✅ 0% 12 cycles → 17.24-26.24%; $0 AF</t>
        </is>
      </c>
      <c r="R62" s="6" t="inlineStr">
        <is>
          <t>Elan</t>
        </is>
      </c>
      <c r="S62" t="inlineStr">
        <is>
          <t>Online</t>
        </is>
      </c>
      <c r="T62" t="inlineStr">
        <is>
          <t>Online — apply at https://creditcardlearnmore.com/11t3/index?ecdma-lc=27904&amp;ecid=OTHE_25940</t>
        </is>
      </c>
      <c r="U62" t="inlineStr">
        <is>
          <t>https://www.royalbusinessbankusa.com</t>
        </is>
      </c>
      <c r="V62" t="inlineStr">
        <is>
          <t>https://creditcardlearnmore.com/11t3/index?ecdma-lc=27904&amp;ecid=OTHE_25940</t>
        </is>
      </c>
      <c r="W62" t="inlineStr">
        <is>
          <t>TransUnion (varies EX/EQ)</t>
        </is>
      </c>
      <c r="X62" t="inlineStr">
        <is>
          <t>Personal delinquency-only; D&amp;B N/M</t>
        </is>
      </c>
      <c r="Y62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62" t="inlineStr">
        <is>
          <t>3</t>
        </is>
      </c>
      <c r="AA62" t="inlineStr">
        <is>
          <t>PG yes; no tax returns (&lt;$25K)</t>
        </is>
      </c>
      <c r="AB62" t="inlineStr">
        <is>
          <t>None (SBA 7(a)/504, C&amp;I, CRE full-doc)</t>
        </is>
      </c>
      <c r="AC62" t="inlineStr">
        <is>
          <t>No (Elan 'None' relationship option)</t>
        </is>
      </c>
      <c r="AD62" t="inlineStr">
        <is>
          <t>No-doc 0% card — apply online (Elan)</t>
        </is>
      </c>
      <c r="AE62" t="inlineStr">
        <is>
          <t>Business Cash Preferred, Smart Business Rewards, Business Real Rewards</t>
        </is>
      </c>
      <c r="AF62" t="inlineStr">
        <is>
          <t>SoCal / LA</t>
        </is>
      </c>
      <c r="AG62" t="inlineStr">
        <is>
          <t>Los Angeles</t>
        </is>
      </c>
      <c r="AH62" t="inlineStr">
        <is>
          <t>26</t>
        </is>
      </c>
      <c r="AI62" t="inlineStr">
        <is>
          <t>HIGH issuer/products/online/PG/no-income-docs; MED HP. 2026-05-28</t>
        </is>
      </c>
      <c r="AJ62" t="inlineStr">
        <is>
          <t>royalbusinessbankusa.com/business/services/business-credit-card; creditcardlearnmore.com (27904)</t>
        </is>
      </c>
    </row>
    <row r="63">
      <c r="A63" t="inlineStr">
        <is>
          <t>62</t>
        </is>
      </c>
      <c r="B63" t="inlineStr">
        <is>
          <t>61</t>
        </is>
      </c>
      <c r="C63" s="2" t="inlineStr">
        <is>
          <t>PCB Bank</t>
        </is>
      </c>
      <c r="D63" s="15" t="inlineStr">
        <is>
          <t>CA Bank</t>
        </is>
      </c>
      <c r="E63" t="inlineStr">
        <is>
          <t>★ Core SoCal</t>
        </is>
      </c>
      <c r="F63" s="4" t="inlineStr">
        <is>
          <t>3/4  ✗SUW ✓Onl ✓SoCal ✓Card</t>
        </is>
      </c>
      <c r="G63" t="inlineStr">
        <is>
          <t>N/M</t>
        </is>
      </c>
      <c r="H63" t="inlineStr">
        <is>
          <t>N/M</t>
        </is>
      </c>
      <c r="I63" t="inlineStr"/>
      <c r="J63" t="inlineStr">
        <is>
          <t>E — Elan agent</t>
        </is>
      </c>
      <c r="K63" t="inlineStr">
        <is>
          <t>Elan platform: ~$3K–$10K start, to ~$20K strong files (~$500 seen at 800+ FICO)  [myFICO #6658960]</t>
        </is>
      </c>
      <c r="L63" t="inlineStr">
        <is>
          <t>$3.40B</t>
        </is>
      </c>
      <c r="M63" t="inlineStr">
        <is>
          <t>$2.90B</t>
        </is>
      </c>
      <c r="N63" t="inlineStr">
        <is>
          <t>~11 branches/6 cities LA metro + Orange County; Korean-American (ex-Pacific City Bank)</t>
        </is>
      </c>
      <c r="O63" t="inlineStr">
        <is>
          <t>CA-HQ'd</t>
        </is>
      </c>
      <c r="P63" t="inlineStr">
        <is>
          <t>No</t>
        </is>
      </c>
      <c r="Q63" t="inlineStr">
        <is>
          <t>✅ 0% 12 cycles → 17.24-26.24%; $0 AF</t>
        </is>
      </c>
      <c r="R63" s="6" t="inlineStr">
        <is>
          <t>Elan</t>
        </is>
      </c>
      <c r="S63" t="inlineStr">
        <is>
          <t>Online</t>
        </is>
      </c>
      <c r="T63" t="inlineStr">
        <is>
          <t>Online — apply at https://creditcardlearnmore.com/11t3/index?ecdma-lc=33608&amp;ecid=OTHE_25940</t>
        </is>
      </c>
      <c r="U63" t="inlineStr">
        <is>
          <t>https://www.mypcbbank.com</t>
        </is>
      </c>
      <c r="V63" t="inlineStr">
        <is>
          <t>https://creditcardlearnmore.com/11t3/index?ecdma-lc=33608&amp;ecid=OTHE_25940</t>
        </is>
      </c>
      <c r="W63" t="inlineStr">
        <is>
          <t>TransUnion (varies EX/EQ)</t>
        </is>
      </c>
      <c r="X63" t="inlineStr">
        <is>
          <t>D&amp;B; not personal in good standing</t>
        </is>
      </c>
      <c r="Y63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63" t="inlineStr">
        <is>
          <t>3</t>
        </is>
      </c>
      <c r="AA63" t="inlineStr">
        <is>
          <t>PG yes; no tax returns (&lt;$25K)</t>
        </is>
      </c>
      <c r="AB63" t="inlineStr">
        <is>
          <t>None (LOC/term/CRE/SBA PLP conventional)</t>
        </is>
      </c>
      <c r="AC63" t="inlineStr">
        <is>
          <t>No</t>
        </is>
      </c>
      <c r="AD63" t="inlineStr">
        <is>
          <t>No-doc 0% card — apply online (Elan)</t>
        </is>
      </c>
      <c r="AE63" t="inlineStr">
        <is>
          <t>Business Cash Preferred, Smart Business Rewards, Business Real Rewards</t>
        </is>
      </c>
      <c r="AF63" t="inlineStr">
        <is>
          <t>SoCal / LA</t>
        </is>
      </c>
      <c r="AG63" t="inlineStr">
        <is>
          <t>Los Angeles</t>
        </is>
      </c>
      <c r="AH63" t="inlineStr">
        <is>
          <t>32</t>
        </is>
      </c>
      <c r="AI63" t="inlineStr">
        <is>
          <t>HIGH issuer/products/terms/online/SBA; MED PG/HP. 2026-05-28</t>
        </is>
      </c>
      <c r="AJ63" t="inlineStr">
        <is>
          <t>mypcbbank.com/business/business-credit-cards; creditcardlearnmore.com (33608)</t>
        </is>
      </c>
    </row>
    <row r="64">
      <c r="A64" t="inlineStr">
        <is>
          <t>63</t>
        </is>
      </c>
      <c r="B64" t="inlineStr">
        <is>
          <t>62</t>
        </is>
      </c>
      <c r="C64" s="12" t="inlineStr">
        <is>
          <t>Travis Credit Union</t>
        </is>
      </c>
      <c r="D64" s="11" t="inlineStr">
        <is>
          <t>Credit Union</t>
        </is>
      </c>
      <c r="E64" t="inlineStr">
        <is>
          <t>Other — NorCal</t>
        </is>
      </c>
      <c r="F64" s="13" t="inlineStr">
        <is>
          <t>2/4  ✓SUW ✗Onl ✗SoCal ✓Card</t>
        </is>
      </c>
      <c r="G64" t="inlineStr">
        <is>
          <t>N/M</t>
        </is>
      </c>
      <c r="H64" t="inlineStr">
        <is>
          <t>N/M</t>
        </is>
      </c>
      <c r="I64" t="inlineStr"/>
      <c r="J64" t="inlineStr">
        <is>
          <t>B — Self-UW (in branch)</t>
        </is>
      </c>
      <c r="K64" t="inlineStr">
        <is>
          <t>N/M (no bank-specific data point found)</t>
        </is>
      </c>
      <c r="L64" t="inlineStr">
        <is>
          <t>~$2.3B</t>
        </is>
      </c>
      <c r="M64" t="inlineStr">
        <is>
          <t>—</t>
        </is>
      </c>
      <c r="N64" t="inlineStr">
        <is>
          <t>HQ Vacaville (Solano); ~22 branches; 12-county NorCal FOM</t>
        </is>
      </c>
      <c r="O64" t="inlineStr">
        <is>
          <t>CA-HQ'd</t>
        </is>
      </c>
      <c r="P64" t="inlineStr">
        <is>
          <t>Yes</t>
        </is>
      </c>
      <c r="Q64" t="inlineStr">
        <is>
          <t>✅ TCU Business Visa (sole props, 1.5% cash back, $0 AF) + Standard Business Visa (LLC/corp); NO 0% intro; 12.74-23.74%</t>
        </is>
      </c>
      <c r="R64" s="7" t="inlineStr">
        <is>
          <t>Self (Travis CU)</t>
        </is>
      </c>
      <c r="S64" t="inlineStr">
        <is>
          <t>In-person</t>
        </is>
      </c>
      <c r="T64" t="inlineStr">
        <is>
          <t>Phone (800) 877-8328 / appointment (no online Apply)</t>
        </is>
      </c>
      <c r="U64" t="inlineStr">
        <is>
          <t>https://www.traviscu.org/business/lending/business-visa/</t>
        </is>
      </c>
      <c r="V64" t="inlineStr">
        <is>
          <t>https://www.traviscu.org/business/lending/business-visa/</t>
        </is>
      </c>
      <c r="W64" t="inlineStr">
        <is>
          <t>N/M (personal pull; bureau not named)</t>
        </is>
      </c>
      <c r="X64" t="inlineStr">
        <is>
          <t>ADVERSE-ONLY (reports to personal ONLY if late/delinquent — off personal in good standing)</t>
        </is>
      </c>
      <c r="Y64" t="inlineStr">
        <is>
          <t>Apply by phone (800) 877-8328 / appointment (no online Apply Now). No business-card forum data.</t>
        </is>
      </c>
      <c r="Z64" t="inlineStr">
        <is>
          <t>2</t>
        </is>
      </c>
      <c r="AA64" t="inlineStr">
        <is>
          <t>PG YES (officer/owner personally obligated)</t>
        </is>
      </c>
      <c r="AB64" t="inlineStr">
        <is>
          <t>QuickFund LOC $10K-$100K (needs 2yr + profitable). Card itself low-doc (PG, no tax returns stated).</t>
        </is>
      </c>
      <c r="AC64" t="inlineStr">
        <is>
          <t>Membership required (Solano + 11 NorCal counties; Travis AFB; no open path)</t>
        </is>
      </c>
      <c r="AD64" t="inlineStr">
        <is>
          <t>No-doc card — apply in branch</t>
        </is>
      </c>
      <c r="AE64" t="inlineStr">
        <is>
          <t>TCU Business Visa; Standard Business Visa</t>
        </is>
      </c>
      <c r="AF64" t="inlineStr">
        <is>
          <t>NorCal / Sacramento (Vacaville, Solano)</t>
        </is>
      </c>
      <c r="AG64" t="inlineStr">
        <is>
          <t>Vacaville, CA</t>
        </is>
      </c>
      <c r="AH64" t="inlineStr">
        <is>
          <t>CU</t>
        </is>
      </c>
      <c r="AI64" t="inlineStr">
        <is>
          <t>HIGH self/products/PG/adverse-only-reporting/membership; apply N (phone). 2026-05-28</t>
        </is>
      </c>
      <c r="AJ64" t="inlineStr">
        <is>
          <t>traviscu.org/business/lending/business-visa + /rates + cardholder agreement (issuer=self, adverse-only reporting); CFPB</t>
        </is>
      </c>
    </row>
    <row r="65">
      <c r="A65" t="inlineStr">
        <is>
          <t>64</t>
        </is>
      </c>
      <c r="B65" t="inlineStr">
        <is>
          <t>63</t>
        </is>
      </c>
      <c r="C65" s="2" t="inlineStr">
        <is>
          <t>Open Bank</t>
        </is>
      </c>
      <c r="D65" s="15" t="inlineStr">
        <is>
          <t>CA Bank</t>
        </is>
      </c>
      <c r="E65" t="inlineStr">
        <is>
          <t>★ Core SoCal</t>
        </is>
      </c>
      <c r="F65" s="4" t="inlineStr">
        <is>
          <t>3/4  ✗SUW ✓Onl ✓SoCal ✓Card</t>
        </is>
      </c>
      <c r="G65" t="inlineStr">
        <is>
          <t>N/M</t>
        </is>
      </c>
      <c r="H65" t="inlineStr">
        <is>
          <t>N/M</t>
        </is>
      </c>
      <c r="I65" t="inlineStr"/>
      <c r="J65" t="inlineStr">
        <is>
          <t>E — Elan agent</t>
        </is>
      </c>
      <c r="K65" t="inlineStr">
        <is>
          <t>Elan platform: ~$3K–$10K start, to ~$20K strong files (~$500 seen at 800+ FICO)  [myFICO #6658960]</t>
        </is>
      </c>
      <c r="L65" t="inlineStr">
        <is>
          <t>$2.70B</t>
        </is>
      </c>
      <c r="M65" t="inlineStr">
        <is>
          <t>$2.33B</t>
        </is>
      </c>
      <c r="N65" t="inlineStr">
        <is>
          <t>~9 CA branches LA + Orange County + Santa Clara; Korean-American (OP Bancorp)</t>
        </is>
      </c>
      <c r="O65" t="inlineStr">
        <is>
          <t>CA-HQ'd</t>
        </is>
      </c>
      <c r="P65" t="inlineStr">
        <is>
          <t>No</t>
        </is>
      </c>
      <c r="Q65" t="inlineStr">
        <is>
          <t>✅ Elan biz cards; APR/AF N/M (1.5% Real Rewards)</t>
        </is>
      </c>
      <c r="R65" s="6" t="inlineStr">
        <is>
          <t>Elan</t>
        </is>
      </c>
      <c r="S65" t="inlineStr">
        <is>
          <t>Online</t>
        </is>
      </c>
      <c r="T65" t="inlineStr">
        <is>
          <t>Online — apply at https://www.creditcardlearnmore.com/11t3/index</t>
        </is>
      </c>
      <c r="U65" t="inlineStr">
        <is>
          <t>https://myopenbank.com</t>
        </is>
      </c>
      <c r="V65" t="inlineStr">
        <is>
          <t>https://www.creditcardlearnmore.com/11t3/index</t>
        </is>
      </c>
      <c r="W65" t="inlineStr">
        <is>
          <t>TransUnion (varies EX/EQ)</t>
        </is>
      </c>
      <c r="X65" t="inlineStr">
        <is>
          <t>D&amp;B; personal delinquency-only</t>
        </is>
      </c>
      <c r="Y65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65" t="inlineStr">
        <is>
          <t>3</t>
        </is>
      </c>
      <c r="AA65" t="inlineStr">
        <is>
          <t>PG yes; no tax returns (&lt;$25K)</t>
        </is>
      </c>
      <c r="AB65" t="inlineStr">
        <is>
          <t>None (SBA 7(a)/commercial/trade full-doc)</t>
        </is>
      </c>
      <c r="AC65" t="inlineStr">
        <is>
          <t>No</t>
        </is>
      </c>
      <c r="AD65" t="inlineStr">
        <is>
          <t>No-doc 0% card — apply online (Elan)</t>
        </is>
      </c>
      <c r="AE65" t="inlineStr">
        <is>
          <t>Business Platinum, Business Cash Preferred, Business Real Rewards, Smart Business Rewards</t>
        </is>
      </c>
      <c r="AF65" t="inlineStr">
        <is>
          <t>SoCal / LA</t>
        </is>
      </c>
      <c r="AG65" t="inlineStr">
        <is>
          <t>Los Angeles</t>
        </is>
      </c>
      <c r="AH65" t="inlineStr">
        <is>
          <t>35</t>
        </is>
      </c>
      <c r="AI65" t="inlineStr">
        <is>
          <t>HIGH issuer/relevance/online/PG/D&amp;B; N/M exact terms. 2026-05-28</t>
        </is>
      </c>
      <c r="AJ65" t="inlineStr">
        <is>
          <t>myopenbank.com/additional-services; creditcardlearnmore.com/11t3; elanfinancialservices.com</t>
        </is>
      </c>
    </row>
    <row r="66">
      <c r="A66" t="inlineStr">
        <is>
          <t>65</t>
        </is>
      </c>
      <c r="B66" t="inlineStr">
        <is>
          <t>64</t>
        </is>
      </c>
      <c r="C66" s="12" t="inlineStr">
        <is>
          <t>CalPrivate Bank</t>
        </is>
      </c>
      <c r="D66" s="15" t="inlineStr">
        <is>
          <t>CA Bank</t>
        </is>
      </c>
      <c r="E66" t="inlineStr">
        <is>
          <t>★ Core SoCal</t>
        </is>
      </c>
      <c r="F66" s="13" t="inlineStr">
        <is>
          <t>2/4  ✗SUW ✗Onl ✓SoCal ✓Card</t>
        </is>
      </c>
      <c r="G66" t="inlineStr">
        <is>
          <t>N/M</t>
        </is>
      </c>
      <c r="H66" t="inlineStr">
        <is>
          <t>N/M</t>
        </is>
      </c>
      <c r="I66" t="inlineStr"/>
      <c r="J66" t="inlineStr">
        <is>
          <t>C — Other agent card</t>
        </is>
      </c>
      <c r="K66" t="inlineStr">
        <is>
          <t>N/M (TIB; financials typically required $10K+)</t>
        </is>
      </c>
      <c r="L66" t="inlineStr">
        <is>
          <t>$2.69B</t>
        </is>
      </c>
      <c r="M66" t="inlineStr">
        <is>
          <t>$2.38B</t>
        </is>
      </c>
      <c r="N66" t="inlineStr">
        <is>
          <t>San Diego, Orange County, LA, Santa Barbara (Montecito)</t>
        </is>
      </c>
      <c r="O66" t="inlineStr">
        <is>
          <t>CA-HQ'd</t>
        </is>
      </c>
      <c r="P66" t="inlineStr">
        <is>
          <t>No</t>
        </is>
      </c>
      <c r="Q66" t="inlineStr">
        <is>
          <t>✅ no 0%; $0/$49 AF; apply via banker</t>
        </is>
      </c>
      <c r="R66" s="16" t="inlineStr">
        <is>
          <t>TIB</t>
        </is>
      </c>
      <c r="S66" t="inlineStr">
        <is>
          <t>In-person</t>
        </is>
      </c>
      <c r="T66" t="inlineStr">
        <is>
          <t>Visit branch / contact a banker (no online application)</t>
        </is>
      </c>
      <c r="U66" t="inlineStr">
        <is>
          <t>https://calprivate.bank</t>
        </is>
      </c>
      <c r="V66" t="inlineStr">
        <is>
          <t>https://calprivate.bank/business-banking/business-credit-cards/</t>
        </is>
      </c>
      <c r="W66" t="inlineStr">
        <is>
          <t>Experian (TIB; conflicting 'variable')</t>
        </is>
      </c>
      <c r="X66" t="inlineStr">
        <is>
          <t>N/M</t>
        </is>
      </c>
      <c r="Y66" t="inlineStr">
        <is>
          <t>N/M CalPrivate-specific. TIB-general only.</t>
        </is>
      </c>
      <c r="Z66" t="inlineStr">
        <is>
          <t>2</t>
        </is>
      </c>
      <c r="AA66" t="inlineStr">
        <is>
          <t>PG (infer, TIB standard); income docs N/M</t>
        </is>
      </c>
      <c r="AB66" t="inlineStr">
        <is>
          <t>None (SBA PLP/commercial/CRE full-doc)</t>
        </is>
      </c>
      <c r="AC66" t="inlineStr">
        <is>
          <t>N/M (relationship likely)</t>
        </is>
      </c>
      <c r="AD66" t="inlineStr">
        <is>
          <t>No-doc card — apply in branch</t>
        </is>
      </c>
      <c r="AE66" t="inlineStr">
        <is>
          <t>Business Standard Card; Business Preferred Points Card</t>
        </is>
      </c>
      <c r="AF66" t="inlineStr">
        <is>
          <t>SoCal / San Diego</t>
        </is>
      </c>
      <c r="AG66" t="inlineStr">
        <is>
          <t>La Jolla</t>
        </is>
      </c>
      <c r="AH66" t="inlineStr">
        <is>
          <t>36</t>
        </is>
      </c>
      <c r="AI66" t="inlineStr">
        <is>
          <t>MED-HIGH products/fees/issuer=TIB(convergent); N/M APRs, HP, reports. 2026-05-28</t>
        </is>
      </c>
      <c r="AJ66" t="inlineStr">
        <is>
          <t>calprivate.bank/business-banking/business-credit-cards; cardaccount.net; mypreferredpoints.com</t>
        </is>
      </c>
    </row>
    <row r="67">
      <c r="A67" t="inlineStr">
        <is>
          <t>66</t>
        </is>
      </c>
      <c r="B67" t="inlineStr">
        <is>
          <t>65</t>
        </is>
      </c>
      <c r="C67" s="12" t="inlineStr">
        <is>
          <t>Beneficial State Bank</t>
        </is>
      </c>
      <c r="D67" s="15" t="inlineStr">
        <is>
          <t>CA Bank</t>
        </is>
      </c>
      <c r="E67" t="inlineStr">
        <is>
          <t>Other — NorCal</t>
        </is>
      </c>
      <c r="F67" s="13" t="inlineStr">
        <is>
          <t>2/4  ✓SUW ✗Onl ✗SoCal ✓Card</t>
        </is>
      </c>
      <c r="G67" t="inlineStr">
        <is>
          <t>N/M</t>
        </is>
      </c>
      <c r="H67" t="inlineStr">
        <is>
          <t>N/M</t>
        </is>
      </c>
      <c r="I67" t="inlineStr"/>
      <c r="J67" t="inlineStr">
        <is>
          <t>B — Self-UW (in branch)</t>
        </is>
      </c>
      <c r="K67" t="inlineStr">
        <is>
          <t>N/M (no bank-specific data point found)</t>
        </is>
      </c>
      <c r="L67" t="inlineStr">
        <is>
          <t>$1.97B</t>
        </is>
      </c>
      <c r="M67" t="inlineStr">
        <is>
          <t>$1.66B</t>
        </is>
      </c>
      <c r="N67" t="inlineStr">
        <is>
          <t>CA/OR/WA; CA = Oakland/East Bay; CDFI / B-Corp</t>
        </is>
      </c>
      <c r="O67" t="inlineStr">
        <is>
          <t>CA-HQ'd</t>
        </is>
      </c>
      <c r="P67" t="inlineStr">
        <is>
          <t>Yes</t>
        </is>
      </c>
      <c r="Q67" t="inlineStr">
        <is>
          <t>✅ card exists; terms NOT yet published; CA/OR/WA only</t>
        </is>
      </c>
      <c r="R67" s="7" t="inlineStr">
        <is>
          <t>Self (Fiserv SpendTrack platform)</t>
        </is>
      </c>
      <c r="S67" t="inlineStr">
        <is>
          <t>In-person</t>
        </is>
      </c>
      <c r="T67" t="inlineStr">
        <is>
          <t>Visit branch / contact a banker (no online application)</t>
        </is>
      </c>
      <c r="U67" t="inlineStr">
        <is>
          <t>https://www.beneficialstatebank.com</t>
        </is>
      </c>
      <c r="V67" t="inlineStr">
        <is>
          <t>https://www.beneficialstatebank.com/business-banking/credit-cards</t>
        </is>
      </c>
      <c r="W67" t="inlineStr">
        <is>
          <t>N/M</t>
        </is>
      </c>
      <c r="X67" t="inlineStr">
        <is>
          <t>N/M (consumer card reports on default)</t>
        </is>
      </c>
      <c r="Y67" t="inlineStr">
        <is>
          <t>N/M (new, regionally-restricted CDFI program)</t>
        </is>
      </c>
      <c r="Z67" t="inlineStr">
        <is>
          <t>2</t>
        </is>
      </c>
      <c r="AA67" t="inlineStr">
        <is>
          <t>N/M (consumer cards underwrite soft/self-reported)</t>
        </is>
      </c>
      <c r="AB67" t="inlineStr">
        <is>
          <t>None (SBA/USDA/LOC/term/CRE — documentation-based)</t>
        </is>
      </c>
      <c r="AC67" t="inlineStr">
        <is>
          <t>N/M (relationship likely)</t>
        </is>
      </c>
      <c r="AD67" t="inlineStr">
        <is>
          <t>No-doc card — apply in branch</t>
        </is>
      </c>
      <c r="AE67" t="inlineStr">
        <is>
          <t>2 business credit cards (names not published — 'not ready to advertise yet')</t>
        </is>
      </c>
      <c r="AF67" t="inlineStr">
        <is>
          <t>NorCal / SF</t>
        </is>
      </c>
      <c r="AG67" t="inlineStr">
        <is>
          <t>Oakland</t>
        </is>
      </c>
      <c r="AH67" t="inlineStr">
        <is>
          <t>44</t>
        </is>
      </c>
      <c r="AI67" t="inlineStr">
        <is>
          <t>MED. HIGH self-issue/no-online/CA-OR-WA; LOW/N-M product names, terms, HP. 2026-05-28</t>
        </is>
      </c>
      <c r="AJ67" t="inlineStr">
        <is>
          <t>beneficialstatebank.com/business-banking/credit-cards; CFPB L Card agreement; spendtrack.fiservapp.com/beneficial-sb</t>
        </is>
      </c>
    </row>
    <row r="68">
      <c r="A68" t="inlineStr">
        <is>
          <t>67</t>
        </is>
      </c>
      <c r="B68" t="inlineStr">
        <is>
          <t>66</t>
        </is>
      </c>
      <c r="C68" s="2" t="inlineStr">
        <is>
          <t>Commonwealth Business Bank (CBB)</t>
        </is>
      </c>
      <c r="D68" s="15" t="inlineStr">
        <is>
          <t>CA Bank</t>
        </is>
      </c>
      <c r="E68" t="inlineStr">
        <is>
          <t>★ Core SoCal</t>
        </is>
      </c>
      <c r="F68" s="4" t="inlineStr">
        <is>
          <t>3/4  ✗SUW ✓Onl ✓SoCal ✓Card</t>
        </is>
      </c>
      <c r="G68" t="inlineStr">
        <is>
          <t>N/M</t>
        </is>
      </c>
      <c r="H68" t="inlineStr">
        <is>
          <t>N/M</t>
        </is>
      </c>
      <c r="I68" t="inlineStr"/>
      <c r="J68" t="inlineStr">
        <is>
          <t>E — Elan agent</t>
        </is>
      </c>
      <c r="K68" t="inlineStr">
        <is>
          <t>Elan platform: ~$3K–$10K start, to ~$20K strong files (~$500 seen at 800+ FICO)  [myFICO #6658960]</t>
        </is>
      </c>
      <c r="L68" t="inlineStr">
        <is>
          <t>$1.99B</t>
        </is>
      </c>
      <c r="M68" t="inlineStr">
        <is>
          <t>$1.69B</t>
        </is>
      </c>
      <c r="N68" t="inlineStr">
        <is>
          <t>6 CA branches LA/Orange County; Korean-American major SBA lender (CBB Bancorp)</t>
        </is>
      </c>
      <c r="O68" t="inlineStr">
        <is>
          <t>CA-HQ'd</t>
        </is>
      </c>
      <c r="P68" t="inlineStr">
        <is>
          <t>No</t>
        </is>
      </c>
      <c r="Q68" t="inlineStr">
        <is>
          <t>✅ 0% 6 cycles (Real Rewards); $0 AF; 1.5% + 5.5% travel</t>
        </is>
      </c>
      <c r="R68" s="6" t="inlineStr">
        <is>
          <t>Elan</t>
        </is>
      </c>
      <c r="S68" t="inlineStr">
        <is>
          <t>Online</t>
        </is>
      </c>
      <c r="T68" t="inlineStr">
        <is>
          <t>Online — apply at https://creditcardlearnmore.com/11t3/business-real-rewards</t>
        </is>
      </c>
      <c r="U68" t="inlineStr">
        <is>
          <t>https://www.cbb-bank.com</t>
        </is>
      </c>
      <c r="V68" t="inlineStr">
        <is>
          <t>https://creditcardlearnmore.com/11t3/business-real-rewards</t>
        </is>
      </c>
      <c r="W68" t="inlineStr">
        <is>
          <t>TransUnion (varies EX/EQ)</t>
        </is>
      </c>
      <c r="X68" t="inlineStr">
        <is>
          <t>D&amp;B (infer); personal delinquency-only</t>
        </is>
      </c>
      <c r="Y68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68" t="inlineStr">
        <is>
          <t>3</t>
        </is>
      </c>
      <c r="AA68" t="inlineStr">
        <is>
          <t>PG yes; no tax returns (&lt;$25K)</t>
        </is>
      </c>
      <c r="AB68" t="inlineStr">
        <is>
          <t>None (SBA 7(a)/504/LOC/CRE full-doc; 2yr returns)</t>
        </is>
      </c>
      <c r="AC68" t="inlineStr">
        <is>
          <t>No</t>
        </is>
      </c>
      <c r="AD68" t="inlineStr">
        <is>
          <t>No-doc 0% card — apply online (Elan)</t>
        </is>
      </c>
      <c r="AE68" t="inlineStr">
        <is>
          <t>Elan business suite (Visa Business Real Rewards confirmed)</t>
        </is>
      </c>
      <c r="AF68" t="inlineStr">
        <is>
          <t>SoCal / LA</t>
        </is>
      </c>
      <c r="AG68" t="inlineStr">
        <is>
          <t>Los Angeles</t>
        </is>
      </c>
      <c r="AH68" t="inlineStr">
        <is>
          <t>43</t>
        </is>
      </c>
      <c r="AI68" t="inlineStr">
        <is>
          <t>HIGH issuer/online/Real-Rewards-terms/SBA; MED PG/HP. 2026-05-28</t>
        </is>
      </c>
      <c r="AJ68" t="inlineStr">
        <is>
          <t>cbb-bank.com/en/business/lending/creditcards; creditcardlearnmore.com/11t3; card.myaccountaccess.com</t>
        </is>
      </c>
    </row>
    <row r="69">
      <c r="A69" t="inlineStr">
        <is>
          <t>68</t>
        </is>
      </c>
      <c r="B69" t="inlineStr">
        <is>
          <t>67</t>
        </is>
      </c>
      <c r="C69" s="12" t="inlineStr">
        <is>
          <t>Mission Bank</t>
        </is>
      </c>
      <c r="D69" s="15" t="inlineStr">
        <is>
          <t>CA Bank</t>
        </is>
      </c>
      <c r="E69" t="inlineStr">
        <is>
          <t>Other — Central Valley (Kern)</t>
        </is>
      </c>
      <c r="F69" s="13" t="inlineStr">
        <is>
          <t>2/4  ✗SUW ✓Onl ✗SoCal ✓Card</t>
        </is>
      </c>
      <c r="G69" t="inlineStr">
        <is>
          <t>N/M</t>
        </is>
      </c>
      <c r="H69" t="inlineStr">
        <is>
          <t>N/M</t>
        </is>
      </c>
      <c r="I69" t="inlineStr"/>
      <c r="J69" t="inlineStr">
        <is>
          <t>D — TCM agent</t>
        </is>
      </c>
      <c r="K69" t="inlineStr">
        <is>
          <t>N/M (TCM; conservative, Experian-driven)</t>
        </is>
      </c>
      <c r="L69" t="inlineStr">
        <is>
          <t>$1.92B</t>
        </is>
      </c>
      <c r="M69" t="inlineStr">
        <is>
          <t>$1.68B</t>
        </is>
      </c>
      <c r="N69" t="inlineStr">
        <is>
          <t>8 offices/6 counties: Bakersfield, Shafter, Lancaster, Ventura, Stockton, SLO, Visalia</t>
        </is>
      </c>
      <c r="O69" t="inlineStr">
        <is>
          <t>CA-HQ'd</t>
        </is>
      </c>
      <c r="P69" t="inlineStr">
        <is>
          <t>No</t>
        </is>
      </c>
      <c r="Q69" t="inlineStr">
        <is>
          <t>✅ 0% intro (length N/M); $0 AF; 1% cash back</t>
        </is>
      </c>
      <c r="R69" s="20" t="inlineStr">
        <is>
          <t>TCM Bank, N.A.</t>
        </is>
      </c>
      <c r="S69" t="inlineStr">
        <is>
          <t>Online</t>
        </is>
      </c>
      <c r="T69" t="inlineStr">
        <is>
          <t>Online — apply at https://www.mycommunitycc.com/sgpXj3gLGuZQ</t>
        </is>
      </c>
      <c r="U69" t="inlineStr">
        <is>
          <t>https://www.missionbank.bank</t>
        </is>
      </c>
      <c r="V69" t="inlineStr">
        <is>
          <t>https://www.mycommunitycc.com/sgpXj3gLGuZQ</t>
        </is>
      </c>
      <c r="W69" t="inlineStr">
        <is>
          <t>Experian</t>
        </is>
      </c>
      <c r="X69" t="inlineStr">
        <is>
          <t>N/M (reports per TCM clause; bureaus unnamed)</t>
        </is>
      </c>
      <c r="Y69" t="inlineStr">
        <is>
          <t>TCM: pulls Experian for apps + CLIs; conservative; partner bank has no underwriting say. myfico.com #6303273</t>
        </is>
      </c>
      <c r="Z69" t="inlineStr">
        <is>
          <t>3</t>
        </is>
      </c>
      <c r="AA69" t="inlineStr">
        <is>
          <t>PG likely; SBA-eligible ONLY (excl. &gt;$7M rev or 50+ emp); no tax returns on app</t>
        </is>
      </c>
      <c r="AB69" t="inlineStr">
        <is>
          <t>None (commercial LOC/equipment/CRE/SBA full-doc)</t>
        </is>
      </c>
      <c r="AC69" t="inlineStr">
        <is>
          <t>N/M</t>
        </is>
      </c>
      <c r="AD69" t="inlineStr">
        <is>
          <t>★ No-doc 0% card — apply online</t>
        </is>
      </c>
      <c r="AE69" t="inlineStr">
        <is>
          <t>Business Rewards, Business Cash Rewards, Business Edition, Company Rewards, Purchasing (TCM Visa)</t>
        </is>
      </c>
      <c r="AF69" t="inlineStr">
        <is>
          <t>Central Valley (Kern)</t>
        </is>
      </c>
      <c r="AG69" t="inlineStr">
        <is>
          <t>Bakersfield</t>
        </is>
      </c>
      <c r="AH69" t="inlineStr">
        <is>
          <t>46</t>
        </is>
      </c>
      <c r="AI69" t="inlineStr">
        <is>
          <t>MED-HIGH relevance/issuer (TCM)/$0AF/online/HP=Experian/SBA-gate; N/M APR length. 2026-05-28</t>
        </is>
      </c>
      <c r="AJ69" t="inlineStr">
        <is>
          <t>missionbank.bank/business/business-credit-cards; mycommunitycc.com/sgpXj3gLGuZQ; bbb.org TCM (Experian)</t>
        </is>
      </c>
    </row>
    <row r="70">
      <c r="A70" t="inlineStr">
        <is>
          <t>69</t>
        </is>
      </c>
      <c r="B70" t="inlineStr">
        <is>
          <t>68</t>
        </is>
      </c>
      <c r="C70" s="12" t="inlineStr">
        <is>
          <t>American Airlines Credit Union</t>
        </is>
      </c>
      <c r="D70" s="11" t="inlineStr">
        <is>
          <t>Credit Union</t>
        </is>
      </c>
      <c r="E70" t="inlineStr">
        <is>
          <t>★ Core SoCal</t>
        </is>
      </c>
      <c r="F70" s="13" t="inlineStr">
        <is>
          <t>2/4  ✗SUW ✗Onl ✓SoCal ✓Card</t>
        </is>
      </c>
      <c r="G70" t="inlineStr">
        <is>
          <t>N/M</t>
        </is>
      </c>
      <c r="H70" t="inlineStr">
        <is>
          <t>N/M</t>
        </is>
      </c>
      <c r="I70" t="inlineStr"/>
      <c r="J70" t="inlineStr">
        <is>
          <t>C — Other agent card</t>
        </is>
      </c>
      <c r="K70" t="inlineStr">
        <is>
          <t>N/M (no bank-specific data point found)</t>
        </is>
      </c>
      <c r="L70" t="inlineStr">
        <is>
          <t>~$9.45B</t>
        </is>
      </c>
      <c r="M70" t="inlineStr">
        <is>
          <t>—</t>
        </is>
      </c>
      <c r="N70" t="inlineStr">
        <is>
          <t>2 LA branches; $9.4B</t>
        </is>
      </c>
      <c r="O70" t="inlineStr">
        <is>
          <t>CA-HQ'd</t>
        </is>
      </c>
      <c r="P70" t="inlineStr">
        <is>
          <t>Unknown</t>
        </is>
      </c>
      <c r="Q70" t="inlineStr">
        <is>
          <t>✅ Business credit card + BLOC offered (skim-level); air-transport-industry FOM; terms N/M</t>
        </is>
      </c>
      <c r="R70" s="9" t="inlineStr">
        <is>
          <t>N/M (skim level)</t>
        </is>
      </c>
      <c r="S70" t="inlineStr">
        <is>
          <t>In-person</t>
        </is>
      </c>
      <c r="T70" t="inlineStr">
        <is>
          <t>Visit branch / contact a banker (no online application)</t>
        </is>
      </c>
      <c r="U70" t="inlineStr">
        <is>
          <t>https://www.aacreditunion.org</t>
        </is>
      </c>
      <c r="V70" t="inlineStr">
        <is>
          <t>https://www.aacreditunion.org</t>
        </is>
      </c>
      <c r="W70" t="inlineStr">
        <is>
          <t>N/M</t>
        </is>
      </c>
      <c r="X70" t="inlineStr">
        <is>
          <t>N/M</t>
        </is>
      </c>
      <c r="Y70" t="inlineStr">
        <is>
          <t>SEG-skim only — deep-dive pending. 2 LA-area branches (LAX). Light census 2026-06-10.</t>
        </is>
      </c>
      <c r="Z70" t="inlineStr">
        <is>
          <t>2</t>
        </is>
      </c>
      <c r="AA70" t="inlineStr">
        <is>
          <t>N/M</t>
        </is>
      </c>
      <c r="AB70" t="inlineStr">
        <is>
          <t>N/M</t>
        </is>
      </c>
      <c r="AC70" t="inlineStr">
        <is>
          <t>Membership: AA/air-transport workers + family (closed-ish FOM)</t>
        </is>
      </c>
      <c r="AD70" t="inlineStr">
        <is>
          <t>No-doc card — apply in branch</t>
        </is>
      </c>
      <c r="AE70" t="inlineStr">
        <is>
          <t>Business card + BLOC (names N/M)</t>
        </is>
      </c>
      <c r="AF70" t="inlineStr">
        <is>
          <t>SoCal / LA (LAX-area branches; TX-HQ'd)</t>
        </is>
      </c>
      <c r="AG70" t="inlineStr">
        <is>
          <t>Fort Worth, TX</t>
        </is>
      </c>
      <c r="AH70" t="inlineStr">
        <is>
          <t>CU</t>
        </is>
      </c>
      <c r="AI70" t="inlineStr">
        <is>
          <t>LOW (skim). 2026-06-10</t>
        </is>
      </c>
      <c r="AJ70" t="inlineStr">
        <is>
          <t>aacreditunion.org (skim)</t>
        </is>
      </c>
    </row>
    <row r="71">
      <c r="A71" t="inlineStr">
        <is>
          <t>70</t>
        </is>
      </c>
      <c r="B71" t="inlineStr">
        <is>
          <t>69</t>
        </is>
      </c>
      <c r="C71" s="12" t="inlineStr">
        <is>
          <t>West Coast Community Bank</t>
        </is>
      </c>
      <c r="D71" s="15" t="inlineStr">
        <is>
          <t>CA Bank</t>
        </is>
      </c>
      <c r="E71" t="inlineStr">
        <is>
          <t>Other — Central Coast</t>
        </is>
      </c>
      <c r="F71" s="13" t="inlineStr">
        <is>
          <t>1/4  ✗SUW ✗Onl ✗SoCal ✓Card</t>
        </is>
      </c>
      <c r="G71" t="inlineStr">
        <is>
          <t>N/M</t>
        </is>
      </c>
      <c r="H71" t="inlineStr">
        <is>
          <t>N/M</t>
        </is>
      </c>
      <c r="I71" t="inlineStr"/>
      <c r="J71" t="inlineStr">
        <is>
          <t>B — Self-UW (in branch)</t>
        </is>
      </c>
      <c r="K71" t="inlineStr">
        <is>
          <t>N/M (no bank-specific data point found)</t>
        </is>
      </c>
      <c r="L71" t="inlineStr">
        <is>
          <t>$2.90B</t>
        </is>
      </c>
      <c r="M71" t="inlineStr">
        <is>
          <t>$2.48B</t>
        </is>
      </c>
      <c r="N71" t="inlineStr">
        <is>
          <t>Santa Cruz/Monterey/SLO/Santa Clara; ex-Santa Cruz County Bank + 1st Capital</t>
        </is>
      </c>
      <c r="O71" t="inlineStr">
        <is>
          <t>CA-HQ'd</t>
        </is>
      </c>
      <c r="P71" t="inlineStr">
        <is>
          <t>Partial (CorServ self-issue)</t>
        </is>
      </c>
      <c r="Q71" t="inlineStr">
        <is>
          <t>⚠️ Commercial — CorServ Mastercard; $0 AF; phone only</t>
        </is>
      </c>
      <c r="R71" s="14" t="inlineStr">
        <is>
          <t>Self (CorServ 'Apex')</t>
        </is>
      </c>
      <c r="S71" t="inlineStr">
        <is>
          <t>In-person</t>
        </is>
      </c>
      <c r="T71" t="inlineStr">
        <is>
          <t>Visit branch / contact a banker (no online application)</t>
        </is>
      </c>
      <c r="U71" t="inlineStr">
        <is>
          <t>https://wccb.com</t>
        </is>
      </c>
      <c r="V71" t="inlineStr">
        <is>
          <t>https://wccb.com/corporate_cards</t>
        </is>
      </c>
      <c r="W71" t="inlineStr">
        <is>
          <t>N/M</t>
        </is>
      </c>
      <c r="X71" t="inlineStr">
        <is>
          <t>N/M</t>
        </is>
      </c>
      <c r="Y71" t="inlineStr">
        <is>
          <t>N/M (no forum data)</t>
        </is>
      </c>
      <c r="Z71" t="inlineStr">
        <is>
          <t>2</t>
        </is>
      </c>
      <c r="AA71" t="inlineStr">
        <is>
          <t>N/M (PG typical)</t>
        </is>
      </c>
      <c r="AB71" t="inlineStr">
        <is>
          <t>N/M (LOC/CRE/ABL/SBA full-doc)</t>
        </is>
      </c>
      <c r="AC71" t="inlineStr">
        <is>
          <t>N/M (relationship expected)</t>
        </is>
      </c>
      <c r="AD71" t="inlineStr">
        <is>
          <t>No-doc card — apply in branch</t>
        </is>
      </c>
      <c r="AE71" t="inlineStr">
        <is>
          <t>Corporate Credit Card; Corporate Purchasing Card</t>
        </is>
      </c>
      <c r="AF71" t="inlineStr">
        <is>
          <t>Central Coast / Silicon Valley</t>
        </is>
      </c>
      <c r="AG71" t="inlineStr">
        <is>
          <t>Santa Cruz</t>
        </is>
      </c>
      <c r="AH71" t="inlineStr">
        <is>
          <t>34</t>
        </is>
      </c>
      <c r="AI71" t="inlineStr">
        <is>
          <t>MED-LOW. Relationship/phone-only → low no-doc utility; issuer-of-record N/M. 2026-05-28</t>
        </is>
      </c>
      <c r="AJ71" t="inlineStr">
        <is>
          <t>wccb.com/corporate_cards + business_banking; wccb.myapexcard.com; corservsolutions.com</t>
        </is>
      </c>
    </row>
    <row r="72">
      <c r="A72" t="inlineStr">
        <is>
          <t>71</t>
        </is>
      </c>
      <c r="B72" t="inlineStr">
        <is>
          <t>70</t>
        </is>
      </c>
      <c r="C72" s="12" t="inlineStr">
        <is>
          <t>Baxter Credit Union (BCU)</t>
        </is>
      </c>
      <c r="D72" s="11" t="inlineStr">
        <is>
          <t>Credit Union</t>
        </is>
      </c>
      <c r="E72" t="inlineStr">
        <is>
          <t>★ Core SoCal</t>
        </is>
      </c>
      <c r="F72" s="13" t="inlineStr">
        <is>
          <t>2/4  ✗SUW ✗Onl ✓SoCal ✓Card</t>
        </is>
      </c>
      <c r="G72" t="inlineStr">
        <is>
          <t>N/M</t>
        </is>
      </c>
      <c r="H72" t="inlineStr">
        <is>
          <t>N/M</t>
        </is>
      </c>
      <c r="I72" t="inlineStr"/>
      <c r="J72" t="inlineStr">
        <is>
          <t>C — Other agent card</t>
        </is>
      </c>
      <c r="K72" t="inlineStr">
        <is>
          <t>N/M (no bank-specific data point found)</t>
        </is>
      </c>
      <c r="L72" t="inlineStr">
        <is>
          <t>~$6.5B</t>
        </is>
      </c>
      <c r="M72" t="inlineStr">
        <is>
          <t>—</t>
        </is>
      </c>
      <c r="N72" t="inlineStr">
        <is>
          <t>2 LA/OC branches; ~$6.5B</t>
        </is>
      </c>
      <c r="O72" t="inlineStr">
        <is>
          <t>CA-HQ'd</t>
        </is>
      </c>
      <c r="P72" t="inlineStr">
        <is>
          <t>Unknown</t>
        </is>
      </c>
      <c r="Q72" t="inlineStr">
        <is>
          <t>✅ Business card + BLOC offered (skim-level); terms/issuer N/M</t>
        </is>
      </c>
      <c r="R72" s="9" t="inlineStr">
        <is>
          <t>N/M (skim)</t>
        </is>
      </c>
      <c r="S72" t="inlineStr">
        <is>
          <t>In-person</t>
        </is>
      </c>
      <c r="T72" t="inlineStr">
        <is>
          <t>Visit branch / contact a banker (no online application)</t>
        </is>
      </c>
      <c r="U72" t="inlineStr">
        <is>
          <t>https://www.bcu.org</t>
        </is>
      </c>
      <c r="V72" t="inlineStr">
        <is>
          <t>https://www.bcu.org</t>
        </is>
      </c>
      <c r="W72" t="inlineStr">
        <is>
          <t>N/M</t>
        </is>
      </c>
      <c r="X72" t="inlineStr">
        <is>
          <t>N/M</t>
        </is>
      </c>
      <c r="Y72" t="inlineStr">
        <is>
          <t>SEG skim 2026-06-10 — deep-dive pending.</t>
        </is>
      </c>
      <c r="Z72" t="inlineStr">
        <is>
          <t>2</t>
        </is>
      </c>
      <c r="AA72" t="inlineStr">
        <is>
          <t>N/M</t>
        </is>
      </c>
      <c r="AB72" t="inlineStr">
        <is>
          <t>N/M</t>
        </is>
      </c>
      <c r="AC72" t="inlineStr">
        <is>
          <t>Membership: sponsor-company employees + select communities</t>
        </is>
      </c>
      <c r="AD72" t="inlineStr">
        <is>
          <t>No-doc card — apply in branch</t>
        </is>
      </c>
      <c r="AE72" t="inlineStr">
        <is>
          <t>Business card + BLOC (names N/M)</t>
        </is>
      </c>
      <c r="AF72" t="inlineStr">
        <is>
          <t>SoCal / LA-OC (2 branches; IL-HQ'd)</t>
        </is>
      </c>
      <c r="AG72" t="inlineStr">
        <is>
          <t>Vernon Hills, IL</t>
        </is>
      </c>
      <c r="AH72" t="inlineStr">
        <is>
          <t>CU</t>
        </is>
      </c>
      <c r="AI72" t="inlineStr">
        <is>
          <t>LOW (skim). 2026-06-10</t>
        </is>
      </c>
      <c r="AJ72" t="inlineStr">
        <is>
          <t>bcu.org (skim)</t>
        </is>
      </c>
    </row>
    <row r="73">
      <c r="A73" t="inlineStr">
        <is>
          <t>72</t>
        </is>
      </c>
      <c r="B73" t="inlineStr">
        <is>
          <t>71</t>
        </is>
      </c>
      <c r="C73" s="2" t="inlineStr">
        <is>
          <t>Beach Cities Commercial Bank</t>
        </is>
      </c>
      <c r="D73" s="15" t="inlineStr">
        <is>
          <t>CA Bank</t>
        </is>
      </c>
      <c r="E73" t="inlineStr">
        <is>
          <t>★ Core SoCal</t>
        </is>
      </c>
      <c r="F73" s="4" t="inlineStr">
        <is>
          <t>3/4  ✗SUW ✓Onl ✓SoCal ✓Card</t>
        </is>
      </c>
      <c r="G73" t="inlineStr">
        <is>
          <t>N/M</t>
        </is>
      </c>
      <c r="H73" t="inlineStr">
        <is>
          <t>N/M</t>
        </is>
      </c>
      <c r="I73" t="inlineStr"/>
      <c r="J73" t="inlineStr">
        <is>
          <t>E — Elan agent</t>
        </is>
      </c>
      <c r="K73" t="inlineStr">
        <is>
          <t>Elan platform: ~$3K–$10K start, to ~$20K strong files (~$500 seen at 800+ FICO)  [myFICO #6658960]</t>
        </is>
      </c>
      <c r="L73" t="inlineStr">
        <is>
          <t>$0.18B</t>
        </is>
      </c>
      <c r="M73" t="inlineStr">
        <is>
          <t>N/M</t>
        </is>
      </c>
      <c r="N73" t="inlineStr">
        <is>
          <t>Irvine HQ (OC) + Encinitas + South OC; de novo est 2023; ticker BCCB</t>
        </is>
      </c>
      <c r="O73" t="inlineStr">
        <is>
          <t>CA-HQ'd</t>
        </is>
      </c>
      <c r="P73" t="inlineStr">
        <is>
          <t>No</t>
        </is>
      </c>
      <c r="Q73" t="inlineStr">
        <is>
          <t>✅ Elan biz cards incl. Business ZERO+ (extended 0% intro); $0 AF; cash back; tied to select deposit accts</t>
        </is>
      </c>
      <c r="R73" s="6" t="inlineStr">
        <is>
          <t>Elan</t>
        </is>
      </c>
      <c r="S73" t="inlineStr">
        <is>
          <t>Online</t>
        </is>
      </c>
      <c r="T73" t="inlineStr">
        <is>
          <t>Online — apply at https://www.beachcitiescb.com/Card-Solutions/</t>
        </is>
      </c>
      <c r="U73" t="inlineStr">
        <is>
          <t>https://www.beachcitiescb.com</t>
        </is>
      </c>
      <c r="V73" t="inlineStr">
        <is>
          <t>https://www.beachcitiescb.com/Card-Solutions/</t>
        </is>
      </c>
      <c r="W73" t="inlineStr">
        <is>
          <t>TransUnion (varies EX/EQ)</t>
        </is>
      </c>
      <c r="X73" t="inlineStr">
        <is>
          <t>D&amp;B; not personal in good standing</t>
        </is>
      </c>
      <c r="Y73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73" t="inlineStr">
        <is>
          <t>3</t>
        </is>
      </c>
      <c r="AA73" t="inlineStr">
        <is>
          <t>PG yes; no tax returns (&lt;$25K)</t>
        </is>
      </c>
      <c r="AB73" t="inlineStr">
        <is>
          <t>None (LOC/term/equipment/CRE/bridge/SBA/CA loan guarantee/construction full-doc)</t>
        </is>
      </c>
      <c r="AC73" t="inlineStr">
        <is>
          <t>Tied to select deposit accounts (per Commercial Banking page)</t>
        </is>
      </c>
      <c r="AD73" t="inlineStr">
        <is>
          <t>No-doc 0% card — apply online (Elan)</t>
        </is>
      </c>
      <c r="AE73" t="inlineStr">
        <is>
          <t>Business Cash Preferred, Business ZERO+ (0% intro), Smart Business Rewards, Business Real Rewards (Elan)</t>
        </is>
      </c>
      <c r="AF73" t="inlineStr">
        <is>
          <t>SoCal / Orange County</t>
        </is>
      </c>
      <c r="AG73" t="inlineStr">
        <is>
          <t>Irvine</t>
        </is>
      </c>
      <c r="AH73" t="inlineStr">
        <is>
          <t>106</t>
        </is>
      </c>
      <c r="AI73" t="inlineStr">
        <is>
          <t>HIGH issuer=Elan (own footer disclosure)/products incl ZERO+/online/OC; deposit-tied; N/M HP, exact APR. 2026-05-29</t>
        </is>
      </c>
      <c r="AJ73" t="inlineStr">
        <is>
          <t>beachcitiescb.com/Card-Solutions ('issuer is Elan Financial Services') + /Commercial-Banking; FDIC cert 59290</t>
        </is>
      </c>
    </row>
    <row r="74">
      <c r="A74" t="inlineStr">
        <is>
          <t>73</t>
        </is>
      </c>
      <c r="B74" t="inlineStr">
        <is>
          <t>72</t>
        </is>
      </c>
      <c r="C74" s="12" t="inlineStr">
        <is>
          <t>First Tech Federal Credit Union</t>
        </is>
      </c>
      <c r="D74" s="11" t="inlineStr">
        <is>
          <t>Credit Union</t>
        </is>
      </c>
      <c r="E74" t="inlineStr">
        <is>
          <t>National (lends in CA)</t>
        </is>
      </c>
      <c r="F74" s="13" t="inlineStr">
        <is>
          <t>1/4  ✗SUW ✗Onl ✗SoCal ✓Card</t>
        </is>
      </c>
      <c r="G74" t="inlineStr">
        <is>
          <t>N/M</t>
        </is>
      </c>
      <c r="H74" t="inlineStr">
        <is>
          <t>N/M</t>
        </is>
      </c>
      <c r="I74" t="inlineStr"/>
      <c r="J74" t="inlineStr">
        <is>
          <t>C — Other agent card</t>
        </is>
      </c>
      <c r="K74" t="inlineStr">
        <is>
          <t>N/M (no bank-specific data point found)</t>
        </is>
      </c>
      <c r="L74" t="inlineStr">
        <is>
          <t>~$28.7B (post-DCU merger)</t>
        </is>
      </c>
      <c r="M74" t="inlineStr">
        <is>
          <t>—</t>
        </is>
      </c>
      <c r="N74" t="inlineStr">
        <is>
          <t>Branches CA/OR/WA/TX/GA/CO/ID; merged w/ DCU Jan 1 2026 (~$28.7B)</t>
        </is>
      </c>
      <c r="O74" t="inlineStr">
        <is>
          <t>CA-HQ'd</t>
        </is>
      </c>
      <c r="P74" t="inlineStr">
        <is>
          <t>Unknown</t>
        </is>
      </c>
      <c r="Q74" t="inlineStr">
        <is>
          <t>⚠️ Business Credit Mastercard exists but 'existing cardholders only' — no online app, no published terms</t>
        </is>
      </c>
      <c r="R74" s="9" t="inlineStr">
        <is>
          <t>N/M (self-issues personal cards; business-card issuer undisclosed)</t>
        </is>
      </c>
      <c r="S74" t="inlineStr">
        <is>
          <t>In-person</t>
        </is>
      </c>
      <c r="T74" t="inlineStr">
        <is>
          <t>Visit branch / contact a banker (no online application)</t>
        </is>
      </c>
      <c r="U74" t="inlineStr">
        <is>
          <t>https://www.firsttechfed.com/bank/business</t>
        </is>
      </c>
      <c r="V74" t="inlineStr">
        <is>
          <t>—</t>
        </is>
      </c>
      <c r="W74" t="inlineStr">
        <is>
          <t>Experian (personal cards; business N/M)</t>
        </is>
      </c>
      <c r="X74" t="inlineStr">
        <is>
          <t>N/M</t>
        </is>
      </c>
      <c r="Y74" t="inlineStr">
        <is>
          <t>Business card closed/legacy. Proof-of-income (POI) required generally — income-focused, NOT no-doc. Merged w/ DCU Jan 2026.</t>
        </is>
      </c>
      <c r="Z74" t="inlineStr">
        <is>
          <t>2</t>
        </is>
      </c>
      <c r="AA74" t="inlineStr">
        <is>
          <t>N/M (POI required generally)</t>
        </is>
      </c>
      <c r="AB74" t="inlineStr">
        <is>
          <t>None (income-doc focused)</t>
        </is>
      </c>
      <c r="AC74" t="inlineStr">
        <is>
          <t>Membership required (1,700+ tech employers; OPEN via Financial Fitness Assoc $8/yr nationwide)</t>
        </is>
      </c>
      <c r="AD74" t="inlineStr">
        <is>
          <t>No-doc card — apply in branch</t>
        </is>
      </c>
      <c r="AE74" t="inlineStr">
        <is>
          <t>Business Credit Mastercard (existing cardholders only); Business Debit</t>
        </is>
      </c>
      <c r="AF74" t="inlineStr">
        <is>
          <t>National FOM — CA tech employers + open via FFA</t>
        </is>
      </c>
      <c r="AG74" t="inlineStr">
        <is>
          <t>San Jose, CA (corp Beaverton, OR)</t>
        </is>
      </c>
      <c r="AH74" t="inlineStr">
        <is>
          <t>CU</t>
        </is>
      </c>
      <c r="AI74" t="inlineStr">
        <is>
          <t>MED-HIGH card exists but closed/no-terms/income-doc-focused = low utility; issuer N/M. 2026-05-28</t>
        </is>
      </c>
      <c r="AJ74" t="inlineStr">
        <is>
          <t>firsttechfed.com/help/cardholder-benefits + /bank/business; CFPB consumer disclosure; financialfitnessassociation.org</t>
        </is>
      </c>
    </row>
    <row r="75">
      <c r="A75" t="inlineStr">
        <is>
          <t>74</t>
        </is>
      </c>
      <c r="B75" t="inlineStr">
        <is>
          <t>73</t>
        </is>
      </c>
      <c r="C75" s="12" t="inlineStr">
        <is>
          <t>Metropolitan Bank (Oakland)</t>
        </is>
      </c>
      <c r="D75" s="15" t="inlineStr">
        <is>
          <t>CA Bank</t>
        </is>
      </c>
      <c r="E75" t="inlineStr">
        <is>
          <t>Other — NorCal</t>
        </is>
      </c>
      <c r="F75" s="13" t="inlineStr">
        <is>
          <t>2/4  ✗SUW ✓Onl ✗SoCal ✓Card</t>
        </is>
      </c>
      <c r="G75" t="inlineStr">
        <is>
          <t>N/M</t>
        </is>
      </c>
      <c r="H75" t="inlineStr">
        <is>
          <t>N/M</t>
        </is>
      </c>
      <c r="I75" t="inlineStr"/>
      <c r="J75" t="inlineStr">
        <is>
          <t>C — Other agent card</t>
        </is>
      </c>
      <c r="K75" t="inlineStr">
        <is>
          <t>N/M (no bank-specific data point found)</t>
        </is>
      </c>
      <c r="L75" t="inlineStr">
        <is>
          <t>$0.23B</t>
        </is>
      </c>
      <c r="M75" t="inlineStr">
        <is>
          <t>N/M</t>
        </is>
      </c>
      <c r="N75" t="inlineStr">
        <is>
          <t>4 CA branches (Oakland Chinatown HQ + Bay Area); Met Financial Corp; est 1983</t>
        </is>
      </c>
      <c r="O75" t="inlineStr">
        <is>
          <t>CA-HQ'd</t>
        </is>
      </c>
      <c r="P75" t="inlineStr">
        <is>
          <t>Unknown</t>
        </is>
      </c>
      <c r="Q75" t="inlineStr">
        <is>
          <t>✅ Business + personal Visa (mycommunitycc.com platform); terms N/M</t>
        </is>
      </c>
      <c r="R75" s="9" t="inlineStr">
        <is>
          <t>Unknown (mycommunitycc.com platform → likely TCM Bank; NOT Elan — that's a different same-name bank)</t>
        </is>
      </c>
      <c r="S75" t="inlineStr">
        <is>
          <t>Online</t>
        </is>
      </c>
      <c r="T75" t="inlineStr">
        <is>
          <t>Online — apply at https://www.mycommunitycc.com/FROlvrV1uR72</t>
        </is>
      </c>
      <c r="U75" t="inlineStr">
        <is>
          <t>https://www.met.bank</t>
        </is>
      </c>
      <c r="V75" t="inlineStr">
        <is>
          <t>https://www.mycommunitycc.com/FROlvrV1uR72</t>
        </is>
      </c>
      <c r="W75" t="inlineStr">
        <is>
          <t>N/M (if TCM: Experian)</t>
        </is>
      </c>
      <c r="X75" t="inlineStr">
        <is>
          <t>N/M</t>
        </is>
      </c>
      <c r="Y75" t="inlineStr">
        <is>
          <t>N/M (app portal is JS shell; no terms exposed). Do NOT import Elan/mbonlineportal data (different Metropolitan Bank).</t>
        </is>
      </c>
      <c r="Z75" t="inlineStr">
        <is>
          <t>3</t>
        </is>
      </c>
      <c r="AA75" t="inlineStr">
        <is>
          <t>N/M</t>
        </is>
      </c>
      <c r="AB75" t="inlineStr">
        <is>
          <t>None (LOC/working-capital/LC/construction/farm/CRE/multifamily full-doc)</t>
        </is>
      </c>
      <c r="AC75" t="inlineStr">
        <is>
          <t>N/M</t>
        </is>
      </c>
      <c r="AD75" t="inlineStr">
        <is>
          <t>★ No-doc card — apply online</t>
        </is>
      </c>
      <c r="AE75" t="inlineStr">
        <is>
          <t>Metropolitan Bank-branded Visa business + personal (via mycommunitycc.com; SKUs N/M)</t>
        </is>
      </c>
      <c r="AF75" t="inlineStr">
        <is>
          <t>NorCal / SF-East Bay</t>
        </is>
      </c>
      <c r="AG75" t="inlineStr">
        <is>
          <t>Oakland</t>
        </is>
      </c>
      <c r="AH75" t="inlineStr">
        <is>
          <t>100</t>
        </is>
      </c>
      <c r="AI75" t="inlineStr">
        <is>
          <t>MED card-exists/online; issuer likely TCM (mycommunitycc.com) but UNVERIFIED; terms N/M. NOT the Elan Metropolitan Bank. 2026-05-29</t>
        </is>
      </c>
      <c r="AJ75" t="inlineStr">
        <is>
          <t>met.bank/business-banking; mycommunitycc.com/FROlvrV1uR72; FDIC cert 25869</t>
        </is>
      </c>
    </row>
    <row r="76">
      <c r="A76" t="inlineStr">
        <is>
          <t>75</t>
        </is>
      </c>
      <c r="B76" t="inlineStr">
        <is>
          <t>74</t>
        </is>
      </c>
      <c r="C76" s="12" t="inlineStr">
        <is>
          <t>Together Credit Union</t>
        </is>
      </c>
      <c r="D76" s="11" t="inlineStr">
        <is>
          <t>Credit Union</t>
        </is>
      </c>
      <c r="E76" t="inlineStr">
        <is>
          <t>★ Core SoCal</t>
        </is>
      </c>
      <c r="F76" s="13" t="inlineStr">
        <is>
          <t>2/4  ✗SUW ✗Onl ✓SoCal ✓Card</t>
        </is>
      </c>
      <c r="G76" t="inlineStr">
        <is>
          <t>N/M</t>
        </is>
      </c>
      <c r="H76" t="inlineStr">
        <is>
          <t>N/M</t>
        </is>
      </c>
      <c r="I76" t="inlineStr"/>
      <c r="J76" t="inlineStr">
        <is>
          <t>C — Other agent card</t>
        </is>
      </c>
      <c r="K76" t="inlineStr">
        <is>
          <t>N/M (no bank-specific data point found)</t>
        </is>
      </c>
      <c r="L76" t="inlineStr">
        <is>
          <t>~$2.72B</t>
        </is>
      </c>
      <c r="M76" t="inlineStr">
        <is>
          <t>—</t>
        </is>
      </c>
      <c r="N76" t="inlineStr">
        <is>
          <t>1 LA branch; ~$2.7B</t>
        </is>
      </c>
      <c r="O76" t="inlineStr">
        <is>
          <t>CA-HQ'd</t>
        </is>
      </c>
      <c r="P76" t="inlineStr">
        <is>
          <t>Unknown</t>
        </is>
      </c>
      <c r="Q76" t="inlineStr">
        <is>
          <t>✅ Business card offered (skim-level; BLOC: No); terms N/M</t>
        </is>
      </c>
      <c r="R76" s="9" t="inlineStr">
        <is>
          <t>N/M (skim)</t>
        </is>
      </c>
      <c r="S76" t="inlineStr">
        <is>
          <t>In-person</t>
        </is>
      </c>
      <c r="T76" t="inlineStr">
        <is>
          <t>Visit branch / contact a banker (no online application)</t>
        </is>
      </c>
      <c r="U76" t="inlineStr">
        <is>
          <t>https://www.togethercu.org</t>
        </is>
      </c>
      <c r="V76" t="inlineStr">
        <is>
          <t>https://www.togethercu.org</t>
        </is>
      </c>
      <c r="W76" t="inlineStr">
        <is>
          <t>N/M</t>
        </is>
      </c>
      <c r="X76" t="inlineStr">
        <is>
          <t>N/M</t>
        </is>
      </c>
      <c r="Y76" t="inlineStr">
        <is>
          <t>SEG skim 2026-06-10 — deep-dive pending.</t>
        </is>
      </c>
      <c r="Z76" t="inlineStr">
        <is>
          <t>2</t>
        </is>
      </c>
      <c r="AA76" t="inlineStr">
        <is>
          <t>N/M</t>
        </is>
      </c>
      <c r="AB76" t="inlineStr">
        <is>
          <t>N/M</t>
        </is>
      </c>
      <c r="AC76" t="inlineStr">
        <is>
          <t>Membership: communities, employer partners, family</t>
        </is>
      </c>
      <c r="AD76" t="inlineStr">
        <is>
          <t>No-doc card — apply in branch</t>
        </is>
      </c>
      <c r="AE76" t="inlineStr">
        <is>
          <t>Business card (name N/M)</t>
        </is>
      </c>
      <c r="AF76" t="inlineStr">
        <is>
          <t>SoCal / LA (1 branch; MO-HQ'd)</t>
        </is>
      </c>
      <c r="AG76" t="inlineStr">
        <is>
          <t>St. Louis, MO</t>
        </is>
      </c>
      <c r="AH76" t="inlineStr">
        <is>
          <t>CU</t>
        </is>
      </c>
      <c r="AI76" t="inlineStr">
        <is>
          <t>LOW (skim). 2026-06-10</t>
        </is>
      </c>
      <c r="AJ76" t="inlineStr">
        <is>
          <t>togethercu.org (skim)</t>
        </is>
      </c>
    </row>
    <row r="77">
      <c r="A77" t="inlineStr">
        <is>
          <t>76</t>
        </is>
      </c>
      <c r="B77" t="inlineStr">
        <is>
          <t>75</t>
        </is>
      </c>
      <c r="C77" s="2" t="inlineStr">
        <is>
          <t>State Bank of India (California)</t>
        </is>
      </c>
      <c r="D77" s="15" t="inlineStr">
        <is>
          <t>CA Bank</t>
        </is>
      </c>
      <c r="E77" t="inlineStr">
        <is>
          <t>★ Core SoCal</t>
        </is>
      </c>
      <c r="F77" s="4" t="inlineStr">
        <is>
          <t>3/4  ✗SUW ✓Onl ✓SoCal ✓Card</t>
        </is>
      </c>
      <c r="G77" t="inlineStr">
        <is>
          <t>N/M</t>
        </is>
      </c>
      <c r="H77" t="inlineStr">
        <is>
          <t>N/M</t>
        </is>
      </c>
      <c r="I77" t="inlineStr"/>
      <c r="J77" t="inlineStr">
        <is>
          <t>E — Elan agent</t>
        </is>
      </c>
      <c r="K77" t="inlineStr">
        <is>
          <t>Elan platform: ~$3K–$10K start, to ~$20K strong files (~$500 seen at 800+ FICO)  [myFICO #6658960]</t>
        </is>
      </c>
      <c r="L77" t="inlineStr">
        <is>
          <t>$1.39B</t>
        </is>
      </c>
      <c r="M77" t="inlineStr">
        <is>
          <t>N/M</t>
        </is>
      </c>
      <c r="N77" t="inlineStr">
        <is>
          <t>~7 CA branches (LA, San Diego, Fremont, etc.); subsidiary of State Bank of India</t>
        </is>
      </c>
      <c r="O77" t="inlineStr">
        <is>
          <t>CA-HQ'd</t>
        </is>
      </c>
      <c r="P77" t="inlineStr">
        <is>
          <t>No</t>
        </is>
      </c>
      <c r="Q77" t="inlineStr">
        <is>
          <t>✅ Elan biz cards; terms N/M (not published on site); $0 AF likely</t>
        </is>
      </c>
      <c r="R77" s="6" t="inlineStr">
        <is>
          <t>Elan</t>
        </is>
      </c>
      <c r="S77" t="inlineStr">
        <is>
          <t>Online</t>
        </is>
      </c>
      <c r="T77" t="inlineStr">
        <is>
          <t>Online — apply at https://www.sbical.bank/business-banking/business-credit-cards</t>
        </is>
      </c>
      <c r="U77" t="inlineStr">
        <is>
          <t>https://www.sbical.bank</t>
        </is>
      </c>
      <c r="V77" t="inlineStr">
        <is>
          <t>https://www.sbical.bank/business-banking/business-credit-cards</t>
        </is>
      </c>
      <c r="W77" t="inlineStr">
        <is>
          <t>TransUnion (varies EX/EQ)</t>
        </is>
      </c>
      <c r="X77" t="inlineStr">
        <is>
          <t>D&amp;B; not personal in good standing</t>
        </is>
      </c>
      <c r="Y77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77" t="inlineStr">
        <is>
          <t>3</t>
        </is>
      </c>
      <c r="AA77" t="inlineStr">
        <is>
          <t>PG yes; no tax returns (&lt;$25K)</t>
        </is>
      </c>
      <c r="AB77" t="inlineStr">
        <is>
          <t>None (commercial/SBA full-doc)</t>
        </is>
      </c>
      <c r="AC77" t="inlineStr">
        <is>
          <t>N/M</t>
        </is>
      </c>
      <c r="AD77" t="inlineStr">
        <is>
          <t>No-doc card — apply online (Elan)</t>
        </is>
      </c>
      <c r="AE77" t="inlineStr">
        <is>
          <t>Elan business suite (low-rate / cash back / rewards; names not enumerated on site)</t>
        </is>
      </c>
      <c r="AF77" t="inlineStr">
        <is>
          <t>SoCal / LA</t>
        </is>
      </c>
      <c r="AG77" t="inlineStr">
        <is>
          <t>Los Angeles</t>
        </is>
      </c>
      <c r="AH77" t="inlineStr">
        <is>
          <t>51</t>
        </is>
      </c>
      <c r="AI77" t="inlineStr">
        <is>
          <t>HIGH issuer=Elan (own footer disclosure)/online/LA; N/M terms, HP. 2026-05-29</t>
        </is>
      </c>
      <c r="AJ77" t="inlineStr">
        <is>
          <t>sbical.bank/business-banking/business-credit-cards (Elan creditor disclosure); elanfinancialservices.com</t>
        </is>
      </c>
    </row>
    <row r="78">
      <c r="A78" t="inlineStr">
        <is>
          <t>77</t>
        </is>
      </c>
      <c r="B78" t="inlineStr">
        <is>
          <t>76</t>
        </is>
      </c>
      <c r="C78" s="12" t="inlineStr">
        <is>
          <t>Umpqua Bank (Columbia)</t>
        </is>
      </c>
      <c r="D78" s="8" t="inlineStr">
        <is>
          <t>Regional</t>
        </is>
      </c>
      <c r="E78" t="inlineStr">
        <is>
          <t>Other — West Coast — substantial CA branches</t>
        </is>
      </c>
      <c r="F78" s="13" t="inlineStr">
        <is>
          <t>2/4  ✗SUW ✓Onl ✗SoCal ✓Card</t>
        </is>
      </c>
      <c r="G78" t="inlineStr">
        <is>
          <t>N/M</t>
        </is>
      </c>
      <c r="H78" t="inlineStr">
        <is>
          <t>N/M</t>
        </is>
      </c>
      <c r="I78" t="inlineStr"/>
      <c r="J78" t="inlineStr">
        <is>
          <t>E — Elan agent</t>
        </is>
      </c>
      <c r="K78" t="inlineStr">
        <is>
          <t>Elan platform: ~$3K–$10K start, to ~$20K strong files (~$500 seen at 800+ FICO)  [myFICO #6658960]</t>
        </is>
      </c>
      <c r="L78" t="inlineStr">
        <is>
          <t>~$50B (Columbia Banking System)</t>
        </is>
      </c>
      <c r="M78" t="inlineStr">
        <is>
          <t>—</t>
        </is>
      </c>
      <c r="N78" t="inlineStr">
        <is>
          <t>~60-92 CA branches; CA/WA/OR/ID/NV; pending Pacific Premier acquisition</t>
        </is>
      </c>
      <c r="O78" t="inlineStr">
        <is>
          <t>Major CA (branches + lending)</t>
        </is>
      </c>
      <c r="P78" t="inlineStr">
        <is>
          <t>No</t>
        </is>
      </c>
      <c r="Q78" t="inlineStr">
        <is>
          <t>✅ Elan: Business Platinum/Zero+ 0% 18cyc; Business Real Rewards 0% 6cyc; Rewards Plus ($99); $0 AF</t>
        </is>
      </c>
      <c r="R78" s="6" t="inlineStr">
        <is>
          <t>Elan</t>
        </is>
      </c>
      <c r="S78" t="inlineStr">
        <is>
          <t>Online</t>
        </is>
      </c>
      <c r="T78" t="inlineStr">
        <is>
          <t>Online — apply at https://branchoffer.com/11t2/business-platinum2103</t>
        </is>
      </c>
      <c r="U78" t="inlineStr">
        <is>
          <t>https://www.columbiabank.com/business-banking/credit-cards/</t>
        </is>
      </c>
      <c r="V78" t="inlineStr">
        <is>
          <t>https://branchoffer.com/11t2/business-platinum2103</t>
        </is>
      </c>
      <c r="W78" t="inlineStr">
        <is>
          <t>Personal, varies (Elan; EX historically / TU recently)</t>
        </is>
      </c>
      <c r="X78" t="inlineStr">
        <is>
          <t>D&amp;B; personal delinquency-only (Elan model)</t>
        </is>
      </c>
      <c r="Y78" t="inlineStr">
        <is>
          <t>Elan platform; CA/WA/OR/ID/NV eligibility. Umpqua-specific limits/CLI N/M (myFICO 403). Elan general DPs apply.</t>
        </is>
      </c>
      <c r="Z78" t="inlineStr">
        <is>
          <t>3</t>
        </is>
      </c>
      <c r="AA78" t="inlineStr">
        <is>
          <t>PG yes (Elan, INFERENCE); no tax returns</t>
        </is>
      </c>
      <c r="AB78" t="inlineStr">
        <is>
          <t>Expresslines LOC + term = full-doc (2-3yr tax returns). No no-doc.</t>
        </is>
      </c>
      <c r="AC78" t="inlineStr">
        <is>
          <t>No</t>
        </is>
      </c>
      <c r="AD78" t="inlineStr">
        <is>
          <t>No-doc 0% card — apply online (Elan)</t>
        </is>
      </c>
      <c r="AE78" t="inlineStr">
        <is>
          <t>Umpqua/Columbia Visa Business Real Rewards, Rewards Plus ($99), Business Platinum/Zero+ (0% 18cyc)</t>
        </is>
      </c>
      <c r="AF78" t="inlineStr">
        <is>
          <t>West Coast — substantial CA branches</t>
        </is>
      </c>
      <c r="AG78" t="inlineStr">
        <is>
          <t>Tacoma, WA (bank: Lake Oswego, OR)</t>
        </is>
      </c>
      <c r="AH78" t="inlineStr">
        <is>
          <t>Reg</t>
        </is>
      </c>
      <c r="AI78" t="inlineStr">
        <is>
          <t>HIGH issuer=Elan/lineup/18mo-0%/CA-eligibility; MED reporting (Elan general). 2026-05-28</t>
        </is>
      </c>
      <c r="AJ78" t="inlineStr">
        <is>
          <t>columbiabank.com/business-banking/credit-cards; branchoffer.com/11t2 (Elan disclosure); maximizingmoney.com; newfrontierfunding.com (lending full-doc)</t>
        </is>
      </c>
    </row>
    <row r="79">
      <c r="A79" t="inlineStr">
        <is>
          <t>78</t>
        </is>
      </c>
      <c r="B79" t="inlineStr">
        <is>
          <t>77</t>
        </is>
      </c>
      <c r="C79" s="12" t="inlineStr">
        <is>
          <t>Altura Credit Union</t>
        </is>
      </c>
      <c r="D79" s="11" t="inlineStr">
        <is>
          <t>Credit Union</t>
        </is>
      </c>
      <c r="E79" t="inlineStr">
        <is>
          <t>★ Core SoCal</t>
        </is>
      </c>
      <c r="F79" s="13" t="inlineStr">
        <is>
          <t>2/4  ✗SUW ✗Onl ✓SoCal ✓Card</t>
        </is>
      </c>
      <c r="G79" t="inlineStr">
        <is>
          <t>N/M</t>
        </is>
      </c>
      <c r="H79" t="inlineStr">
        <is>
          <t>N/M</t>
        </is>
      </c>
      <c r="I79" t="inlineStr"/>
      <c r="J79" t="inlineStr">
        <is>
          <t>C — Other agent card</t>
        </is>
      </c>
      <c r="K79" t="inlineStr">
        <is>
          <t>Up to $25,000 (advertised)</t>
        </is>
      </c>
      <c r="L79" t="inlineStr">
        <is>
          <t>~$2.0B</t>
        </is>
      </c>
      <c r="M79" t="inlineStr">
        <is>
          <t>—</t>
        </is>
      </c>
      <c r="N79" t="inlineStr">
        <is>
          <t>HQ Riverside (IE); ~$2B+; Riverside County FOM</t>
        </is>
      </c>
      <c r="O79" t="inlineStr">
        <is>
          <t>CA-HQ'd</t>
        </is>
      </c>
      <c r="P79" t="inlineStr">
        <is>
          <t>Unknown</t>
        </is>
      </c>
      <c r="Q79" t="inlineStr">
        <is>
          <t>✅ Business Platinum: NO 0% intro; APR N/M ('competitive', consumer 'as low as 12.49%'); $0 AF; up to $25K; no LLC required</t>
        </is>
      </c>
      <c r="R79" s="7" t="inlineStr">
        <is>
          <t>Self (likely; CU; Velera processor possible — not confirmed)</t>
        </is>
      </c>
      <c r="S79" t="inlineStr">
        <is>
          <t>In-person</t>
        </is>
      </c>
      <c r="T79" t="inlineStr">
        <is>
          <t>Branch or phone (888) 883-7228 — no online app for the business card</t>
        </is>
      </c>
      <c r="U79" t="inlineStr">
        <is>
          <t>https://www.alturacu.com/business-credit-card/</t>
        </is>
      </c>
      <c r="V79" t="inlineStr">
        <is>
          <t>https://www.alturacu.com/business-credit-card/</t>
        </is>
      </c>
      <c r="W79" t="inlineStr">
        <is>
          <t>N/M</t>
        </is>
      </c>
      <c r="X79" t="inlineStr">
        <is>
          <t>N/M</t>
        </is>
      </c>
      <c r="Y79" t="inlineStr">
        <is>
          <t>On approved credit; 'not all members qualify'; no LLC/incorporation required (freelancers/online sellers may qualify). No forum DPs.</t>
        </is>
      </c>
      <c r="Z79" t="inlineStr">
        <is>
          <t>2</t>
        </is>
      </c>
      <c r="AA79" t="inlineStr">
        <is>
          <t>N/M (LLC NOT required; PG/docs unstated)</t>
        </is>
      </c>
      <c r="AB79" t="inlineStr">
        <is>
          <t>None advertised (LLC-not-required lowers barrier but not no-income-doc)</t>
        </is>
      </c>
      <c r="AC79" t="inlineStr">
        <is>
          <t>Membership required (Riverside County: live/work/worship/school + businesses in county + family; NO nationwide association path found)</t>
        </is>
      </c>
      <c r="AD79" t="inlineStr">
        <is>
          <t>No-doc card — apply in branch</t>
        </is>
      </c>
      <c r="AE79" t="inlineStr">
        <is>
          <t>Altura Business Platinum Credit Card (self-issued likely; $0 AF, up to $25K)</t>
        </is>
      </c>
      <c r="AF79" t="inlineStr">
        <is>
          <t>SoCal / Inland Empire</t>
        </is>
      </c>
      <c r="AG79" t="inlineStr">
        <is>
          <t>Riverside</t>
        </is>
      </c>
      <c r="AH79" t="inlineStr">
        <is>
          <t>CU</t>
        </is>
      </c>
      <c r="AI79" t="inlineStr">
        <is>
          <t>MED card-exists/$0AF/$25K/no-LLC/IE; apply IN-BRANCH; suw=Unknown (issuer not confirmed); N/M APR, HP, PG. 2026-05-29</t>
        </is>
      </c>
      <c r="AJ79" t="inlineStr">
        <is>
          <t>alturacu.com/business-credit-card + /faq/do-i-need-an-llc...; /benefits-of-membership/become-a-member</t>
        </is>
      </c>
    </row>
    <row r="80">
      <c r="A80" t="inlineStr">
        <is>
          <t>79</t>
        </is>
      </c>
      <c r="B80" t="inlineStr">
        <is>
          <t>78</t>
        </is>
      </c>
      <c r="C80" s="12" t="inlineStr">
        <is>
          <t>Skyla Credit Union</t>
        </is>
      </c>
      <c r="D80" s="11" t="inlineStr">
        <is>
          <t>Credit Union</t>
        </is>
      </c>
      <c r="E80" t="inlineStr">
        <is>
          <t>★ Core SoCal</t>
        </is>
      </c>
      <c r="F80" s="13" t="inlineStr">
        <is>
          <t>2/4  ✗SUW ✗Onl ✓SoCal ✓Card</t>
        </is>
      </c>
      <c r="G80" t="inlineStr">
        <is>
          <t>N/M</t>
        </is>
      </c>
      <c r="H80" t="inlineStr">
        <is>
          <t>N/M</t>
        </is>
      </c>
      <c r="I80" t="inlineStr"/>
      <c r="J80" t="inlineStr">
        <is>
          <t>C — Other agent card</t>
        </is>
      </c>
      <c r="K80" t="inlineStr">
        <is>
          <t>N/M (no bank-specific data point found)</t>
        </is>
      </c>
      <c r="L80" t="inlineStr">
        <is>
          <t>~$1.66B</t>
        </is>
      </c>
      <c r="M80" t="inlineStr">
        <is>
          <t>—</t>
        </is>
      </c>
      <c r="N80" t="inlineStr">
        <is>
          <t>1 LA branch; ~$1.66B</t>
        </is>
      </c>
      <c r="O80" t="inlineStr">
        <is>
          <t>CA-HQ'd</t>
        </is>
      </c>
      <c r="P80" t="inlineStr">
        <is>
          <t>Unknown</t>
        </is>
      </c>
      <c r="Q80" t="inlineStr">
        <is>
          <t>✅ Business card + BLOC offered (skim-level); ACC fallback membership; terms N/M</t>
        </is>
      </c>
      <c r="R80" s="9" t="inlineStr">
        <is>
          <t>N/M (skim)</t>
        </is>
      </c>
      <c r="S80" t="inlineStr">
        <is>
          <t>In-person</t>
        </is>
      </c>
      <c r="T80" t="inlineStr">
        <is>
          <t>Visit branch / contact a banker (no online application)</t>
        </is>
      </c>
      <c r="U80" t="inlineStr">
        <is>
          <t>https://www.skylacu.com</t>
        </is>
      </c>
      <c r="V80" t="inlineStr">
        <is>
          <t>https://www.skylacu.com</t>
        </is>
      </c>
      <c r="W80" t="inlineStr">
        <is>
          <t>N/M</t>
        </is>
      </c>
      <c r="X80" t="inlineStr">
        <is>
          <t>N/M</t>
        </is>
      </c>
      <c r="Y80" t="inlineStr">
        <is>
          <t>SEG skim 2026-06-10 — deep-dive pending.</t>
        </is>
      </c>
      <c r="Z80" t="inlineStr">
        <is>
          <t>2</t>
        </is>
      </c>
      <c r="AA80" t="inlineStr">
        <is>
          <t>N/M</t>
        </is>
      </c>
      <c r="AB80" t="inlineStr">
        <is>
          <t>N/M</t>
        </is>
      </c>
      <c r="AC80" t="inlineStr">
        <is>
          <t>Membership: qualifying employers/areas; ACC fallback (open path Y)</t>
        </is>
      </c>
      <c r="AD80" t="inlineStr">
        <is>
          <t>No-doc card — apply in branch</t>
        </is>
      </c>
      <c r="AE80" t="inlineStr">
        <is>
          <t>Business card + BLOC (names N/M)</t>
        </is>
      </c>
      <c r="AF80" t="inlineStr">
        <is>
          <t>SoCal / LA (1 branch; NC-HQ'd)</t>
        </is>
      </c>
      <c r="AG80" t="inlineStr">
        <is>
          <t>Charlotte, NC</t>
        </is>
      </c>
      <c r="AH80" t="inlineStr">
        <is>
          <t>CU</t>
        </is>
      </c>
      <c r="AI80" t="inlineStr">
        <is>
          <t>LOW (skim). 2026-06-10</t>
        </is>
      </c>
      <c r="AJ80" t="inlineStr">
        <is>
          <t>skylacu.com (skim)</t>
        </is>
      </c>
    </row>
    <row r="81">
      <c r="A81" t="inlineStr">
        <is>
          <t>80</t>
        </is>
      </c>
      <c r="B81" t="inlineStr">
        <is>
          <t>79</t>
        </is>
      </c>
      <c r="C81" s="2" t="inlineStr">
        <is>
          <t>Provident Savings Bank, F.S.B.</t>
        </is>
      </c>
      <c r="D81" s="15" t="inlineStr">
        <is>
          <t>CA Bank</t>
        </is>
      </c>
      <c r="E81" t="inlineStr">
        <is>
          <t>★ Core SoCal</t>
        </is>
      </c>
      <c r="F81" s="4" t="inlineStr">
        <is>
          <t>3/4  ✗SUW ✓Onl ✓SoCal ✓Card</t>
        </is>
      </c>
      <c r="G81" t="inlineStr">
        <is>
          <t>N/M</t>
        </is>
      </c>
      <c r="H81" t="inlineStr">
        <is>
          <t>N/M</t>
        </is>
      </c>
      <c r="I81" t="inlineStr"/>
      <c r="J81" t="inlineStr">
        <is>
          <t>E — Elan agent</t>
        </is>
      </c>
      <c r="K81" t="inlineStr">
        <is>
          <t>Elan platform: ~$3K–$10K start, to ~$20K strong files (~$500 seen at 800+ FICO)  [myFICO #6658960]</t>
        </is>
      </c>
      <c r="L81" t="inlineStr">
        <is>
          <t>$1.22B</t>
        </is>
      </c>
      <c r="M81" t="inlineStr">
        <is>
          <t>$0.89B</t>
        </is>
      </c>
      <c r="N81" t="inlineStr">
        <is>
          <t>Inland Empire/SoCal; Riverside HQ + branches; thrift (residential-heavy); Provident Financial Holdings. NOT NJ provident.bank, NOT Provident CU</t>
        </is>
      </c>
      <c r="O81" t="inlineStr">
        <is>
          <t>CA-HQ'd</t>
        </is>
      </c>
      <c r="P81" t="inlineStr">
        <is>
          <t>No</t>
        </is>
      </c>
      <c r="Q81" t="inlineStr">
        <is>
          <t>✅ Elan biz cards (Cash Preferred / Smart / Real Rewards); terms N/M</t>
        </is>
      </c>
      <c r="R81" s="6" t="inlineStr">
        <is>
          <t>Elan</t>
        </is>
      </c>
      <c r="S81" t="inlineStr">
        <is>
          <t>Online</t>
        </is>
      </c>
      <c r="T81" t="inlineStr">
        <is>
          <t>Online — apply at https://creditcardlearnmore.com/11t3/index?ecdma-lc=10028&amp;ecid=OTHE_25940</t>
        </is>
      </c>
      <c r="U81" t="inlineStr">
        <is>
          <t>https://www.myprovident.com</t>
        </is>
      </c>
      <c r="V81" t="inlineStr">
        <is>
          <t>https://creditcardlearnmore.com/11t3/index?ecdma-lc=10028&amp;ecid=OTHE_25940</t>
        </is>
      </c>
      <c r="W81" t="inlineStr">
        <is>
          <t>TransUnion (varies EX/EQ)</t>
        </is>
      </c>
      <c r="X81" t="inlineStr">
        <is>
          <t>D&amp;B; not personal in good standing</t>
        </is>
      </c>
      <c r="Y81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81" t="inlineStr">
        <is>
          <t>3</t>
        </is>
      </c>
      <c r="AA81" t="inlineStr">
        <is>
          <t>PG yes; no tax returns (&lt;$25K)</t>
        </is>
      </c>
      <c r="AB81" t="inlineStr">
        <is>
          <t>None (commercial/SBA/CRE relationship-underwritten; residential-heavy lender)</t>
        </is>
      </c>
      <c r="AC81" t="inlineStr">
        <is>
          <t>N/M</t>
        </is>
      </c>
      <c r="AD81" t="inlineStr">
        <is>
          <t>No-doc card — apply online (Elan)</t>
        </is>
      </c>
      <c r="AE81" t="inlineStr">
        <is>
          <t>Business Cash Preferred, Smart Business Rewards, Business Real Rewards (Elan)</t>
        </is>
      </c>
      <c r="AF81" t="inlineStr">
        <is>
          <t>SoCal / Inland Empire</t>
        </is>
      </c>
      <c r="AG81" t="inlineStr">
        <is>
          <t>Riverside</t>
        </is>
      </c>
      <c r="AH81" t="inlineStr">
        <is>
          <t>56</t>
        </is>
      </c>
      <c r="AI81" t="inlineStr">
        <is>
          <t>HIGH issuer=Elan (own portal links theme=elan1, lc=10028)/online/Inland Empire; N/M terms, HP. 2026-05-29</t>
        </is>
      </c>
      <c r="AJ81" t="inlineStr">
        <is>
          <t>myprovident.com/creditcard (Elan disclosure); creditcardlearnmore.com (10028); FDIC cert 30879</t>
        </is>
      </c>
    </row>
    <row r="82">
      <c r="A82" t="inlineStr">
        <is>
          <t>81</t>
        </is>
      </c>
      <c r="B82" t="inlineStr">
        <is>
          <t>80</t>
        </is>
      </c>
      <c r="C82" s="2" t="inlineStr">
        <is>
          <t>BluPeak Credit Union (formerly USE Credit Union)</t>
        </is>
      </c>
      <c r="D82" s="11" t="inlineStr">
        <is>
          <t>Credit Union</t>
        </is>
      </c>
      <c r="E82" t="inlineStr">
        <is>
          <t>★ Core SoCal</t>
        </is>
      </c>
      <c r="F82" s="4" t="inlineStr">
        <is>
          <t>3/4  ✗SUW ✓Onl ✓SoCal ✓Card</t>
        </is>
      </c>
      <c r="G82" t="inlineStr">
        <is>
          <t>N/M</t>
        </is>
      </c>
      <c r="H82" t="inlineStr">
        <is>
          <t>N/M</t>
        </is>
      </c>
      <c r="I82" t="inlineStr"/>
      <c r="J82" t="inlineStr">
        <is>
          <t>E — Elan agent</t>
        </is>
      </c>
      <c r="K82" t="inlineStr">
        <is>
          <t>Elan platform: ~$3K–$10K start, to ~$20K strong files (~$500 seen at 800+ FICO)  [myFICO #6658960]</t>
        </is>
      </c>
      <c r="L82" t="inlineStr">
        <is>
          <t>~$1.2B</t>
        </is>
      </c>
      <c r="M82" t="inlineStr">
        <is>
          <t>—</t>
        </is>
      </c>
      <c r="N82" t="inlineStr">
        <is>
          <t>HQ San Diego; ~$1.2B; ~6 CA branches (San Diego + Berkeley/Sacramento/Santa Clara/Davis); USE CU rebranded BluPeak 2022</t>
        </is>
      </c>
      <c r="O82" t="inlineStr">
        <is>
          <t>CA-HQ'd</t>
        </is>
      </c>
      <c r="P82" t="inlineStr">
        <is>
          <t>No</t>
        </is>
      </c>
      <c r="Q82" t="inlineStr">
        <is>
          <t>✅ Elan business cards (low rate / cash back / rewards); terms N/M</t>
        </is>
      </c>
      <c r="R82" s="6" t="inlineStr">
        <is>
          <t>Elan</t>
        </is>
      </c>
      <c r="S82" t="inlineStr">
        <is>
          <t>Online</t>
        </is>
      </c>
      <c r="T82" t="inlineStr">
        <is>
          <t>Online — apply at https://www.blupeak.com/spend-save/credit-cards/</t>
        </is>
      </c>
      <c r="U82" t="inlineStr">
        <is>
          <t>https://www.blupeak.com/spend-save/credit-cards/</t>
        </is>
      </c>
      <c r="V82" t="inlineStr">
        <is>
          <t>https://www.blupeak.com/spend-save/credit-cards/</t>
        </is>
      </c>
      <c r="W82" t="inlineStr">
        <is>
          <t>TransUnion (varies EX/EQ)</t>
        </is>
      </c>
      <c r="X82" t="inlineStr">
        <is>
          <t>D&amp;B; not personal in good standing</t>
        </is>
      </c>
      <c r="Y82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Standard Elan biz app: PG + personal credit pull (joint &amp; several).</t>
        </is>
      </c>
      <c r="Z82" t="inlineStr">
        <is>
          <t>3</t>
        </is>
      </c>
      <c r="AA82" t="inlineStr">
        <is>
          <t>PG yes; no tax returns (&lt;$25K)</t>
        </is>
      </c>
      <c r="AB82" t="inlineStr">
        <is>
          <t>None (Elan no-PG Commercial Rewards is middle-market only, not advertised here)</t>
        </is>
      </c>
      <c r="AC82" t="inlineStr">
        <is>
          <t>Membership required (CA-only: Alameda/Sacramento/San Diego/Santa Clara/Yolo counties + State/UC/CSU employees + family; no clean nationwide path)</t>
        </is>
      </c>
      <c r="AD82" t="inlineStr">
        <is>
          <t>No-doc card — apply online (Elan)</t>
        </is>
      </c>
      <c r="AE82" t="inlineStr">
        <is>
          <t>Elan business Visa (names N/M; own page names Elan as creditor/issuer)</t>
        </is>
      </c>
      <c r="AF82" t="inlineStr">
        <is>
          <t>SoCal / San Diego</t>
        </is>
      </c>
      <c r="AG82" t="inlineStr">
        <is>
          <t>San Diego</t>
        </is>
      </c>
      <c r="AH82" t="inlineStr">
        <is>
          <t>CU</t>
        </is>
      </c>
      <c r="AI82" t="inlineStr">
        <is>
          <t>HIGH issuer=Elan (own footer disclosure)/apply-online/San Diego; CA-only membership; N/M terms, HP. 2026-05-29</t>
        </is>
      </c>
      <c r="AJ82" t="inlineStr">
        <is>
          <t>blupeak.com/spend-save/credit-cards ('issuer is Elan Financial Services'); usecu.org→blupeak.com redirect; elan STD_BIZ.pdf</t>
        </is>
      </c>
    </row>
    <row r="83">
      <c r="A83" t="inlineStr">
        <is>
          <t>82</t>
        </is>
      </c>
      <c r="B83" t="inlineStr">
        <is>
          <t>81</t>
        </is>
      </c>
      <c r="C83" s="2" t="inlineStr">
        <is>
          <t>EverTrust Bank</t>
        </is>
      </c>
      <c r="D83" s="15" t="inlineStr">
        <is>
          <t>CA Bank</t>
        </is>
      </c>
      <c r="E83" t="inlineStr">
        <is>
          <t>★ Core SoCal</t>
        </is>
      </c>
      <c r="F83" s="4" t="inlineStr">
        <is>
          <t>3/4  ✗SUW ✓Onl ✓SoCal ✓Card</t>
        </is>
      </c>
      <c r="G83" t="inlineStr">
        <is>
          <t>N/M</t>
        </is>
      </c>
      <c r="H83" t="inlineStr">
        <is>
          <t>N/M</t>
        </is>
      </c>
      <c r="I83" t="inlineStr"/>
      <c r="J83" t="inlineStr">
        <is>
          <t>E — Elan agent</t>
        </is>
      </c>
      <c r="K83" t="inlineStr">
        <is>
          <t>Elan platform: ~$3K–$10K start, to ~$20K strong files (~$500 seen at 800+ FICO)  [myFICO #6658960]</t>
        </is>
      </c>
      <c r="L83" t="inlineStr">
        <is>
          <t>$1.11B</t>
        </is>
      </c>
      <c r="M83" t="inlineStr">
        <is>
          <t>N/M</t>
        </is>
      </c>
      <c r="N83" t="inlineStr">
        <is>
          <t>~SGV/LA branches (City of Industry, Arcadia); O-Bank (Taiwan) affiliate; Asian-American</t>
        </is>
      </c>
      <c r="O83" t="inlineStr">
        <is>
          <t>CA-HQ'd</t>
        </is>
      </c>
      <c r="P83" t="inlineStr">
        <is>
          <t>No</t>
        </is>
      </c>
      <c r="Q83" t="inlineStr">
        <is>
          <t>✅ Elan business Visa (low rate / cash back / rewards); terms N/M</t>
        </is>
      </c>
      <c r="R83" s="6" t="inlineStr">
        <is>
          <t>Elan</t>
        </is>
      </c>
      <c r="S83" t="inlineStr">
        <is>
          <t>Online</t>
        </is>
      </c>
      <c r="T83" t="inlineStr">
        <is>
          <t>Online — apply at https://www.evertrustbank.com/Business/Visa-Credit-Cards</t>
        </is>
      </c>
      <c r="U83" t="inlineStr">
        <is>
          <t>https://www.evertrustbank.com</t>
        </is>
      </c>
      <c r="V83" t="inlineStr">
        <is>
          <t>https://www.evertrustbank.com/Business/Visa-Credit-Cards</t>
        </is>
      </c>
      <c r="W83" t="inlineStr">
        <is>
          <t>TransUnion (varies EX/EQ)</t>
        </is>
      </c>
      <c r="X83" t="inlineStr">
        <is>
          <t>D&amp;B; not personal in good standing</t>
        </is>
      </c>
      <c r="Y83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83" t="inlineStr">
        <is>
          <t>3</t>
        </is>
      </c>
      <c r="AA83" t="inlineStr">
        <is>
          <t>PG yes; no tax returns (&lt;$25K)</t>
        </is>
      </c>
      <c r="AB83" t="inlineStr">
        <is>
          <t>None (commercial LOC/CRE/SBA/C&amp;I/trade full-doc)</t>
        </is>
      </c>
      <c r="AC83" t="inlineStr">
        <is>
          <t>N/M</t>
        </is>
      </c>
      <c r="AD83" t="inlineStr">
        <is>
          <t>No-doc card — apply online (Elan)</t>
        </is>
      </c>
      <c r="AE83" t="inlineStr">
        <is>
          <t>Elan business Visa (Cash Preferred / Real Rewards / Platinum; names not enumerated)</t>
        </is>
      </c>
      <c r="AF83" t="inlineStr">
        <is>
          <t>SoCal / LA (San Gabriel Valley)</t>
        </is>
      </c>
      <c r="AG83" t="inlineStr">
        <is>
          <t>City of Industry</t>
        </is>
      </c>
      <c r="AH83" t="inlineStr">
        <is>
          <t>59</t>
        </is>
      </c>
      <c r="AI83" t="inlineStr">
        <is>
          <t>HIGH issuer=Elan (own footer disclosure)/SGV; MED apply-online (Elan portal, inferred); N/M terms. 2026-05-29</t>
        </is>
      </c>
      <c r="AJ83" t="inlineStr">
        <is>
          <t>evertrustbank.com/Business/Visa-Credit-Cards (Elan creditor disclosure); FDIC cert 34010</t>
        </is>
      </c>
    </row>
    <row r="84">
      <c r="A84" t="inlineStr">
        <is>
          <t>83</t>
        </is>
      </c>
      <c r="B84" t="inlineStr">
        <is>
          <t>82</t>
        </is>
      </c>
      <c r="C84" s="2" t="inlineStr">
        <is>
          <t>EverBank, N.A.</t>
        </is>
      </c>
      <c r="D84" s="8" t="inlineStr">
        <is>
          <t>Regional</t>
        </is>
      </c>
      <c r="E84" t="inlineStr">
        <is>
          <t>★ Core SoCal</t>
        </is>
      </c>
      <c r="F84" s="4" t="inlineStr">
        <is>
          <t>3/4  ✗SUW ✓Onl ✓SoCal ✓Card</t>
        </is>
      </c>
      <c r="G84" s="6" t="inlineStr">
        <is>
          <t>Yes — legacy 'TIAA' entry (DoC 2025-08-07)</t>
        </is>
      </c>
      <c r="H84" t="inlineStr">
        <is>
          <t>N/M</t>
        </is>
      </c>
      <c r="I84" t="inlineStr"/>
      <c r="J84" t="inlineStr">
        <is>
          <t>E — Elan agent</t>
        </is>
      </c>
      <c r="K84" t="inlineStr">
        <is>
          <t>Elan platform: ~$3K–$10K start, to ~$20K strong files (~$500 seen at 800+ FICO)  [myFICO #6658960]</t>
        </is>
      </c>
      <c r="L84" t="inlineStr">
        <is>
          <t>N/M</t>
        </is>
      </c>
      <c r="M84" t="inlineStr">
        <is>
          <t>N/M</t>
        </is>
      </c>
      <c r="N84" t="inlineStr">
        <is>
          <t>7 branches LA/OC/San Bernardino (FDIC SOD 2025); ex-TIAA Bank</t>
        </is>
      </c>
      <c r="O84" t="inlineStr">
        <is>
          <t>N/M</t>
        </is>
      </c>
      <c r="P84" t="inlineStr">
        <is>
          <t>No</t>
        </is>
      </c>
      <c r="Q84" t="inlineStr">
        <is>
          <t>✅ Elan cards ('partnered with Elan Financial Services as issuer and creditor'); terms N/M</t>
        </is>
      </c>
      <c r="R84" s="6" t="inlineStr">
        <is>
          <t>Elan</t>
        </is>
      </c>
      <c r="S84" t="inlineStr">
        <is>
          <t>Online</t>
        </is>
      </c>
      <c r="T84" t="inlineStr">
        <is>
          <t>Online — apply at https://www.everbank.com/business</t>
        </is>
      </c>
      <c r="U84" t="inlineStr">
        <is>
          <t>https://www.everbank.com</t>
        </is>
      </c>
      <c r="V84" t="inlineStr">
        <is>
          <t>https://www.everbank.com/business</t>
        </is>
      </c>
      <c r="W84" t="inlineStr">
        <is>
          <t>TransUnion (varies EX/EQ)</t>
        </is>
      </c>
      <c r="X84" t="inlineStr">
        <is>
          <t>D&amp;B; not personal in good standing</t>
        </is>
      </c>
      <c r="Y84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Light census 2026-06-10.</t>
        </is>
      </c>
      <c r="Z84" t="inlineStr">
        <is>
          <t>3</t>
        </is>
      </c>
      <c r="AA84" t="inlineStr">
        <is>
          <t>PG yes; no tax returns (&lt;$25K)</t>
        </is>
      </c>
      <c r="AB84" t="inlineStr">
        <is>
          <t>None (C&amp;I revolving/non-revolving LOC; SBA PLP)</t>
        </is>
      </c>
      <c r="AC84" t="inlineStr">
        <is>
          <t>No</t>
        </is>
      </c>
      <c r="AD84" t="inlineStr">
        <is>
          <t>No-doc card — apply online (Elan)</t>
        </is>
      </c>
      <c r="AE84" t="inlineStr">
        <is>
          <t>Elan business suite + EverBank Visa Commercial Card (program-administrator)</t>
        </is>
      </c>
      <c r="AF84" t="inlineStr">
        <is>
          <t>SoCal / LA-OC-SB (7 branches; FL-HQ'd)</t>
        </is>
      </c>
      <c r="AG84" t="inlineStr">
        <is>
          <t>Jacksonville, FL</t>
        </is>
      </c>
      <c r="AH84" t="inlineStr">
        <is>
          <t>Reg</t>
        </is>
      </c>
      <c r="AI84" t="inlineStr">
        <is>
          <t>HIGH issuer=Elan (own-site verbatim)/online; N/M terms. Light census 2026-06-10</t>
        </is>
      </c>
      <c r="AJ84" t="inlineStr">
        <is>
          <t>everbank.com/business (Elan disclosure); DoC Chex list 2025-08-07 (legacy TIAA entry)</t>
        </is>
      </c>
    </row>
    <row r="85">
      <c r="A85" t="inlineStr">
        <is>
          <t>84</t>
        </is>
      </c>
      <c r="B85" t="inlineStr">
        <is>
          <t>83</t>
        </is>
      </c>
      <c r="C85" s="2" t="inlineStr">
        <is>
          <t>City First Bank, N.A.</t>
        </is>
      </c>
      <c r="D85" s="8" t="inlineStr">
        <is>
          <t>Regional</t>
        </is>
      </c>
      <c r="E85" t="inlineStr">
        <is>
          <t>★ Core SoCal</t>
        </is>
      </c>
      <c r="F85" s="4" t="inlineStr">
        <is>
          <t>3/4  ✗SUW ✓Onl ✓SoCal ✓Card</t>
        </is>
      </c>
      <c r="G85" t="inlineStr">
        <is>
          <t>N/M</t>
        </is>
      </c>
      <c r="H85" t="inlineStr">
        <is>
          <t>N/M</t>
        </is>
      </c>
      <c r="I85" t="inlineStr"/>
      <c r="J85" t="inlineStr">
        <is>
          <t>E — Elan agent</t>
        </is>
      </c>
      <c r="K85" t="inlineStr">
        <is>
          <t>Elan platform: ~$3K–$10K start, to ~$20K strong files (~$500 seen at 800+ FICO)  [myFICO #6658960]</t>
        </is>
      </c>
      <c r="L85" t="inlineStr">
        <is>
          <t>N/M</t>
        </is>
      </c>
      <c r="M85" t="inlineStr">
        <is>
          <t>N/M</t>
        </is>
      </c>
      <c r="N85" t="inlineStr">
        <is>
          <t>2 LA branches (ex-Broadway Federal)</t>
        </is>
      </c>
      <c r="O85" t="inlineStr">
        <is>
          <t>N/M</t>
        </is>
      </c>
      <c r="P85" t="inlineStr">
        <is>
          <t>No</t>
        </is>
      </c>
      <c r="Q85" t="inlineStr">
        <is>
          <t>✅ Elan cards (low rate / cash back / rewards) — 'creditor and issuer... is Elan Financial Services' verbatim</t>
        </is>
      </c>
      <c r="R85" s="6" t="inlineStr">
        <is>
          <t>Elan</t>
        </is>
      </c>
      <c r="S85" t="inlineStr">
        <is>
          <t>Online</t>
        </is>
      </c>
      <c r="T85" t="inlineStr">
        <is>
          <t>Online — apply at https://creditcardlearnmore.com/11t3</t>
        </is>
      </c>
      <c r="U85" t="inlineStr">
        <is>
          <t>https://www.cityfirstbank.com</t>
        </is>
      </c>
      <c r="V85" t="inlineStr">
        <is>
          <t>https://creditcardlearnmore.com/11t3</t>
        </is>
      </c>
      <c r="W85" t="inlineStr">
        <is>
          <t>TransUnion (varies EX/EQ)</t>
        </is>
      </c>
      <c r="X85" t="inlineStr">
        <is>
          <t>D&amp;B; not personal in good standing</t>
        </is>
      </c>
      <c r="Y85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CDFI, Black-led (ex-Broadway Federal LA merger 2021). Light census 2026-06-10.</t>
        </is>
      </c>
      <c r="Z85" t="inlineStr">
        <is>
          <t>3</t>
        </is>
      </c>
      <c r="AA85" t="inlineStr">
        <is>
          <t>PG yes; no tax returns (&lt;$25K)</t>
        </is>
      </c>
      <c r="AB85" t="inlineStr">
        <is>
          <t>Receivables-based LOCs + non-RE-secured small-biz loans (amounts N/M)</t>
        </is>
      </c>
      <c r="AC85" t="inlineStr">
        <is>
          <t>No</t>
        </is>
      </c>
      <c r="AD85" t="inlineStr">
        <is>
          <t>No-doc card — apply online (Elan)</t>
        </is>
      </c>
      <c r="AE85" t="inlineStr">
        <is>
          <t>Elan business suite</t>
        </is>
      </c>
      <c r="AF85" t="inlineStr">
        <is>
          <t>SoCal / LA (2 branches; DC-HQ'd; CDFI)</t>
        </is>
      </c>
      <c r="AG85" t="inlineStr">
        <is>
          <t>Washington, DC</t>
        </is>
      </c>
      <c r="AH85" t="inlineStr">
        <is>
          <t>Reg</t>
        </is>
      </c>
      <c r="AI85" t="inlineStr">
        <is>
          <t>HIGH issuer=Elan (verbatim)/online/LA. Light census 2026-06-10</t>
        </is>
      </c>
      <c r="AJ85" t="inlineStr">
        <is>
          <t>cityfirstbank.com/2120-2 (Elan disclosure + creditcardlearnmore link)</t>
        </is>
      </c>
    </row>
    <row r="86">
      <c r="A86" t="inlineStr">
        <is>
          <t>85</t>
        </is>
      </c>
      <c r="B86" t="inlineStr">
        <is>
          <t>84</t>
        </is>
      </c>
      <c r="C86" s="2" t="inlineStr">
        <is>
          <t>Endeavor Bank</t>
        </is>
      </c>
      <c r="D86" s="15" t="inlineStr">
        <is>
          <t>CA Bank</t>
        </is>
      </c>
      <c r="E86" t="inlineStr">
        <is>
          <t>★ Core SoCal</t>
        </is>
      </c>
      <c r="F86" s="4" t="inlineStr">
        <is>
          <t>3/4  ✗SUW ✓Onl ✓SoCal ✓Card</t>
        </is>
      </c>
      <c r="G86" t="inlineStr">
        <is>
          <t>N/M</t>
        </is>
      </c>
      <c r="H86" t="inlineStr">
        <is>
          <t>N/M</t>
        </is>
      </c>
      <c r="I86" t="inlineStr"/>
      <c r="J86" t="inlineStr">
        <is>
          <t>E — Elan agent</t>
        </is>
      </c>
      <c r="K86" t="inlineStr">
        <is>
          <t>Elan platform: ~$3K–$10K start, to ~$20K strong files (~$500 seen at 800+ FICO)  [myFICO #6658960]</t>
        </is>
      </c>
      <c r="L86" t="inlineStr">
        <is>
          <t>$0.81B</t>
        </is>
      </c>
      <c r="M86" t="inlineStr">
        <is>
          <t>N/M</t>
        </is>
      </c>
      <c r="N86" t="inlineStr">
        <is>
          <t>Single-market San Diego community bank (downtown SD); founded 2018; Endeavor Bancorp (OTC: EDVR)</t>
        </is>
      </c>
      <c r="O86" t="inlineStr">
        <is>
          <t>CA-HQ'd</t>
        </is>
      </c>
      <c r="P86" t="inlineStr">
        <is>
          <t>No</t>
        </is>
      </c>
      <c r="Q86" t="inlineStr">
        <is>
          <t>✅ Elan biz cards (low rate / cash back / rewards); terms N/M</t>
        </is>
      </c>
      <c r="R86" s="6" t="inlineStr">
        <is>
          <t>Elan</t>
        </is>
      </c>
      <c r="S86" t="inlineStr">
        <is>
          <t>Online</t>
        </is>
      </c>
      <c r="T86" t="inlineStr">
        <is>
          <t>Online — apply at https://creditcardlearnmore.com/11t3/index?ecdma-lc=35185&amp;ecid=OTHE_25940#business</t>
        </is>
      </c>
      <c r="U86" t="inlineStr">
        <is>
          <t>https://www.endeavor.bank</t>
        </is>
      </c>
      <c r="V86" t="inlineStr">
        <is>
          <t>https://creditcardlearnmore.com/11t3/index?ecdma-lc=35185&amp;ecid=OTHE_25940#business</t>
        </is>
      </c>
      <c r="W86" t="inlineStr">
        <is>
          <t>TransUnion (varies EX/EQ)</t>
        </is>
      </c>
      <c r="X86" t="inlineStr">
        <is>
          <t>D&amp;B; not personal in good standing</t>
        </is>
      </c>
      <c r="Y8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86" t="inlineStr">
        <is>
          <t>3</t>
        </is>
      </c>
      <c r="AA86" t="inlineStr">
        <is>
          <t>PG yes; no tax returns (&lt;$25K)</t>
        </is>
      </c>
      <c r="AB86" t="inlineStr">
        <is>
          <t>None (LOC/term/CRE/SBA 504/7(a)/equipment full-doc)</t>
        </is>
      </c>
      <c r="AC86" t="inlineStr">
        <is>
          <t>N/M</t>
        </is>
      </c>
      <c r="AD86" t="inlineStr">
        <is>
          <t>No-doc card — apply online (Elan)</t>
        </is>
      </c>
      <c r="AE86" t="inlineStr">
        <is>
          <t>Elan business Visa (names not enumerated)</t>
        </is>
      </c>
      <c r="AF86" t="inlineStr">
        <is>
          <t>SoCal / San Diego</t>
        </is>
      </c>
      <c r="AG86" t="inlineStr">
        <is>
          <t>San Diego</t>
        </is>
      </c>
      <c r="AH86" t="inlineStr">
        <is>
          <t>69</t>
        </is>
      </c>
      <c r="AI86" t="inlineStr">
        <is>
          <t>HIGH issuer=Elan (own footer disclosure)/San Diego; MED apply (Elan portal); N/M terms, HP. 2026-05-29</t>
        </is>
      </c>
      <c r="AJ86" t="inlineStr">
        <is>
          <t>endeavor.bank/consultative-banking (Elan disclosure); creditcardlearnmore.com (35185); FDIC cert 59099</t>
        </is>
      </c>
    </row>
    <row r="87">
      <c r="A87" t="inlineStr">
        <is>
          <t>86</t>
        </is>
      </c>
      <c r="B87" t="inlineStr">
        <is>
          <t>85</t>
        </is>
      </c>
      <c r="C87" s="12" t="inlineStr">
        <is>
          <t>BAC Community Bank</t>
        </is>
      </c>
      <c r="D87" s="15" t="inlineStr">
        <is>
          <t>CA Bank</t>
        </is>
      </c>
      <c r="E87" t="inlineStr">
        <is>
          <t>Other — NorCal</t>
        </is>
      </c>
      <c r="F87" s="13" t="inlineStr">
        <is>
          <t>2/4  ✗SUW ✓Onl ✗SoCal ✓Card</t>
        </is>
      </c>
      <c r="G87" t="inlineStr">
        <is>
          <t>N/M</t>
        </is>
      </c>
      <c r="H87" t="inlineStr">
        <is>
          <t>N/M</t>
        </is>
      </c>
      <c r="I87" t="inlineStr"/>
      <c r="J87" t="inlineStr">
        <is>
          <t>D — TCM agent</t>
        </is>
      </c>
      <c r="K87" t="inlineStr">
        <is>
          <t>N/M (TCM; conservative, Experian-driven)</t>
        </is>
      </c>
      <c r="L87" t="inlineStr">
        <is>
          <t>$0.78B</t>
        </is>
      </c>
      <c r="M87" t="inlineStr">
        <is>
          <t>$0.67B</t>
        </is>
      </c>
      <c r="N87" t="inlineStr">
        <is>
          <t>8 branches; Brentwood/Stockton/Modesto (E Contra Costa, San Joaquin, Stanislaus); est 1965</t>
        </is>
      </c>
      <c r="O87" t="inlineStr">
        <is>
          <t>CA-HQ'd</t>
        </is>
      </c>
      <c r="P87" t="inlineStr">
        <is>
          <t>No</t>
        </is>
      </c>
      <c r="Q87" t="inlineStr">
        <is>
          <t>✅ no 0% confirmed; APR N/M; $0 AF (most); 1pt/$1 or 1% (TCM)</t>
        </is>
      </c>
      <c r="R87" s="20" t="inlineStr">
        <is>
          <t>TCM Bank, N.A.</t>
        </is>
      </c>
      <c r="S87" t="inlineStr">
        <is>
          <t>Online</t>
        </is>
      </c>
      <c r="T87" t="inlineStr">
        <is>
          <t>Online — apply at https://www.bankbac.com/business/loans-credit/business-credit-cards.html</t>
        </is>
      </c>
      <c r="U87" t="inlineStr">
        <is>
          <t>https://www.bankbac.com</t>
        </is>
      </c>
      <c r="V87" t="inlineStr">
        <is>
          <t>https://www.bankbac.com/business/loans-credit/business-credit-cards.html</t>
        </is>
      </c>
      <c r="W87" t="inlineStr">
        <is>
          <t>Experian</t>
        </is>
      </c>
      <c r="X87" t="inlineStr">
        <is>
          <t>N/M (TCM reports; bureaus unnamed)</t>
        </is>
      </c>
      <c r="Y87" t="inlineStr">
        <is>
          <t>TCM platform (mycommunitycc.com): Experian pull (apps + CLIs); SBA-eligible businesses only; partner bank has no underwriting say. myfico.com #6303273</t>
        </is>
      </c>
      <c r="Z87" t="inlineStr">
        <is>
          <t>3</t>
        </is>
      </c>
      <c r="AA87" t="inlineStr">
        <is>
          <t>PG likely; SBA-eligible only; no tax returns at app</t>
        </is>
      </c>
      <c r="AB87" t="inlineStr">
        <is>
          <t>None (commercial loans full-doc)</t>
        </is>
      </c>
      <c r="AC87" t="inlineStr">
        <is>
          <t>N/M</t>
        </is>
      </c>
      <c r="AD87" t="inlineStr">
        <is>
          <t>★ No-doc card — apply online</t>
        </is>
      </c>
      <c r="AE87" t="inlineStr">
        <is>
          <t>Small Business Rewards, Small Business Cash Rewards, Small Business Edition, Company Rewards Charge (TCM Visa)</t>
        </is>
      </c>
      <c r="AF87" t="inlineStr">
        <is>
          <t>NorCal / Sacramento-Stockton</t>
        </is>
      </c>
      <c r="AG87" t="inlineStr">
        <is>
          <t>Stockton</t>
        </is>
      </c>
      <c r="AH87" t="inlineStr">
        <is>
          <t>70</t>
        </is>
      </c>
      <c r="AI87" t="inlineStr">
        <is>
          <t>HIGH issuer=TCM (own page disclosure)/products/online/HP=Experian; N/M APR, reports. 2026-05-29</t>
        </is>
      </c>
      <c r="AJ87" t="inlineStr">
        <is>
          <t>bankbac.com/business/loans-credit/business-credit-cards ('issued by TCM Bank, N.A.'); mycommunitycc.com; FDIC cert 19434</t>
        </is>
      </c>
    </row>
    <row r="88">
      <c r="A88" t="inlineStr">
        <is>
          <t>87</t>
        </is>
      </c>
      <c r="B88" t="inlineStr">
        <is>
          <t>86</t>
        </is>
      </c>
      <c r="C88" s="12" t="inlineStr">
        <is>
          <t>CommerceWest Bank</t>
        </is>
      </c>
      <c r="D88" s="15" t="inlineStr">
        <is>
          <t>CA Bank</t>
        </is>
      </c>
      <c r="E88" t="inlineStr">
        <is>
          <t>★ Core SoCal</t>
        </is>
      </c>
      <c r="F88" s="13" t="inlineStr">
        <is>
          <t>2/4  ✗SUW ✗Onl ✓SoCal ✓Card</t>
        </is>
      </c>
      <c r="G88" t="inlineStr">
        <is>
          <t>N/M</t>
        </is>
      </c>
      <c r="H88" t="inlineStr">
        <is>
          <t>N/M</t>
        </is>
      </c>
      <c r="I88" t="inlineStr"/>
      <c r="J88" t="inlineStr">
        <is>
          <t>C — Other agent card</t>
        </is>
      </c>
      <c r="K88" t="inlineStr">
        <is>
          <t>N/M (TIB; financials typically required $10K+)</t>
        </is>
      </c>
      <c r="L88" t="inlineStr">
        <is>
          <t>$1.24B</t>
        </is>
      </c>
      <c r="M88" t="inlineStr">
        <is>
          <t>N/M</t>
        </is>
      </c>
      <c r="N88" t="inlineStr">
        <is>
          <t>Single Irvine office; OC commercial bank (CW Bancorp)</t>
        </is>
      </c>
      <c r="O88" t="inlineStr">
        <is>
          <t>CA-HQ'd</t>
        </is>
      </c>
      <c r="P88" t="inlineStr">
        <is>
          <t>Unknown</t>
        </is>
      </c>
      <c r="Q88" t="inlineStr">
        <is>
          <t>✅ Card exists ('low intro rates' + Preferred Points); terms N/M; no CommerceWest-specific online apply</t>
        </is>
      </c>
      <c r="R88" s="16" t="inlineStr">
        <is>
          <t>TIB (inferred — 'Preferred Points' program signature)</t>
        </is>
      </c>
      <c r="S88" t="inlineStr">
        <is>
          <t>In-person</t>
        </is>
      </c>
      <c r="T88" t="inlineStr">
        <is>
          <t>Visit branch / contact a banker (no online application)</t>
        </is>
      </c>
      <c r="U88" t="inlineStr">
        <is>
          <t>https://www.cwbk.com</t>
        </is>
      </c>
      <c r="V88" t="inlineStr">
        <is>
          <t>https://www.cwbk.com/business-loans/</t>
        </is>
      </c>
      <c r="W88" t="inlineStr">
        <is>
          <t>N/M (TIB; Experian typical)</t>
        </is>
      </c>
      <c r="X88" t="inlineStr">
        <is>
          <t>N/M</t>
        </is>
      </c>
      <c r="Y88" t="inlineStr">
        <is>
          <t>TIB 'Preferred Points' program — inferred from verbatim rewards copy (1pt/$1 to 10K/mo; cash back/travel/merchandise/gift cards; $0 AF standard tier). No CommerceWest-specific disclosure/portal found. NOTE: myFICO '$12-15K' DPs are unrelated Commerce Bank MO (excluded).</t>
        </is>
      </c>
      <c r="Z88" t="inlineStr">
        <is>
          <t>2</t>
        </is>
      </c>
      <c r="AA88" t="inlineStr">
        <is>
          <t>N/M (PG typical for TIB)</t>
        </is>
      </c>
      <c r="AB88" t="inlineStr">
        <is>
          <t>None (working-capital/SBA Express/ABL/CRE full-doc)</t>
        </is>
      </c>
      <c r="AC88" t="inlineStr">
        <is>
          <t>Likely Yes (relationship bank)</t>
        </is>
      </c>
      <c r="AD88" t="inlineStr">
        <is>
          <t>No-doc card — apply in branch</t>
        </is>
      </c>
      <c r="AE88" t="inlineStr">
        <is>
          <t>'CommerceWest Bank credit card' (TIB Preferred Points; no named tiers)</t>
        </is>
      </c>
      <c r="AF88" t="inlineStr">
        <is>
          <t>SoCal / Orange County</t>
        </is>
      </c>
      <c r="AG88" t="inlineStr">
        <is>
          <t>Irvine</t>
        </is>
      </c>
      <c r="AH88" t="inlineStr">
        <is>
          <t>55</t>
        </is>
      </c>
      <c r="AI88" t="inlineStr">
        <is>
          <t>MED issuer=TIB (inferred via 'Preferred Points' signature; not confirmed via CommerceWest doc)/OC; no online apply; N/M terms, HP. 2026-05-29</t>
        </is>
      </c>
      <c r="AJ88" t="inlineStr">
        <is>
          <t>cwbk.com/business-loans; TIB Preferred Points (vista/lakestone bank corroboration); FDIC cert 57176</t>
        </is>
      </c>
    </row>
    <row r="89">
      <c r="A89" t="inlineStr">
        <is>
          <t>88</t>
        </is>
      </c>
      <c r="B89" t="inlineStr">
        <is>
          <t>87</t>
        </is>
      </c>
      <c r="C89" s="12" t="inlineStr">
        <is>
          <t>University Credit Union (LA)</t>
        </is>
      </c>
      <c r="D89" s="11" t="inlineStr">
        <is>
          <t>Credit Union</t>
        </is>
      </c>
      <c r="E89" t="inlineStr">
        <is>
          <t>★ Core SoCal</t>
        </is>
      </c>
      <c r="F89" s="13" t="inlineStr">
        <is>
          <t>2/4  ✗SUW ✗Onl ✓SoCal ✓Card</t>
        </is>
      </c>
      <c r="G89" t="inlineStr">
        <is>
          <t>N/M</t>
        </is>
      </c>
      <c r="H89" t="inlineStr">
        <is>
          <t>N/M</t>
        </is>
      </c>
      <c r="I89" t="inlineStr"/>
      <c r="J89" t="inlineStr">
        <is>
          <t>C — Other agent card</t>
        </is>
      </c>
      <c r="K89" t="inlineStr">
        <is>
          <t>N/M (no bank-specific data point found)</t>
        </is>
      </c>
      <c r="L89" t="inlineStr">
        <is>
          <t>~$1.19B</t>
        </is>
      </c>
      <c r="M89" t="inlineStr">
        <is>
          <t>—</t>
        </is>
      </c>
      <c r="N89" t="inlineStr">
        <is>
          <t>LA (UCLA-adjacent); ~$1.19B</t>
        </is>
      </c>
      <c r="O89" t="inlineStr">
        <is>
          <t>CA-HQ'd</t>
        </is>
      </c>
      <c r="P89" t="inlineStr">
        <is>
          <t>Unknown</t>
        </is>
      </c>
      <c r="Q89" t="inlineStr">
        <is>
          <t>✅ Business credit card offered (skim-level: BIZ_CC Yes, BLOC No); terms/issuer N/M</t>
        </is>
      </c>
      <c r="R89" s="9" t="inlineStr">
        <is>
          <t>N/M (skim level)</t>
        </is>
      </c>
      <c r="S89" t="inlineStr">
        <is>
          <t>In-person</t>
        </is>
      </c>
      <c r="T89" t="inlineStr">
        <is>
          <t>Visit branch / contact a banker (no online application)</t>
        </is>
      </c>
      <c r="U89" t="inlineStr">
        <is>
          <t>https://www.ucu.org</t>
        </is>
      </c>
      <c r="V89" t="inlineStr">
        <is>
          <t>https://www.ucu.org</t>
        </is>
      </c>
      <c r="W89" t="inlineStr">
        <is>
          <t>N/M</t>
        </is>
      </c>
      <c r="X89" t="inlineStr">
        <is>
          <t>N/M</t>
        </is>
      </c>
      <c r="Y89" t="inlineStr">
        <is>
          <t>SEG-skim only — deep-dive pending. Light census 2026-06-10.</t>
        </is>
      </c>
      <c r="Z89" t="inlineStr">
        <is>
          <t>2</t>
        </is>
      </c>
      <c r="AA89" t="inlineStr">
        <is>
          <t>N/M</t>
        </is>
      </c>
      <c r="AB89" t="inlineStr">
        <is>
          <t>N/M</t>
        </is>
      </c>
      <c r="AC89" t="inlineStr">
        <is>
          <t>Membership: university staff/students/alumni + family</t>
        </is>
      </c>
      <c r="AD89" t="inlineStr">
        <is>
          <t>No-doc card — apply in branch</t>
        </is>
      </c>
      <c r="AE89" t="inlineStr">
        <is>
          <t>Business credit card (name N/M)</t>
        </is>
      </c>
      <c r="AF89" t="inlineStr">
        <is>
          <t>SoCal / LA (Westwood)</t>
        </is>
      </c>
      <c r="AG89" t="inlineStr">
        <is>
          <t>Los Angeles, CA</t>
        </is>
      </c>
      <c r="AH89" t="inlineStr">
        <is>
          <t>CU</t>
        </is>
      </c>
      <c r="AI89" t="inlineStr">
        <is>
          <t>LOW (skim). 2026-06-10</t>
        </is>
      </c>
      <c r="AJ89" t="inlineStr">
        <is>
          <t>ucu.org (skim)</t>
        </is>
      </c>
    </row>
    <row r="90">
      <c r="A90" t="inlineStr">
        <is>
          <t>89</t>
        </is>
      </c>
      <c r="B90" t="inlineStr">
        <is>
          <t>88</t>
        </is>
      </c>
      <c r="C90" s="12" t="inlineStr">
        <is>
          <t>First General Bank</t>
        </is>
      </c>
      <c r="D90" s="15" t="inlineStr">
        <is>
          <t>CA Bank</t>
        </is>
      </c>
      <c r="E90" t="inlineStr">
        <is>
          <t>★ Core SoCal</t>
        </is>
      </c>
      <c r="F90" s="13" t="inlineStr">
        <is>
          <t>2/4  ✗SUW ✗Onl ✓SoCal ✓Card</t>
        </is>
      </c>
      <c r="G90" t="inlineStr">
        <is>
          <t>N/M</t>
        </is>
      </c>
      <c r="H90" t="inlineStr">
        <is>
          <t>N/M</t>
        </is>
      </c>
      <c r="I90" t="inlineStr"/>
      <c r="J90" t="inlineStr">
        <is>
          <t>C — Other agent card</t>
        </is>
      </c>
      <c r="K90" t="inlineStr">
        <is>
          <t>N/M (no bank-specific data point found)</t>
        </is>
      </c>
      <c r="L90" t="inlineStr">
        <is>
          <t>$1.14B</t>
        </is>
      </c>
      <c r="M90" t="inlineStr">
        <is>
          <t>N/M</t>
        </is>
      </c>
      <c r="N90" t="inlineStr">
        <is>
          <t>~4 branches (Rowland Heights HQ, Arcadia, Irvine, San Gabriel); CDFI; Asian-American SMB</t>
        </is>
      </c>
      <c r="O90" t="inlineStr">
        <is>
          <t>CA-HQ'd</t>
        </is>
      </c>
      <c r="P90" t="inlineStr">
        <is>
          <t>Unknown</t>
        </is>
      </c>
      <c r="Q90" t="inlineStr">
        <is>
          <t>⚠️ 'Business Credit Cards' listed (no detail); issuer/terms N/M; no online apply</t>
        </is>
      </c>
      <c r="R90" s="9" t="inlineStr">
        <is>
          <t>Unknown (not disclosed; no portal; likely agent-issued)</t>
        </is>
      </c>
      <c r="S90" t="inlineStr">
        <is>
          <t>In-person</t>
        </is>
      </c>
      <c r="T90" t="inlineStr">
        <is>
          <t>Visit branch / contact a banker (no online application)</t>
        </is>
      </c>
      <c r="U90" t="inlineStr">
        <is>
          <t>https://www.fgbusa.com</t>
        </is>
      </c>
      <c r="V90" t="inlineStr">
        <is>
          <t>https://www.fgbusa.com/products-and-services/others</t>
        </is>
      </c>
      <c r="W90" t="inlineStr">
        <is>
          <t>N/M</t>
        </is>
      </c>
      <c r="X90" t="inlineStr">
        <is>
          <t>N/M</t>
        </is>
      </c>
      <c r="Y90" t="inlineStr">
        <is>
          <t>N/M (no forum data)</t>
        </is>
      </c>
      <c r="Z90" t="inlineStr">
        <is>
          <t>2</t>
        </is>
      </c>
      <c r="AA90" t="inlineStr">
        <is>
          <t>N/M (nothing published)</t>
        </is>
      </c>
      <c r="AB90" t="inlineStr">
        <is>
          <t>None (commercial/SBA/trade finance full-doc)</t>
        </is>
      </c>
      <c r="AC90" t="inlineStr">
        <is>
          <t>Likely Yes (relationship)</t>
        </is>
      </c>
      <c r="AD90" t="inlineStr">
        <is>
          <t>No-doc card — apply in branch</t>
        </is>
      </c>
      <c r="AE90" t="inlineStr">
        <is>
          <t>'Business Credit Cards' (generic; no name/terms published)</t>
        </is>
      </c>
      <c r="AF90" t="inlineStr">
        <is>
          <t>SoCal / LA (San Gabriel Valley)</t>
        </is>
      </c>
      <c r="AG90" t="inlineStr">
        <is>
          <t>Rowland Heights</t>
        </is>
      </c>
      <c r="AH90" t="inlineStr">
        <is>
          <t>58</t>
        </is>
      </c>
      <c r="AI90" t="inlineStr">
        <is>
          <t>MED-HIGH card-listed/SGV-HQ/no-online; N/M issuer, terms (zero card detail published). 2026-05-29</t>
        </is>
      </c>
      <c r="AJ90" t="inlineStr">
        <is>
          <t>fgbusa.com/products-and-services/others; fgbusa.com/about/bank-profile; FDIC cert 58060</t>
        </is>
      </c>
    </row>
    <row r="91">
      <c r="A91" t="inlineStr">
        <is>
          <t>90</t>
        </is>
      </c>
      <c r="B91" t="inlineStr">
        <is>
          <t>89</t>
        </is>
      </c>
      <c r="C91" s="12" t="inlineStr">
        <is>
          <t>Shinhan Bank America</t>
        </is>
      </c>
      <c r="D91" s="8" t="inlineStr">
        <is>
          <t>Regional</t>
        </is>
      </c>
      <c r="E91" t="inlineStr">
        <is>
          <t>★ Core SoCal</t>
        </is>
      </c>
      <c r="F91" s="13" t="inlineStr">
        <is>
          <t>2/4  ✗SUW ✗Onl ✓SoCal ✓Card</t>
        </is>
      </c>
      <c r="G91" t="inlineStr">
        <is>
          <t>N/M</t>
        </is>
      </c>
      <c r="H91" t="inlineStr">
        <is>
          <t>N/M</t>
        </is>
      </c>
      <c r="I91" t="inlineStr"/>
      <c r="J91" t="inlineStr">
        <is>
          <t>C — Other agent card</t>
        </is>
      </c>
      <c r="K91" t="inlineStr">
        <is>
          <t>$4,000–$100,000 PUBLISHED range ($45 AF; deposit-or-loan relationship required)  [shbamerica.com 2026-06-10]</t>
        </is>
      </c>
      <c r="L91" t="inlineStr">
        <is>
          <t>N/M</t>
        </is>
      </c>
      <c r="M91" t="inlineStr">
        <is>
          <t>N/M</t>
        </is>
      </c>
      <c r="N91" t="inlineStr">
        <is>
          <t>4 branches: LA Olympic, Buena Park, Irvine, Torrance (+San Diego)</t>
        </is>
      </c>
      <c r="O91" t="inlineStr">
        <is>
          <t>N/M</t>
        </is>
      </c>
      <c r="P91" t="inlineStr">
        <is>
          <t>Unknown</t>
        </is>
      </c>
      <c r="Q91" t="inlineStr">
        <is>
          <t>✅ Business Credit Card: limit $4,000–$100,000 PUBLISHED; $45 AF; 25-day grace; relationship required</t>
        </is>
      </c>
      <c r="R91" s="9" t="inlineStr">
        <is>
          <t>Unknown (no portal found; issuer not decodable)</t>
        </is>
      </c>
      <c r="S91" t="inlineStr">
        <is>
          <t>In-person</t>
        </is>
      </c>
      <c r="T91" t="inlineStr">
        <is>
          <t>Visit branch / contact a banker (no online application)</t>
        </is>
      </c>
      <c r="U91" t="inlineStr">
        <is>
          <t>https://www.shbamerica.com</t>
        </is>
      </c>
      <c r="V91" t="inlineStr">
        <is>
          <t>https://www.shbamerica.com/business-business-credit-card/</t>
        </is>
      </c>
      <c r="W91" t="inlineStr">
        <is>
          <t>N/M</t>
        </is>
      </c>
      <c r="X91" t="inlineStr">
        <is>
          <t>N/M</t>
        </is>
      </c>
      <c r="Y91" t="inlineStr">
        <is>
          <t>RARE published limit range $4K–$100K. Commercial LOC individualized (history/projection/collateral). Light census 2026-06-10.</t>
        </is>
      </c>
      <c r="Z91" t="inlineStr">
        <is>
          <t>2</t>
        </is>
      </c>
      <c r="AA91" t="inlineStr">
        <is>
          <t>N/M ('required documents: contact us')</t>
        </is>
      </c>
      <c r="AB91" t="inlineStr">
        <is>
          <t>None published</t>
        </is>
      </c>
      <c r="AC91" t="inlineStr">
        <is>
          <t>YES — deposit OR loan relationship required</t>
        </is>
      </c>
      <c r="AD91" t="inlineStr">
        <is>
          <t>Published $4K–$100K limit — but deposit/loan relationship gated</t>
        </is>
      </c>
      <c r="AE91" t="inlineStr">
        <is>
          <t>Shinhan Business Credit Card ($4K–$100K, $45 AF)</t>
        </is>
      </c>
      <c r="AF91" t="inlineStr">
        <is>
          <t>SoCal / LA-OC (4 branches; NY-HQ'd; Korean-American)</t>
        </is>
      </c>
      <c r="AG91" t="inlineStr">
        <is>
          <t>New York, NY</t>
        </is>
      </c>
      <c r="AH91" t="inlineStr">
        <is>
          <t>Reg</t>
        </is>
      </c>
      <c r="AI91" t="inlineStr">
        <is>
          <t>MED-HIGH published-limit/relationship-gate/branch-apply; N/M issuer, HP. Light census 2026-06-10</t>
        </is>
      </c>
      <c r="AJ91" t="inlineStr">
        <is>
          <t>shbamerica.com/business-business-credit-card + business-commercial-line-of-credit</t>
        </is>
      </c>
    </row>
    <row r="92">
      <c r="A92" t="inlineStr">
        <is>
          <t>91</t>
        </is>
      </c>
      <c r="B92" t="inlineStr">
        <is>
          <t>90</t>
        </is>
      </c>
      <c r="C92" s="12" t="inlineStr">
        <is>
          <t>Habib American Bank (HAB)</t>
        </is>
      </c>
      <c r="D92" s="8" t="inlineStr">
        <is>
          <t>Regional</t>
        </is>
      </c>
      <c r="E92" t="inlineStr">
        <is>
          <t>★ Core SoCal</t>
        </is>
      </c>
      <c r="F92" s="13" t="inlineStr">
        <is>
          <t>2/4  ✗SUW ✗Onl ✓SoCal ✓Card</t>
        </is>
      </c>
      <c r="G92" t="inlineStr">
        <is>
          <t>N/M</t>
        </is>
      </c>
      <c r="H92" t="inlineStr">
        <is>
          <t>N/M</t>
        </is>
      </c>
      <c r="I92" t="inlineStr"/>
      <c r="J92" t="inlineStr">
        <is>
          <t>C — Other agent card</t>
        </is>
      </c>
      <c r="K92" t="inlineStr">
        <is>
          <t>N/M (no bank-specific data point found)</t>
        </is>
      </c>
      <c r="L92" t="inlineStr">
        <is>
          <t>N/M</t>
        </is>
      </c>
      <c r="M92" t="inlineStr">
        <is>
          <t>N/M</t>
        </is>
      </c>
      <c r="N92" t="inlineStr">
        <is>
          <t>LA 928 S Broadway + Artesia 18357 Pioneer Blvd</t>
        </is>
      </c>
      <c r="O92" t="inlineStr">
        <is>
          <t>N/M</t>
        </is>
      </c>
      <c r="P92" t="inlineStr">
        <is>
          <t>Unknown</t>
        </is>
      </c>
      <c r="Q92" t="inlineStr">
        <is>
          <t>⚠️ Visa Business Credit Card (site calls it SECURED); issuer/terms N/M</t>
        </is>
      </c>
      <c r="R92" s="9" t="inlineStr">
        <is>
          <t>Unknown (no portal links)</t>
        </is>
      </c>
      <c r="S92" t="inlineStr">
        <is>
          <t>In-person</t>
        </is>
      </c>
      <c r="T92" t="inlineStr">
        <is>
          <t>Visit branch / contact a banker (no online application)</t>
        </is>
      </c>
      <c r="U92" t="inlineStr">
        <is>
          <t>https://www.hab.bank</t>
        </is>
      </c>
      <c r="V92" t="inlineStr">
        <is>
          <t>https://www.hab.bank/business/banking-services/visa-business-credit-card</t>
        </is>
      </c>
      <c r="W92" t="inlineStr">
        <is>
          <t>N/M</t>
        </is>
      </c>
      <c r="X92" t="inlineStr">
        <is>
          <t>N/M</t>
        </is>
      </c>
      <c r="Y92" t="inlineStr">
        <is>
          <t>Secured business card + BLOC (no amounts). Light census 2026-06-10.</t>
        </is>
      </c>
      <c r="Z92" t="inlineStr">
        <is>
          <t>2</t>
        </is>
      </c>
      <c r="AA92" t="inlineStr">
        <is>
          <t>N/M</t>
        </is>
      </c>
      <c r="AB92" t="inlineStr">
        <is>
          <t>None published</t>
        </is>
      </c>
      <c r="AC92" t="inlineStr">
        <is>
          <t>Likely Yes (secured)</t>
        </is>
      </c>
      <c r="AD92" t="inlineStr">
        <is>
          <t>No-doc card — apply in branch</t>
        </is>
      </c>
      <c r="AE92" t="inlineStr">
        <is>
          <t>Visa Business Credit Card (secured)</t>
        </is>
      </c>
      <c r="AF92" t="inlineStr">
        <is>
          <t>SoCal / LA (2 offices: DTLA + Artesia; NY-HQ'd)</t>
        </is>
      </c>
      <c r="AG92" t="inlineStr">
        <is>
          <t>New York, NY</t>
        </is>
      </c>
      <c r="AH92" t="inlineStr">
        <is>
          <t>Reg</t>
        </is>
      </c>
      <c r="AI92" t="inlineStr">
        <is>
          <t>MED card-exists(secured)/branch; N/M issuer, terms. Light census 2026-06-10</t>
        </is>
      </c>
      <c r="AJ92" t="inlineStr">
        <is>
          <t>hab.bank/business/banking-services/visa-business-credit-card + /locations</t>
        </is>
      </c>
    </row>
    <row r="93">
      <c r="A93" t="inlineStr">
        <is>
          <t>92</t>
        </is>
      </c>
      <c r="B93" t="inlineStr">
        <is>
          <t>91</t>
        </is>
      </c>
      <c r="C93" s="2" t="inlineStr">
        <is>
          <t>First Pacific Bank</t>
        </is>
      </c>
      <c r="D93" s="15" t="inlineStr">
        <is>
          <t>CA Bank</t>
        </is>
      </c>
      <c r="E93" t="inlineStr">
        <is>
          <t>★ Core SoCal</t>
        </is>
      </c>
      <c r="F93" s="4" t="inlineStr">
        <is>
          <t>3/4  ✗SUW ✓Onl ✓SoCal ✓Card</t>
        </is>
      </c>
      <c r="G93" t="inlineStr">
        <is>
          <t>N/M</t>
        </is>
      </c>
      <c r="H93" t="inlineStr">
        <is>
          <t>N/M</t>
        </is>
      </c>
      <c r="I93" t="inlineStr"/>
      <c r="J93" t="inlineStr">
        <is>
          <t>E — Elan agent</t>
        </is>
      </c>
      <c r="K93" t="inlineStr">
        <is>
          <t>Elan platform: ~$3K–$10K start, to ~$20K strong files (~$500 seen at 800+ FICO)  [myFICO #6658960]</t>
        </is>
      </c>
      <c r="L93" t="inlineStr">
        <is>
          <t>$0.49B</t>
        </is>
      </c>
      <c r="M93" t="inlineStr">
        <is>
          <t>N/M</t>
        </is>
      </c>
      <c r="N93" t="inlineStr">
        <is>
          <t>LA + Orange County + San Diego + Inland Empire branches; est 2006; First Pacific Bancorp</t>
        </is>
      </c>
      <c r="O93" t="inlineStr">
        <is>
          <t>CA-HQ'd</t>
        </is>
      </c>
      <c r="P93" t="inlineStr">
        <is>
          <t>No</t>
        </is>
      </c>
      <c r="Q93" t="inlineStr">
        <is>
          <t>✅ Elan biz cards (low rate / cash back / rewards); terms N/M</t>
        </is>
      </c>
      <c r="R93" s="6" t="inlineStr">
        <is>
          <t>Elan</t>
        </is>
      </c>
      <c r="S93" t="inlineStr">
        <is>
          <t>Online</t>
        </is>
      </c>
      <c r="T93" t="inlineStr">
        <is>
          <t>Online — apply at https://www.firstpacbank.com/business-banking/business-loans-and-lines-of-credit/</t>
        </is>
      </c>
      <c r="U93" t="inlineStr">
        <is>
          <t>https://www.firstpacbank.com</t>
        </is>
      </c>
      <c r="V93" t="inlineStr">
        <is>
          <t>https://www.firstpacbank.com/business-banking/business-loans-and-lines-of-credit/</t>
        </is>
      </c>
      <c r="W93" t="inlineStr">
        <is>
          <t>TransUnion (varies EX/EQ)</t>
        </is>
      </c>
      <c r="X93" t="inlineStr">
        <is>
          <t>D&amp;B; not personal in good standing</t>
        </is>
      </c>
      <c r="Y93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93" t="inlineStr">
        <is>
          <t>3</t>
        </is>
      </c>
      <c r="AA93" t="inlineStr">
        <is>
          <t>PG yes; no tax returns (&lt;$25K)</t>
        </is>
      </c>
      <c r="AB93" t="inlineStr">
        <is>
          <t>None (LOC/equipment/CRE/construction/truck/SBA full-doc)</t>
        </is>
      </c>
      <c r="AC93" t="inlineStr">
        <is>
          <t>N/M</t>
        </is>
      </c>
      <c r="AD93" t="inlineStr">
        <is>
          <t>No-doc card — apply online (Elan)</t>
        </is>
      </c>
      <c r="AE93" t="inlineStr">
        <is>
          <t>Elan business Visa (Real Rewards / Cash Preferred / Platinum; names not enumerated)</t>
        </is>
      </c>
      <c r="AF93" t="inlineStr">
        <is>
          <t>SoCal / LA</t>
        </is>
      </c>
      <c r="AG93" t="inlineStr">
        <is>
          <t>Whittier</t>
        </is>
      </c>
      <c r="AH93" t="inlineStr">
        <is>
          <t>82</t>
        </is>
      </c>
      <c r="AI93" t="inlineStr">
        <is>
          <t>HIGH issuer=Elan (own footer disclosure)/online/SoCal-multi-county; N/M terms, HP, reports. 2026-05-29</t>
        </is>
      </c>
      <c r="AJ93" t="inlineStr">
        <is>
          <t>firstpacbank.com/business-banking/business-loans-and-lines-of-credit (Elan disclosure); creditcardlearnmore.com; FDIC cert 58218</t>
        </is>
      </c>
    </row>
    <row r="94">
      <c r="A94" t="inlineStr">
        <is>
          <t>93</t>
        </is>
      </c>
      <c r="B94" t="inlineStr">
        <is>
          <t>92</t>
        </is>
      </c>
      <c r="C94" s="12" t="inlineStr">
        <is>
          <t>Community Bank of Santa Maria</t>
        </is>
      </c>
      <c r="D94" s="15" t="inlineStr">
        <is>
          <t>CA Bank</t>
        </is>
      </c>
      <c r="E94" t="inlineStr">
        <is>
          <t>Other — Central Coast (Santa Barbara County)</t>
        </is>
      </c>
      <c r="F94" s="13" t="inlineStr">
        <is>
          <t>2/4  ✗SUW ✓Onl ✗SoCal ✓Card</t>
        </is>
      </c>
      <c r="G94" t="inlineStr">
        <is>
          <t>N/M</t>
        </is>
      </c>
      <c r="H94" t="inlineStr">
        <is>
          <t>N/M</t>
        </is>
      </c>
      <c r="I94" t="inlineStr"/>
      <c r="J94" t="inlineStr">
        <is>
          <t>D — TCM agent</t>
        </is>
      </c>
      <c r="K94" t="inlineStr">
        <is>
          <t>N/M (TCM; conservative, Experian-driven)</t>
        </is>
      </c>
      <c r="L94" t="inlineStr">
        <is>
          <t>$0.41B</t>
        </is>
      </c>
      <c r="M94" t="inlineStr">
        <is>
          <t>$0.36B</t>
        </is>
      </c>
      <c r="N94" t="inlineStr">
        <is>
          <t>~3 branches; Santa Maria HQ; Community Bancorp of Santa Maria (CYSM); est 2001</t>
        </is>
      </c>
      <c r="O94" t="inlineStr">
        <is>
          <t>CA-HQ'd</t>
        </is>
      </c>
      <c r="P94" t="inlineStr">
        <is>
          <t>No</t>
        </is>
      </c>
      <c r="Q94" t="inlineStr">
        <is>
          <t>✅ no 0% (intro APR only); $0 AF; Platinum/Platinum Rewards + Company Expense charge card</t>
        </is>
      </c>
      <c r="R94" s="20" t="inlineStr">
        <is>
          <t>TCM Bank, N.A.</t>
        </is>
      </c>
      <c r="S94" t="inlineStr">
        <is>
          <t>Online</t>
        </is>
      </c>
      <c r="T94" t="inlineStr">
        <is>
          <t>Online — apply at https://www.mycommunitycc.com/sx1jVR5q5Ti5</t>
        </is>
      </c>
      <c r="U94" t="inlineStr">
        <is>
          <t>https://www.yourcbsm.com</t>
        </is>
      </c>
      <c r="V94" t="inlineStr">
        <is>
          <t>https://www.mycommunitycc.com/sx1jVR5q5Ti5</t>
        </is>
      </c>
      <c r="W94" t="inlineStr">
        <is>
          <t>Experian (TCM)</t>
        </is>
      </c>
      <c r="X94" t="inlineStr">
        <is>
          <t>N/M (TCM)</t>
        </is>
      </c>
      <c r="Y94" t="inlineStr">
        <is>
          <t>TCM platform (mycommunitycc.com): Experian pull; SBA-eligible only; conservative. myfico.com #6303273</t>
        </is>
      </c>
      <c r="Z94" t="inlineStr">
        <is>
          <t>3</t>
        </is>
      </c>
      <c r="AA94" t="inlineStr">
        <is>
          <t>PG likely; SBA-eligible only; 'subject to credit approval'</t>
        </is>
      </c>
      <c r="AB94" t="inlineStr">
        <is>
          <t>None (SBA 504/7(a)/CRE/ag/equipment/LOC/construction full-doc)</t>
        </is>
      </c>
      <c r="AC94" t="inlineStr">
        <is>
          <t>N/M</t>
        </is>
      </c>
      <c r="AD94" t="inlineStr">
        <is>
          <t>★ No-doc card — apply online</t>
        </is>
      </c>
      <c r="AE94" t="inlineStr">
        <is>
          <t>Business Visa Platinum / Platinum Rewards ($0 AF, intro APR); Company Expense Charge Card ($0 AF, pay-in-full)</t>
        </is>
      </c>
      <c r="AF94" t="inlineStr">
        <is>
          <t>Central Coast (Santa Barbara County)</t>
        </is>
      </c>
      <c r="AG94" t="inlineStr">
        <is>
          <t>Santa Maria</t>
        </is>
      </c>
      <c r="AH94" t="inlineStr">
        <is>
          <t>88</t>
        </is>
      </c>
      <c r="AI94" t="inlineStr">
        <is>
          <t>HIGH issuer=TCM (own page quote)/products/online/HP=Experian; N/M APR length, reports. 2026-05-29</t>
        </is>
      </c>
      <c r="AJ94" t="inlineStr">
        <is>
          <t>yourcbsm.com/Business/Business-Loans ('issued by TCM Bank, N.A.'); mycommunitycc.com; FDIC cert 57073</t>
        </is>
      </c>
    </row>
    <row r="95">
      <c r="A95" t="inlineStr">
        <is>
          <t>94</t>
        </is>
      </c>
      <c r="B95" t="inlineStr">
        <is>
          <t>93</t>
        </is>
      </c>
      <c r="C95" s="12" t="inlineStr">
        <is>
          <t>Credit Union of New Jersey</t>
        </is>
      </c>
      <c r="D95" s="11" t="inlineStr">
        <is>
          <t>Credit Union</t>
        </is>
      </c>
      <c r="E95" t="inlineStr">
        <is>
          <t>★ Core SoCal</t>
        </is>
      </c>
      <c r="F95" s="13" t="inlineStr">
        <is>
          <t>2/4  ✗SUW ✗Onl ✓SoCal ✓Card</t>
        </is>
      </c>
      <c r="G95" t="inlineStr">
        <is>
          <t>N/M</t>
        </is>
      </c>
      <c r="H95" t="inlineStr">
        <is>
          <t>N/M</t>
        </is>
      </c>
      <c r="I95" t="inlineStr"/>
      <c r="J95" t="inlineStr">
        <is>
          <t>C — Other agent card</t>
        </is>
      </c>
      <c r="K95" t="inlineStr">
        <is>
          <t>N/M (no bank-specific data point found)</t>
        </is>
      </c>
      <c r="L95" t="inlineStr">
        <is>
          <t>~$0.50B</t>
        </is>
      </c>
      <c r="M95" t="inlineStr">
        <is>
          <t>—</t>
        </is>
      </c>
      <c r="N95" t="inlineStr">
        <is>
          <t>1 OC branch; ~$0.50B</t>
        </is>
      </c>
      <c r="O95" t="inlineStr">
        <is>
          <t>CA-HQ'd</t>
        </is>
      </c>
      <c r="P95" t="inlineStr">
        <is>
          <t>Unknown</t>
        </is>
      </c>
      <c r="Q95" t="inlineStr">
        <is>
          <t>✅ Business card offered (skim-level; BLOC unknown); 1 Orange-County branch presence; terms N/M</t>
        </is>
      </c>
      <c r="R95" s="9" t="inlineStr">
        <is>
          <t>N/M (skim)</t>
        </is>
      </c>
      <c r="S95" t="inlineStr">
        <is>
          <t>In-person</t>
        </is>
      </c>
      <c r="T95" t="inlineStr">
        <is>
          <t>Visit branch / contact a banker (no online application)</t>
        </is>
      </c>
      <c r="U95" t="inlineStr">
        <is>
          <t>https://www.cunj.com</t>
        </is>
      </c>
      <c r="V95" t="inlineStr">
        <is>
          <t>https://www.cunj.com</t>
        </is>
      </c>
      <c r="W95" t="inlineStr">
        <is>
          <t>N/M</t>
        </is>
      </c>
      <c r="X95" t="inlineStr">
        <is>
          <t>N/M</t>
        </is>
      </c>
      <c r="Y95" t="inlineStr">
        <is>
          <t>SEG skim 2026-06-10 — deep-dive pending.</t>
        </is>
      </c>
      <c r="Z95" t="inlineStr">
        <is>
          <t>2</t>
        </is>
      </c>
      <c r="AA95" t="inlineStr">
        <is>
          <t>N/M</t>
        </is>
      </c>
      <c r="AB95" t="inlineStr">
        <is>
          <t>N/M</t>
        </is>
      </c>
      <c r="AC95" t="inlineStr">
        <is>
          <t>Membership: NJ state employees + SEGs + ACC (open path Y)</t>
        </is>
      </c>
      <c r="AD95" t="inlineStr">
        <is>
          <t>No-doc card — apply in branch</t>
        </is>
      </c>
      <c r="AE95" t="inlineStr">
        <is>
          <t>Business card (name N/M)</t>
        </is>
      </c>
      <c r="AF95" t="inlineStr">
        <is>
          <t>SoCal / Orange County (1 branch; NJ-HQ'd)</t>
        </is>
      </c>
      <c r="AG95" t="inlineStr">
        <is>
          <t>Ewing, NJ</t>
        </is>
      </c>
      <c r="AH95" t="inlineStr">
        <is>
          <t>CU</t>
        </is>
      </c>
      <c r="AI95" t="inlineStr">
        <is>
          <t>LOW (skim). 2026-06-10</t>
        </is>
      </c>
      <c r="AJ95" t="inlineStr">
        <is>
          <t>cunj.com (skim)</t>
        </is>
      </c>
    </row>
    <row r="96">
      <c r="A96" t="inlineStr">
        <is>
          <t>95</t>
        </is>
      </c>
      <c r="B96" t="inlineStr">
        <is>
          <t>94</t>
        </is>
      </c>
      <c r="C96" s="12" t="inlineStr">
        <is>
          <t>CAHP Credit Union</t>
        </is>
      </c>
      <c r="D96" s="11" t="inlineStr">
        <is>
          <t>Credit Union</t>
        </is>
      </c>
      <c r="E96" t="inlineStr">
        <is>
          <t>★ Core SoCal</t>
        </is>
      </c>
      <c r="F96" s="13" t="inlineStr">
        <is>
          <t>2/4  ✗SUW ✗Onl ✓SoCal ✓Card</t>
        </is>
      </c>
      <c r="G96" t="inlineStr">
        <is>
          <t>N/M</t>
        </is>
      </c>
      <c r="H96" t="inlineStr">
        <is>
          <t>N/M</t>
        </is>
      </c>
      <c r="I96" t="inlineStr"/>
      <c r="J96" t="inlineStr">
        <is>
          <t>C — Other agent card</t>
        </is>
      </c>
      <c r="K96" t="inlineStr">
        <is>
          <t>N/M (no bank-specific data point found)</t>
        </is>
      </c>
      <c r="L96" t="inlineStr">
        <is>
          <t>~$0.40B</t>
        </is>
      </c>
      <c r="M96" t="inlineStr">
        <is>
          <t>—</t>
        </is>
      </c>
      <c r="N96" t="inlineStr">
        <is>
          <t>1 SB branch; ~$0.40B</t>
        </is>
      </c>
      <c r="O96" t="inlineStr">
        <is>
          <t>CA-HQ'd</t>
        </is>
      </c>
      <c r="P96" t="inlineStr">
        <is>
          <t>Unknown</t>
        </is>
      </c>
      <c r="Q96" t="inlineStr">
        <is>
          <t>✅ Business card offered (skim-level; BLOC: No); CA peace-officers FOM; terms N/M</t>
        </is>
      </c>
      <c r="R96" s="9" t="inlineStr">
        <is>
          <t>N/M (skim)</t>
        </is>
      </c>
      <c r="S96" t="inlineStr">
        <is>
          <t>In-person</t>
        </is>
      </c>
      <c r="T96" t="inlineStr">
        <is>
          <t>Visit branch / contact a banker (no online application)</t>
        </is>
      </c>
      <c r="U96" t="inlineStr">
        <is>
          <t>https://www.cahpcu.org</t>
        </is>
      </c>
      <c r="V96" t="inlineStr">
        <is>
          <t>https://www.cahpcu.org</t>
        </is>
      </c>
      <c r="W96" t="inlineStr">
        <is>
          <t>N/M</t>
        </is>
      </c>
      <c r="X96" t="inlineStr">
        <is>
          <t>N/M</t>
        </is>
      </c>
      <c r="Y96" t="inlineStr">
        <is>
          <t>SEG skim 2026-06-10 — deep-dive pending.</t>
        </is>
      </c>
      <c r="Z96" t="inlineStr">
        <is>
          <t>2</t>
        </is>
      </c>
      <c r="AA96" t="inlineStr">
        <is>
          <t>N/M</t>
        </is>
      </c>
      <c r="AB96" t="inlineStr">
        <is>
          <t>N/M</t>
        </is>
      </c>
      <c r="AC96" t="inlineStr">
        <is>
          <t>Membership: California peace officers + families (closed FOM)</t>
        </is>
      </c>
      <c r="AD96" t="inlineStr">
        <is>
          <t>No-doc card — apply in branch</t>
        </is>
      </c>
      <c r="AE96" t="inlineStr">
        <is>
          <t>Business card (name N/M)</t>
        </is>
      </c>
      <c r="AF96" t="inlineStr">
        <is>
          <t>SoCal / San Bernardino (1 branch; Sacramento-HQ'd)</t>
        </is>
      </c>
      <c r="AG96" t="inlineStr">
        <is>
          <t>Sacramento, CA</t>
        </is>
      </c>
      <c r="AH96" t="inlineStr">
        <is>
          <t>CU</t>
        </is>
      </c>
      <c r="AI96" t="inlineStr">
        <is>
          <t>LOW (skim). 2026-06-10</t>
        </is>
      </c>
      <c r="AJ96" t="inlineStr">
        <is>
          <t>cahpcu.org (skim)</t>
        </is>
      </c>
    </row>
    <row r="97">
      <c r="A97" t="inlineStr">
        <is>
          <t>96</t>
        </is>
      </c>
      <c r="B97" t="inlineStr">
        <is>
          <t>95</t>
        </is>
      </c>
      <c r="C97" s="12" t="inlineStr">
        <is>
          <t>Mechanics Bank</t>
        </is>
      </c>
      <c r="D97" s="15" t="inlineStr">
        <is>
          <t>CA Bank</t>
        </is>
      </c>
      <c r="E97" t="inlineStr">
        <is>
          <t>Other — NorCal</t>
        </is>
      </c>
      <c r="F97" s="13" t="inlineStr">
        <is>
          <t>2/4  ✗SUW ✓Onl ✗SoCal ✓Card</t>
        </is>
      </c>
      <c r="G97" t="inlineStr">
        <is>
          <t>N/M</t>
        </is>
      </c>
      <c r="H97" t="inlineStr">
        <is>
          <t>N/M</t>
        </is>
      </c>
      <c r="I97" t="inlineStr"/>
      <c r="J97" t="inlineStr">
        <is>
          <t>E — Elan agent</t>
        </is>
      </c>
      <c r="K97" t="inlineStr">
        <is>
          <t>Elan platform: ~$3K–$10K start, to ~$20K strong files (~$500 seen at 800+ FICO)  [myFICO #6658960]</t>
        </is>
      </c>
      <c r="L97" t="inlineStr">
        <is>
          <t>$21.40B</t>
        </is>
      </c>
      <c r="M97" t="inlineStr">
        <is>
          <t>$18.25B</t>
        </is>
      </c>
      <c r="N97" t="inlineStr">
        <is>
          <t>~135 CA locations; West Coast + Hawaii</t>
        </is>
      </c>
      <c r="O97" t="inlineStr">
        <is>
          <t>CA-HQ'd</t>
        </is>
      </c>
      <c r="P97" t="inlineStr">
        <is>
          <t>No</t>
        </is>
      </c>
      <c r="Q97" t="inlineStr">
        <is>
          <t>✅ 0% 12 cycles → 17.24-26.24%; $0 AF; 3% gas/dining/office/cell</t>
        </is>
      </c>
      <c r="R97" s="6" t="inlineStr">
        <is>
          <t>Elan</t>
        </is>
      </c>
      <c r="S97" t="inlineStr">
        <is>
          <t>Online</t>
        </is>
      </c>
      <c r="T97" t="inlineStr">
        <is>
          <t>Online — apply at https://creditcardlearnmore.com/11t3/index?ecdma-lc=23692&amp;ecid=OTHE_25940</t>
        </is>
      </c>
      <c r="U97" t="inlineStr">
        <is>
          <t>https://www.mymechanics.com</t>
        </is>
      </c>
      <c r="V97" t="inlineStr">
        <is>
          <t>https://creditcardlearnmore.com/11t3/index?ecdma-lc=23692&amp;ecid=OTHE_25940</t>
        </is>
      </c>
      <c r="W97" t="inlineStr">
        <is>
          <t>TransUnion (varies EX/EQ)</t>
        </is>
      </c>
      <c r="X97" t="inlineStr">
        <is>
          <t>D&amp;B; not personal in good standing</t>
        </is>
      </c>
      <c r="Y97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97" t="inlineStr">
        <is>
          <t>3</t>
        </is>
      </c>
      <c r="AA97" t="inlineStr">
        <is>
          <t>PG yes; no tax returns (&lt;$25K)</t>
        </is>
      </c>
      <c r="AB97" t="inlineStr">
        <is>
          <t>Business LOC (CA-only promo to $250K) — relationship-underwritten</t>
        </is>
      </c>
      <c r="AC97" t="inlineStr">
        <is>
          <t>No</t>
        </is>
      </c>
      <c r="AD97" t="inlineStr">
        <is>
          <t>No-doc 0% card — apply online (Elan)</t>
        </is>
      </c>
      <c r="AE97" t="inlineStr">
        <is>
          <t>Business Cash Preferred, Smart Business Rewards ($95 AF after yr1), Business Real Rewards (0% 6 cyc)</t>
        </is>
      </c>
      <c r="AF97" t="inlineStr">
        <is>
          <t>NorCal / SF-East Bay</t>
        </is>
      </c>
      <c r="AG97" t="inlineStr">
        <is>
          <t>Walnut Creek</t>
        </is>
      </c>
      <c r="AH97" t="inlineStr">
        <is>
          <t>6</t>
        </is>
      </c>
      <c r="AI97" t="inlineStr">
        <is>
          <t>HIGH issuer/terms/PG/online; MED HP. 2026-05-28</t>
        </is>
      </c>
      <c r="AJ97" t="inlineStr">
        <is>
          <t>mymechanics.com business-credit-cards; creditcardlearnmore.com; online1.elancard.com STD_BIZ.pdf</t>
        </is>
      </c>
    </row>
    <row r="98">
      <c r="A98" t="inlineStr">
        <is>
          <t>97</t>
        </is>
      </c>
      <c r="B98" t="inlineStr">
        <is>
          <t>96</t>
        </is>
      </c>
      <c r="C98" s="12" t="inlineStr">
        <is>
          <t>Fifth Third Bank</t>
        </is>
      </c>
      <c r="D98" s="8" t="inlineStr">
        <is>
          <t>Regional</t>
        </is>
      </c>
      <c r="E98" t="inlineStr">
        <is>
          <t>National (lends in CA)</t>
        </is>
      </c>
      <c r="F98" s="13" t="inlineStr">
        <is>
          <t>2/4  ✓SUW ✗Onl ✗SoCal ✓Card</t>
        </is>
      </c>
      <c r="G98" t="inlineStr">
        <is>
          <t>N/M</t>
        </is>
      </c>
      <c r="H98" t="inlineStr">
        <is>
          <t>N/M</t>
        </is>
      </c>
      <c r="I98" t="inlineStr"/>
      <c r="J98" t="inlineStr">
        <is>
          <t>B — Self-UW (in branch)</t>
        </is>
      </c>
      <c r="K98" t="inlineStr">
        <is>
          <t>$25K max exposure (1 card 630+/2 cards 700+/3 cards 750+)  [myFICO #5418937]</t>
        </is>
      </c>
      <c r="L98" t="inlineStr">
        <is>
          <t>~$294B (combined w/ Comerica; 9th-largest US bank)</t>
        </is>
      </c>
      <c r="M98" t="inlineStr">
        <is>
          <t>—</t>
        </is>
      </c>
      <c r="N98" t="inlineStr">
        <is>
          <t>Midwest/SE; CA = ex-Comerica (~34 banking centers, Bay Area); Comerica brand until Q3 2026</t>
        </is>
      </c>
      <c r="O98" t="inlineStr">
        <is>
          <t>⚠ Needs local branch/account — minimal/no CA retail (likely NOT reachable)</t>
        </is>
      </c>
      <c r="P98" t="inlineStr">
        <is>
          <t>Yes</t>
        </is>
      </c>
      <c r="Q98" t="inlineStr">
        <is>
          <t>⚠️ Simply Business: 0% 12cyc, $0 AF, 1.67% — but CLOSED to new applicants; in-branch only; 90-day deposit acct required</t>
        </is>
      </c>
      <c r="R98" s="7" t="inlineStr">
        <is>
          <t>Self (Fifth Third Bank NA)</t>
        </is>
      </c>
      <c r="S98" t="inlineStr">
        <is>
          <t>In-person</t>
        </is>
      </c>
      <c r="T98" t="inlineStr">
        <is>
          <t>Visit branch / contact a banker (no online application)</t>
        </is>
      </c>
      <c r="U98" t="inlineStr">
        <is>
          <t>https://www.53.com/content/fifth-third/en/business-banking/managing-business/credit-card-solutions.html</t>
        </is>
      </c>
      <c r="V98" t="inlineStr">
        <is>
          <t>https://www.53.com/content/fifth-third/en/business-banking/managing-business/credit-card-solutions/simply-business-card.html</t>
        </is>
      </c>
      <c r="W98" t="inlineStr">
        <is>
          <t>TransUnion (East-Coast lean)</t>
        </is>
      </c>
      <c r="X98" t="inlineStr">
        <is>
          <t>Personal N/M; Business SBFE likely (N/M)</t>
        </is>
      </c>
      <c r="Y98" t="inlineStr">
        <is>
          <t>$25K max exposure; score tiers 1 card 630+/2 cards 700+/3 cards 750+; separate HP per app (not inq-sensitive); CLI=hard pull after 6mo. myfico.com #5418937</t>
        </is>
      </c>
      <c r="Z98" t="inlineStr">
        <is>
          <t>2</t>
        </is>
      </c>
      <c r="AA98" t="inlineStr">
        <is>
          <t>PG yes (joint &amp; several); tax returns N/M</t>
        </is>
      </c>
      <c r="AB98" t="inlineStr">
        <is>
          <t>Commercial LOC/SBA full-doc. (Brex corporate card runs on Fifth Third rails — no-PG, but a Brex product.)</t>
        </is>
      </c>
      <c r="AC98" t="inlineStr">
        <is>
          <t>YES — Fifth Third business checking/savings active 90+ days required</t>
        </is>
      </c>
      <c r="AD98" t="inlineStr">
        <is>
          <t>⚠ Needs CA branch + closed to new applicants</t>
        </is>
      </c>
      <c r="AE98" t="inlineStr">
        <is>
          <t>Fifth Third Simply Business Card (CLOSED to new); Commercial Card; Brex-partnership corporate card</t>
        </is>
      </c>
      <c r="AF98" t="inlineStr">
        <is>
          <t>National — NEW CA via Comerica acquisition (Feb 2026)</t>
        </is>
      </c>
      <c r="AG98" t="inlineStr">
        <is>
          <t>Cincinnati, OH</t>
        </is>
      </c>
      <c r="AH98" t="inlineStr">
        <is>
          <t>Reg</t>
        </is>
      </c>
      <c r="AI98" t="inlineStr">
        <is>
          <t>HIGH self (triangulated); card CLOSED to new + branch-only + 90-day deposit gate = low practical utility. 2026-05-28</t>
        </is>
      </c>
      <c r="AJ98" t="inlineStr">
        <is>
          <t>brex.com/legal/fifth-third-bank-card-agreement; CFPB TCCP data; 53.com simply-business; fitsmallbusiness.com; myfico.com #5418937</t>
        </is>
      </c>
    </row>
    <row r="99">
      <c r="A99" t="inlineStr">
        <is>
          <t>98</t>
        </is>
      </c>
      <c r="B99" t="inlineStr">
        <is>
          <t>97</t>
        </is>
      </c>
      <c r="C99" s="12" t="inlineStr">
        <is>
          <t>Sunflower Bank, N.A.</t>
        </is>
      </c>
      <c r="D99" s="8" t="inlineStr">
        <is>
          <t>Regional</t>
        </is>
      </c>
      <c r="E99" t="inlineStr">
        <is>
          <t>★ Core SoCal</t>
        </is>
      </c>
      <c r="F99" s="13" t="inlineStr">
        <is>
          <t>2/4  ✗SUW ✗Onl ✓SoCal ✓Card</t>
        </is>
      </c>
      <c r="G99" t="inlineStr">
        <is>
          <t>N/M</t>
        </is>
      </c>
      <c r="H99" t="inlineStr">
        <is>
          <t>N/M</t>
        </is>
      </c>
      <c r="I99" t="inlineStr"/>
      <c r="J99" t="inlineStr">
        <is>
          <t>D — TCM agent</t>
        </is>
      </c>
      <c r="K99" t="inlineStr">
        <is>
          <t>N/M (TCM; conservative, Experian-driven)</t>
        </is>
      </c>
      <c r="L99" t="inlineStr">
        <is>
          <t>N/M</t>
        </is>
      </c>
      <c r="M99" t="inlineStr">
        <is>
          <t>N/M</t>
        </is>
      </c>
      <c r="N99" t="inlineStr">
        <is>
          <t>Woodland Hills (LA) + Ontario (SB) + Century City corporate (FDIC SOD 2025 / LABJ)</t>
        </is>
      </c>
      <c r="O99" t="inlineStr">
        <is>
          <t>N/M</t>
        </is>
      </c>
      <c r="P99" t="inlineStr">
        <is>
          <t>No</t>
        </is>
      </c>
      <c r="Q99" t="inlineStr">
        <is>
          <t>✅ Visa Small Business + Corporate cards; 13.20% var; $0 AF (archived 2025-10-09)</t>
        </is>
      </c>
      <c r="R99" s="20" t="inlineStr">
        <is>
          <t>TCM (mycardstatement.com + ezbusinesscardmanagement.com portals)</t>
        </is>
      </c>
      <c r="S99" t="inlineStr">
        <is>
          <t>In-person</t>
        </is>
      </c>
      <c r="T99" t="inlineStr">
        <is>
          <t>Visit branch / contact a banker (no online application)</t>
        </is>
      </c>
      <c r="U99" t="inlineStr">
        <is>
          <t>https://www.sunflowerbank.com</t>
        </is>
      </c>
      <c r="V99" t="inlineStr">
        <is>
          <t>https://www.sunflowerbank.com</t>
        </is>
      </c>
      <c r="W99" t="inlineStr">
        <is>
          <t>Experian (TCM standard; INFERENCE)</t>
        </is>
      </c>
      <c r="X99" t="inlineStr">
        <is>
          <t>N/M</t>
        </is>
      </c>
      <c r="Y99" t="inlineStr">
        <is>
          <t>TCM-decoded servicing portals. Same charter family as First Foundation (FirstSun). Light census 2026-06-10.</t>
        </is>
      </c>
      <c r="Z99" t="inlineStr">
        <is>
          <t>2</t>
        </is>
      </c>
      <c r="AA99" t="inlineStr">
        <is>
          <t>N/M (TCM = SBA-eligible only typically)</t>
        </is>
      </c>
      <c r="AB99" t="inlineStr">
        <is>
          <t>None published</t>
        </is>
      </c>
      <c r="AC99" t="inlineStr">
        <is>
          <t>N/M</t>
        </is>
      </c>
      <c r="AD99" t="inlineStr">
        <is>
          <t>No-doc card — apply in branch</t>
        </is>
      </c>
      <c r="AE99" t="inlineStr">
        <is>
          <t>Visa Small Business Credit Card; Corporate Card (TCM)</t>
        </is>
      </c>
      <c r="AF99" t="inlineStr">
        <is>
          <t>SoCal / LA + San Bernardino (Woodland Hills, Ontario, Century City office; CO-HQ'd)</t>
        </is>
      </c>
      <c r="AG99" t="inlineStr">
        <is>
          <t>Denver, CO</t>
        </is>
      </c>
      <c r="AH99" t="inlineStr">
        <is>
          <t>Reg</t>
        </is>
      </c>
      <c r="AI99" t="inlineStr">
        <is>
          <t>MED-HIGH issuer=TCM (portals)/13.20%/branch-apply. Light census 2026-06-10</t>
        </is>
      </c>
      <c r="AJ99" t="inlineStr">
        <is>
          <t>sunflowerbank.com small-business-and-corporate-credit-cards (Wayback 2025-10-09); labusinessjournal.com</t>
        </is>
      </c>
    </row>
    <row r="100">
      <c r="A100" t="inlineStr">
        <is>
          <t>99</t>
        </is>
      </c>
      <c r="B100" t="inlineStr">
        <is>
          <t>98</t>
        </is>
      </c>
      <c r="C100" s="12" t="inlineStr">
        <is>
          <t>Woori America Bank</t>
        </is>
      </c>
      <c r="D100" s="8" t="inlineStr">
        <is>
          <t>Regional</t>
        </is>
      </c>
      <c r="E100" t="inlineStr">
        <is>
          <t>★ Core SoCal</t>
        </is>
      </c>
      <c r="F100" s="13" t="inlineStr">
        <is>
          <t>2/4  ✗SUW ✗Onl ✓SoCal ✓Card</t>
        </is>
      </c>
      <c r="G100" t="inlineStr">
        <is>
          <t>N/M</t>
        </is>
      </c>
      <c r="H100" t="inlineStr">
        <is>
          <t>N/M</t>
        </is>
      </c>
      <c r="I100" t="inlineStr"/>
      <c r="J100" t="inlineStr">
        <is>
          <t>D — TCM agent</t>
        </is>
      </c>
      <c r="K100" t="inlineStr">
        <is>
          <t>N/M (TCM; conservative, Experian-driven)</t>
        </is>
      </c>
      <c r="L100" t="inlineStr">
        <is>
          <t>N/M</t>
        </is>
      </c>
      <c r="M100" t="inlineStr">
        <is>
          <t>N/M</t>
        </is>
      </c>
      <c r="N100" t="inlineStr">
        <is>
          <t>6 branches: LA Olympic + Wilshire, Buena Park ×2, Irvine, Torrance (FDIC SOD 2025)</t>
        </is>
      </c>
      <c r="O100" t="inlineStr">
        <is>
          <t>N/M</t>
        </is>
      </c>
      <c r="P100" t="inlineStr">
        <is>
          <t>No</t>
        </is>
      </c>
      <c r="Q100" t="inlineStr">
        <is>
          <t>✅ Business Rewards + Business Secured Rewards Visa; terms N/M</t>
        </is>
      </c>
      <c r="R100" s="20" t="inlineStr">
        <is>
          <t>TCM (mycardstatement.com decode; ScoreCard rewards)</t>
        </is>
      </c>
      <c r="S100" t="inlineStr">
        <is>
          <t>In-person</t>
        </is>
      </c>
      <c r="T100" t="inlineStr">
        <is>
          <t>Visit branch / contact a banker (no online application)</t>
        </is>
      </c>
      <c r="U100" t="inlineStr">
        <is>
          <t>https://www.wooriamericabank.com</t>
        </is>
      </c>
      <c r="V100" t="inlineStr">
        <is>
          <t>https://www.wooriamericabank.com/Business-Credit-Cards</t>
        </is>
      </c>
      <c r="W100" t="inlineStr">
        <is>
          <t>Experian (TCM standard; INFERENCE)</t>
        </is>
      </c>
      <c r="X100" t="inlineStr">
        <is>
          <t>N/M</t>
        </is>
      </c>
      <c r="Y100" t="inlineStr">
        <is>
          <t>TCM-decoded statement portal. Commercial LOC offered (amounts N/M). Light census 2026-06-10.</t>
        </is>
      </c>
      <c r="Z100" t="inlineStr">
        <is>
          <t>2</t>
        </is>
      </c>
      <c r="AA100" t="inlineStr">
        <is>
          <t>N/M</t>
        </is>
      </c>
      <c r="AB100" t="inlineStr">
        <is>
          <t>None published</t>
        </is>
      </c>
      <c r="AC100" t="inlineStr">
        <is>
          <t>N/M</t>
        </is>
      </c>
      <c r="AD100" t="inlineStr">
        <is>
          <t>No-doc card — apply in branch</t>
        </is>
      </c>
      <c r="AE100" t="inlineStr">
        <is>
          <t>Business Rewards Visa; Business Secured Rewards Visa (TCM)</t>
        </is>
      </c>
      <c r="AF100" t="inlineStr">
        <is>
          <t>SoCal / LA-OC (6 branches; NY-HQ'd; Korean-American)</t>
        </is>
      </c>
      <c r="AG100" t="inlineStr">
        <is>
          <t>New York, NY</t>
        </is>
      </c>
      <c r="AH100" t="inlineStr">
        <is>
          <t>Reg</t>
        </is>
      </c>
      <c r="AI100" t="inlineStr">
        <is>
          <t>MED-HIGH issuer=TCM (portal)/branch-apply; N/M terms. Light census 2026-06-10</t>
        </is>
      </c>
      <c r="AJ100" t="inlineStr">
        <is>
          <t>wooriamericabank.com/Business-Credit-Cards + /Locations</t>
        </is>
      </c>
    </row>
    <row r="101">
      <c r="A101" t="inlineStr">
        <is>
          <t>100</t>
        </is>
      </c>
      <c r="B101" t="inlineStr">
        <is>
          <t>99</t>
        </is>
      </c>
      <c r="C101" s="12" t="inlineStr">
        <is>
          <t>Wallis Bank</t>
        </is>
      </c>
      <c r="D101" s="8" t="inlineStr">
        <is>
          <t>Regional</t>
        </is>
      </c>
      <c r="E101" t="inlineStr">
        <is>
          <t>★ Core SoCal</t>
        </is>
      </c>
      <c r="F101" s="13" t="inlineStr">
        <is>
          <t>2/4  ✗SUW ✗Onl ✓SoCal ✓Card</t>
        </is>
      </c>
      <c r="G101" t="inlineStr">
        <is>
          <t>N/M</t>
        </is>
      </c>
      <c r="H101" t="inlineStr">
        <is>
          <t>N/M</t>
        </is>
      </c>
      <c r="I101" t="inlineStr"/>
      <c r="J101" t="inlineStr">
        <is>
          <t>D — TCM agent</t>
        </is>
      </c>
      <c r="K101" t="inlineStr">
        <is>
          <t>N/M (TCM; conservative, Experian-driven)</t>
        </is>
      </c>
      <c r="L101" t="inlineStr">
        <is>
          <t>N/M</t>
        </is>
      </c>
      <c r="M101" t="inlineStr">
        <is>
          <t>N/M</t>
        </is>
      </c>
      <c r="N101" t="inlineStr">
        <is>
          <t>Cerritos + Los Angeles branches</t>
        </is>
      </c>
      <c r="O101" t="inlineStr">
        <is>
          <t>N/M</t>
        </is>
      </c>
      <c r="P101" t="inlineStr">
        <is>
          <t>No</t>
        </is>
      </c>
      <c r="Q101" t="inlineStr">
        <is>
          <t>✅ Visa Business Credit Card (rewards points); terms N/M</t>
        </is>
      </c>
      <c r="R101" s="20" t="inlineStr">
        <is>
          <t>TCM (mycardstatement.com decode, archived 2020)</t>
        </is>
      </c>
      <c r="S101" t="inlineStr">
        <is>
          <t>In-person</t>
        </is>
      </c>
      <c r="T101" t="inlineStr">
        <is>
          <t>Visit branch / contact a banker (no online application)</t>
        </is>
      </c>
      <c r="U101" t="inlineStr">
        <is>
          <t>https://www.wallisbank.com</t>
        </is>
      </c>
      <c r="V101" t="inlineStr">
        <is>
          <t>https://www.wallisbank.com/visa-business-credit-cards/</t>
        </is>
      </c>
      <c r="W101" t="inlineStr">
        <is>
          <t>Experian (TCM standard; INFERENCE)</t>
        </is>
      </c>
      <c r="X101" t="inlineStr">
        <is>
          <t>N/M</t>
        </is>
      </c>
      <c r="Y101" t="inlineStr">
        <is>
          <t>TCM-decoded portal (2020 archive; live site bot-blocked). Revolving LOCs (amounts N/M). Light census 2026-06-10.</t>
        </is>
      </c>
      <c r="Z101" t="inlineStr">
        <is>
          <t>2</t>
        </is>
      </c>
      <c r="AA101" t="inlineStr">
        <is>
          <t>N/M</t>
        </is>
      </c>
      <c r="AB101" t="inlineStr">
        <is>
          <t>None published</t>
        </is>
      </c>
      <c r="AC101" t="inlineStr">
        <is>
          <t>N/M</t>
        </is>
      </c>
      <c r="AD101" t="inlineStr">
        <is>
          <t>No-doc card — apply in branch</t>
        </is>
      </c>
      <c r="AE101" t="inlineStr">
        <is>
          <t>Visa Business Credit Card (TCM)</t>
        </is>
      </c>
      <c r="AF101" t="inlineStr">
        <is>
          <t>SoCal / LA (Cerritos + LA branches; TX-HQ'd)</t>
        </is>
      </c>
      <c r="AG101" t="inlineStr">
        <is>
          <t>Wallis, TX</t>
        </is>
      </c>
      <c r="AH101" t="inlineStr">
        <is>
          <t>Reg</t>
        </is>
      </c>
      <c r="AI101" t="inlineStr">
        <is>
          <t>MED issuer=TCM (2020 archive); N/M terms. Light census 2026-06-10</t>
        </is>
      </c>
      <c r="AJ101" t="inlineStr">
        <is>
          <t>wallisbank.com/visa-business-credit-cards (Wayback 2020-09-19) + /commercial-loans</t>
        </is>
      </c>
    </row>
    <row r="102">
      <c r="A102" t="inlineStr">
        <is>
          <t>101</t>
        </is>
      </c>
      <c r="B102" t="inlineStr">
        <is>
          <t>100</t>
        </is>
      </c>
      <c r="C102" s="12" t="inlineStr">
        <is>
          <t>Poppy Bank</t>
        </is>
      </c>
      <c r="D102" s="15" t="inlineStr">
        <is>
          <t>CA Bank</t>
        </is>
      </c>
      <c r="E102" t="inlineStr">
        <is>
          <t>Other — NorCal</t>
        </is>
      </c>
      <c r="F102" s="13" t="inlineStr">
        <is>
          <t>2/4  ✗SUW ✓Onl ✗SoCal ✓Card</t>
        </is>
      </c>
      <c r="G102" t="inlineStr">
        <is>
          <t>N/M</t>
        </is>
      </c>
      <c r="H102" t="inlineStr">
        <is>
          <t>N/M</t>
        </is>
      </c>
      <c r="I102" t="inlineStr"/>
      <c r="J102" t="inlineStr">
        <is>
          <t>E — Elan agent</t>
        </is>
      </c>
      <c r="K102" t="inlineStr">
        <is>
          <t>Elan platform: ~$3K–$10K start, to ~$20K strong files (~$500 seen at 800+ FICO)  [myFICO #6658960]</t>
        </is>
      </c>
      <c r="L102" t="inlineStr">
        <is>
          <t>$7.80B</t>
        </is>
      </c>
      <c r="M102" t="inlineStr">
        <is>
          <t>$6.02B</t>
        </is>
      </c>
      <c r="N102" t="inlineStr">
        <is>
          <t>CA-only, extensive; Bay Area, Sacramento, LA, Orange County, San Diego, Santa Barbara</t>
        </is>
      </c>
      <c r="O102" t="inlineStr">
        <is>
          <t>CA-HQ'd</t>
        </is>
      </c>
      <c r="P102" t="inlineStr">
        <is>
          <t>No</t>
        </is>
      </c>
      <c r="Q102" t="inlineStr">
        <is>
          <t>✅ 0% 12 cycles → 17.24-26.24%; $0 AF</t>
        </is>
      </c>
      <c r="R102" s="6" t="inlineStr">
        <is>
          <t>Elan</t>
        </is>
      </c>
      <c r="S102" t="inlineStr">
        <is>
          <t>Online</t>
        </is>
      </c>
      <c r="T102" t="inlineStr">
        <is>
          <t>Online — apply at https://creditcardlearnmore.com/11t3/index?ecdma-lc=07362&amp;ecid=OTHE_25940#business</t>
        </is>
      </c>
      <c r="U102" t="inlineStr">
        <is>
          <t>https://www.poppy.bank</t>
        </is>
      </c>
      <c r="V102" t="inlineStr">
        <is>
          <t>https://creditcardlearnmore.com/11t3/index?ecdma-lc=07362&amp;ecid=OTHE_25940#business</t>
        </is>
      </c>
      <c r="W102" t="inlineStr">
        <is>
          <t>TransUnion (varies EX/EQ)</t>
        </is>
      </c>
      <c r="X102" t="inlineStr">
        <is>
          <t>D&amp;B; not personal in good standing</t>
        </is>
      </c>
      <c r="Y102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02" t="inlineStr">
        <is>
          <t>3</t>
        </is>
      </c>
      <c r="AA102" t="inlineStr">
        <is>
          <t>PG yes; no tax returns (&lt;$25K)</t>
        </is>
      </c>
      <c r="AB102" t="inlineStr">
        <is>
          <t>None (SBA/USDA/CRE/LOC underwritten)</t>
        </is>
      </c>
      <c r="AC102" t="inlineStr">
        <is>
          <t>No</t>
        </is>
      </c>
      <c r="AD102" t="inlineStr">
        <is>
          <t>No-doc 0% card — apply online (Elan)</t>
        </is>
      </c>
      <c r="AE102" t="inlineStr">
        <is>
          <t>Business Cash Preferred, Smart Business Rewards, Business Real Rewards</t>
        </is>
      </c>
      <c r="AF102" t="inlineStr">
        <is>
          <t>NorCal / SF (North Bay)</t>
        </is>
      </c>
      <c r="AG102" t="inlineStr">
        <is>
          <t>Santa Rosa</t>
        </is>
      </c>
      <c r="AH102" t="inlineStr">
        <is>
          <t>13</t>
        </is>
      </c>
      <c r="AI102" t="inlineStr">
        <is>
          <t>HIGH issuer/terms/online/footprint; MED PG/HP. 2026-05-28</t>
        </is>
      </c>
      <c r="AJ102" t="inlineStr">
        <is>
          <t>poppy.bank/business-checking-accounts; creditcardlearnmore.com (07362)</t>
        </is>
      </c>
    </row>
    <row r="103">
      <c r="A103" t="inlineStr">
        <is>
          <t>102</t>
        </is>
      </c>
      <c r="B103" t="inlineStr">
        <is>
          <t>101</t>
        </is>
      </c>
      <c r="C103" s="12" t="inlineStr">
        <is>
          <t>Partners Bank of California</t>
        </is>
      </c>
      <c r="D103" s="15" t="inlineStr">
        <is>
          <t>CA Bank</t>
        </is>
      </c>
      <c r="E103" t="inlineStr">
        <is>
          <t>★ Core SoCal</t>
        </is>
      </c>
      <c r="F103" s="13" t="inlineStr">
        <is>
          <t>2/4  ✗SUW ✗Onl ✓SoCal ✓Card</t>
        </is>
      </c>
      <c r="G103" t="inlineStr">
        <is>
          <t>N/M</t>
        </is>
      </c>
      <c r="H103" t="inlineStr">
        <is>
          <t>N/M</t>
        </is>
      </c>
      <c r="I103" t="inlineStr"/>
      <c r="J103" t="inlineStr">
        <is>
          <t>C — Other agent card</t>
        </is>
      </c>
      <c r="K103" t="inlineStr">
        <is>
          <t>N/M (TIB; financials typically required $10K+)</t>
        </is>
      </c>
      <c r="L103" t="inlineStr">
        <is>
          <t>$0.61B</t>
        </is>
      </c>
      <c r="M103" t="inlineStr">
        <is>
          <t>N/M</t>
        </is>
      </c>
      <c r="N103" t="inlineStr">
        <is>
          <t>'Only business bank HQ'd in South Orange County'; Mission Viejo HQ + Beverly Hills; ticker PBKX</t>
        </is>
      </c>
      <c r="O103" t="inlineStr">
        <is>
          <t>CA-HQ'd</t>
        </is>
      </c>
      <c r="P103" t="inlineStr">
        <is>
          <t>No</t>
        </is>
      </c>
      <c r="Q103" t="inlineStr">
        <is>
          <t>✅ TIB Mastercard business (Preferred Points 1pt/$1 to 10K/mo); no 0%; terms N/M; no online apply</t>
        </is>
      </c>
      <c r="R103" s="16" t="inlineStr">
        <is>
          <t>TIB</t>
        </is>
      </c>
      <c r="S103" t="inlineStr">
        <is>
          <t>In-person</t>
        </is>
      </c>
      <c r="T103" t="inlineStr">
        <is>
          <t>No online app — call (949) 732-4000 / TIB Card Svc 800-367-7576; relationship/branch</t>
        </is>
      </c>
      <c r="U103" t="inlineStr">
        <is>
          <t>https://www.pbofca.com</t>
        </is>
      </c>
      <c r="V103" t="inlineStr">
        <is>
          <t>—</t>
        </is>
      </c>
      <c r="W103" t="inlineStr">
        <is>
          <t>Experian/TU (TIB; INFERENCE)</t>
        </is>
      </c>
      <c r="X103" t="inlineStr">
        <is>
          <t>N/M (TIB; biz-only typical)</t>
        </is>
      </c>
      <c r="Y103" t="inlineStr">
        <is>
          <t>TIB Preferred Points program (24/7 line 800-367-7576 = TIB Card Services). No online app; inquiry/relationship only. No bank-specific DPs.</t>
        </is>
      </c>
      <c r="Z103" t="inlineStr">
        <is>
          <t>2</t>
        </is>
      </c>
      <c r="AA103" t="inlineStr">
        <is>
          <t>PG likely (TIB standard); docs N/M</t>
        </is>
      </c>
      <c r="AB103" t="inlineStr">
        <is>
          <t>None (business LOC/loans/CRE/SBA full-doc)</t>
        </is>
      </c>
      <c r="AC103" t="inlineStr">
        <is>
          <t>Likely Yes (relationship)</t>
        </is>
      </c>
      <c r="AD103" t="inlineStr">
        <is>
          <t>No-doc card — apply in branch</t>
        </is>
      </c>
      <c r="AE103" t="inlineStr">
        <is>
          <t>Mastercard Business credit card (TIB Preferred Points; 1pt/$1 up to 10K pts/mo)</t>
        </is>
      </c>
      <c r="AF103" t="inlineStr">
        <is>
          <t>SoCal / Orange County</t>
        </is>
      </c>
      <c r="AG103" t="inlineStr">
        <is>
          <t>Mission Viejo</t>
        </is>
      </c>
      <c r="AH103" t="inlineStr">
        <is>
          <t>76</t>
        </is>
      </c>
      <c r="AI103" t="inlineStr">
        <is>
          <t>MED-HIGH issuer=TIB (shared 800-367-7576 + verbatim Preferred Points copy)/OC; no online apply; N/M terms, HP. 2026-05-29</t>
        </is>
      </c>
      <c r="AJ103" t="inlineStr">
        <is>
          <t>pbofca.com/product/business-banking/lending-solutions; TIB Preferred Points boilerplate match; FDIC cert 58588</t>
        </is>
      </c>
    </row>
    <row r="104">
      <c r="A104" t="inlineStr">
        <is>
          <t>103</t>
        </is>
      </c>
      <c r="B104" t="inlineStr">
        <is>
          <t>102</t>
        </is>
      </c>
      <c r="C104" s="12" t="inlineStr">
        <is>
          <t>Genesis Bank</t>
        </is>
      </c>
      <c r="D104" s="15" t="inlineStr">
        <is>
          <t>CA Bank</t>
        </is>
      </c>
      <c r="E104" t="inlineStr">
        <is>
          <t>★ Core SoCal</t>
        </is>
      </c>
      <c r="F104" s="13" t="inlineStr">
        <is>
          <t>2/4  ✗SUW ✗Onl ✓SoCal ✓Card</t>
        </is>
      </c>
      <c r="G104" t="inlineStr">
        <is>
          <t>N/M</t>
        </is>
      </c>
      <c r="H104" t="inlineStr">
        <is>
          <t>N/M</t>
        </is>
      </c>
      <c r="I104" t="inlineStr"/>
      <c r="J104" t="inlineStr">
        <is>
          <t>C — Other agent card</t>
        </is>
      </c>
      <c r="K104" t="inlineStr">
        <is>
          <t>N/M (no bank-specific data point found)</t>
        </is>
      </c>
      <c r="L104" t="inlineStr">
        <is>
          <t>$0.41B</t>
        </is>
      </c>
      <c r="M104" t="inlineStr">
        <is>
          <t>N/M</t>
        </is>
      </c>
      <c r="N104" t="inlineStr">
        <is>
          <t>Newport Beach HQ; OC + LA + W Inland Empire; minority-owned de novo (est 2021)</t>
        </is>
      </c>
      <c r="O104" t="inlineStr">
        <is>
          <t>CA-HQ'd</t>
        </is>
      </c>
      <c r="P104" t="inlineStr">
        <is>
          <t>Unknown</t>
        </is>
      </c>
      <c r="Q104" t="inlineStr">
        <is>
          <t>⚠️ One unnamed business card (relationship-only); issuer/terms N/M; no online apply</t>
        </is>
      </c>
      <c r="R104" s="9" t="inlineStr">
        <is>
          <t>Unknown (not named; likely agent-issued)</t>
        </is>
      </c>
      <c r="S104" t="inlineStr">
        <is>
          <t>In-person</t>
        </is>
      </c>
      <c r="T104" t="inlineStr">
        <is>
          <t>Visit branch / contact a banker (no online application)</t>
        </is>
      </c>
      <c r="U104" t="inlineStr">
        <is>
          <t>https://www.mygenesisbank.com</t>
        </is>
      </c>
      <c r="V104" t="inlineStr">
        <is>
          <t>—</t>
        </is>
      </c>
      <c r="W104" t="inlineStr">
        <is>
          <t>N/M</t>
        </is>
      </c>
      <c r="X104" t="inlineStr">
        <is>
          <t>N/M</t>
        </is>
      </c>
      <c r="Y104" t="inlineStr">
        <is>
          <t>N/M (no forum data; not the unrelated Concora/'Genesis FS' subprime issuer)</t>
        </is>
      </c>
      <c r="Z104" t="inlineStr">
        <is>
          <t>2</t>
        </is>
      </c>
      <c r="AA104" t="inlineStr">
        <is>
          <t>N/M (RM-underwritten)</t>
        </is>
      </c>
      <c r="AB104" t="inlineStr">
        <is>
          <t>None (LOC/term/SBA/owner-occ CRE/equipment full-doc)</t>
        </is>
      </c>
      <c r="AC104" t="inlineStr">
        <is>
          <t>Likely Yes (relationship)</t>
        </is>
      </c>
      <c r="AD104" t="inlineStr">
        <is>
          <t>No-doc card — apply in branch</t>
        </is>
      </c>
      <c r="AE104" t="inlineStr">
        <is>
          <t>One unnamed business credit card ('transparent reporting for reconciliation'; no tiers)</t>
        </is>
      </c>
      <c r="AF104" t="inlineStr">
        <is>
          <t>SoCal / Orange County</t>
        </is>
      </c>
      <c r="AG104" t="inlineStr">
        <is>
          <t>Newport Beach</t>
        </is>
      </c>
      <c r="AH104" t="inlineStr">
        <is>
          <t>87</t>
        </is>
      </c>
      <c r="AI104" t="inlineStr">
        <is>
          <t>MED card-exists/OC-HQ/relationship-only; N/M issuer, terms (RM-gated). Disambiguated from Concora. 2026-05-29</t>
        </is>
      </c>
      <c r="AJ104" t="inlineStr">
        <is>
          <t>mygenesisbank.com/commercial-banking/business-loans/loan-products; FDIC cert 59245</t>
        </is>
      </c>
    </row>
    <row r="105">
      <c r="A105" t="inlineStr">
        <is>
          <t>104</t>
        </is>
      </c>
      <c r="B105" t="inlineStr">
        <is>
          <t>103</t>
        </is>
      </c>
      <c r="C105" s="12" t="inlineStr">
        <is>
          <t>Westamerica Bank</t>
        </is>
      </c>
      <c r="D105" s="15" t="inlineStr">
        <is>
          <t>CA Bank</t>
        </is>
      </c>
      <c r="E105" t="inlineStr">
        <is>
          <t>Other — NorCal</t>
        </is>
      </c>
      <c r="F105" s="13" t="inlineStr">
        <is>
          <t>2/4  ✗SUW ✓Onl ✗SoCal ✓Card</t>
        </is>
      </c>
      <c r="G105" t="inlineStr">
        <is>
          <t>N/M</t>
        </is>
      </c>
      <c r="H105" t="inlineStr">
        <is>
          <t>N/M</t>
        </is>
      </c>
      <c r="I105" t="inlineStr"/>
      <c r="J105" t="inlineStr">
        <is>
          <t>E — Elan agent</t>
        </is>
      </c>
      <c r="K105" t="inlineStr">
        <is>
          <t>Elan DPs: $4K–$9K (no-relationship)  [myFICO #6478775]</t>
        </is>
      </c>
      <c r="L105" t="inlineStr">
        <is>
          <t>$5.83B</t>
        </is>
      </c>
      <c r="M105" t="inlineStr">
        <is>
          <t>$4.79B</t>
        </is>
      </c>
      <c r="N105" t="inlineStr">
        <is>
          <t>~76-88 branches across 19 NorCal/Central counties</t>
        </is>
      </c>
      <c r="O105" t="inlineStr">
        <is>
          <t>CA-HQ'd</t>
        </is>
      </c>
      <c r="P105" t="inlineStr">
        <is>
          <t>No</t>
        </is>
      </c>
      <c r="Q105" t="inlineStr">
        <is>
          <t>✅ 0% 12-18 cycles → 17.24-26.24%; $0 AF</t>
        </is>
      </c>
      <c r="R105" s="6" t="inlineStr">
        <is>
          <t>Elan</t>
        </is>
      </c>
      <c r="S105" t="inlineStr">
        <is>
          <t>Online</t>
        </is>
      </c>
      <c r="T105" t="inlineStr">
        <is>
          <t>Online — apply at https://creditcardlearnmore.com/11t3/index?ecdma-lc=12109</t>
        </is>
      </c>
      <c r="U105" t="inlineStr">
        <is>
          <t>https://www.westamerica.com</t>
        </is>
      </c>
      <c r="V105" t="inlineStr">
        <is>
          <t>https://creditcardlearnmore.com/11t3/index?ecdma-lc=12109</t>
        </is>
      </c>
      <c r="W105" t="inlineStr">
        <is>
          <t>TransUnion (2 dated DPs; varies)</t>
        </is>
      </c>
      <c r="X105" t="inlineStr">
        <is>
          <t>D&amp;B; not personal in good standing</t>
        </is>
      </c>
      <c r="Y105" t="inlineStr">
        <is>
          <t>Elan DPs: Visa Business Cash $9,000 (2021); Smart Business Rewards $4,000 no-relationship (2022, TU pull, D&amp;B 80). myfico.com #6478775</t>
        </is>
      </c>
      <c r="Z105" t="inlineStr">
        <is>
          <t>3</t>
        </is>
      </c>
      <c r="AA105" t="inlineStr">
        <is>
          <t>PG yes; no tax returns (&lt;$25K)</t>
        </is>
      </c>
      <c r="AB105" t="inlineStr">
        <is>
          <t>None (operating LOC/AR/term/CRE relationship-underwritten)</t>
        </is>
      </c>
      <c r="AC105" t="inlineStr">
        <is>
          <t>No (cold-apps approved)</t>
        </is>
      </c>
      <c r="AD105" t="inlineStr">
        <is>
          <t>0% to 18 cyc; cold-app approvals, no relationship (Elan)</t>
        </is>
      </c>
      <c r="AE105" t="inlineStr">
        <is>
          <t>Business Cash Preferred, Smart Business Rewards, Business Real Rewards, Business Card (0% 18 cyc)</t>
        </is>
      </c>
      <c r="AF105" t="inlineStr">
        <is>
          <t>NorCal / SF (Marin)</t>
        </is>
      </c>
      <c r="AG105" t="inlineStr">
        <is>
          <t>San Rafael</t>
        </is>
      </c>
      <c r="AH105" t="inlineStr">
        <is>
          <t>21</t>
        </is>
      </c>
      <c r="AI105" t="inlineStr">
        <is>
          <t>HIGH issuer/products/no-deposit/PG/D&amp;B; MED HP=TU. 2026-05-28</t>
        </is>
      </c>
      <c r="AJ105" t="inlineStr">
        <is>
          <t>westamerica.com/credit-card-application; creditcardlearnmore.com (12109); myfico.com #6478775</t>
        </is>
      </c>
    </row>
    <row r="106">
      <c r="A106" t="inlineStr">
        <is>
          <t>105</t>
        </is>
      </c>
      <c r="B106" t="inlineStr">
        <is>
          <t>104</t>
        </is>
      </c>
      <c r="C106" s="12" t="inlineStr">
        <is>
          <t>Legacy Bank (Murrieta, CA)</t>
        </is>
      </c>
      <c r="D106" s="15" t="inlineStr">
        <is>
          <t>CA Bank</t>
        </is>
      </c>
      <c r="E106" t="inlineStr">
        <is>
          <t>★ Core SoCal</t>
        </is>
      </c>
      <c r="F106" s="13" t="inlineStr">
        <is>
          <t>2/4  ✗SUW ✗Onl ✓SoCal ✓Card</t>
        </is>
      </c>
      <c r="G106" t="inlineStr">
        <is>
          <t>N/M</t>
        </is>
      </c>
      <c r="H106" t="inlineStr">
        <is>
          <t>N/M</t>
        </is>
      </c>
      <c r="I106" t="inlineStr"/>
      <c r="J106" t="inlineStr">
        <is>
          <t>C — Other agent card</t>
        </is>
      </c>
      <c r="K106" t="inlineStr">
        <is>
          <t>N/M (no bank-specific data point found)</t>
        </is>
      </c>
      <c r="L106" t="inlineStr">
        <is>
          <t>$0.11B</t>
        </is>
      </c>
      <c r="M106" t="inlineStr">
        <is>
          <t>N/M</t>
        </is>
      </c>
      <c r="N106" t="inlineStr">
        <is>
          <t>Murrieta HQ (Riverside County/IE); founded by Soboba Band of Luiseño Indians; minority-designated; de novo est 2022</t>
        </is>
      </c>
      <c r="O106" t="inlineStr">
        <is>
          <t>CA-HQ'd</t>
        </is>
      </c>
      <c r="P106" t="inlineStr">
        <is>
          <t>Unknown</t>
        </is>
      </c>
      <c r="Q106" t="inlineStr">
        <is>
          <t>⚠️ Business cards exist (no detail); issuer/terms N/M; no online apply</t>
        </is>
      </c>
      <c r="R106" s="9" t="inlineStr">
        <is>
          <t>Unknown (not named; likely agent-issued; out-of-state 'Legacy' card data excluded)</t>
        </is>
      </c>
      <c r="S106" t="inlineStr">
        <is>
          <t>In-person</t>
        </is>
      </c>
      <c r="T106" t="inlineStr">
        <is>
          <t>Visit branch / contact a banker (no online application)</t>
        </is>
      </c>
      <c r="U106" t="inlineStr">
        <is>
          <t>https://www.legacybankca.com</t>
        </is>
      </c>
      <c r="V106" t="inlineStr">
        <is>
          <t>—</t>
        </is>
      </c>
      <c r="W106" t="inlineStr">
        <is>
          <t>N/M</t>
        </is>
      </c>
      <c r="X106" t="inlineStr">
        <is>
          <t>N/M</t>
        </is>
      </c>
      <c r="Y106" t="inlineStr">
        <is>
          <t>N/M (no forum data; de novo)</t>
        </is>
      </c>
      <c r="Z106" t="inlineStr">
        <is>
          <t>2</t>
        </is>
      </c>
      <c r="AA106" t="inlineStr">
        <is>
          <t>N/M</t>
        </is>
      </c>
      <c r="AB106" t="inlineStr">
        <is>
          <t>None (secured loans/LOC/LC/equipment/owner-occ+investor CRE/SBA full-doc)</t>
        </is>
      </c>
      <c r="AC106" t="inlineStr">
        <is>
          <t>Likely Yes (relationship)</t>
        </is>
      </c>
      <c r="AD106" t="inlineStr">
        <is>
          <t>No-doc card — apply in branch</t>
        </is>
      </c>
      <c r="AE106" t="inlineStr">
        <is>
          <t>Business credit card(s) ('transparent reporting for reconciliation'; no names/terms)</t>
        </is>
      </c>
      <c r="AF106" t="inlineStr">
        <is>
          <t>SoCal / Inland Empire</t>
        </is>
      </c>
      <c r="AG106" t="inlineStr">
        <is>
          <t>Murrieta</t>
        </is>
      </c>
      <c r="AH106" t="inlineStr">
        <is>
          <t>112</t>
        </is>
      </c>
      <c r="AI106" t="inlineStr">
        <is>
          <t>MED card-exists/IE-HQ/no-online; N/M issuer, terms. Out-of-state Legacy bank data excluded. 2026-05-29</t>
        </is>
      </c>
      <c r="AJ106" t="inlineStr">
        <is>
          <t>legacybankca.com/loans/commercial-lending; americanbanker.com (de novo); FDIC cert 59204</t>
        </is>
      </c>
    </row>
    <row r="107">
      <c r="A107" t="inlineStr">
        <is>
          <t>106</t>
        </is>
      </c>
      <c r="B107" t="inlineStr"/>
      <c r="C107" s="18" t="inlineStr">
        <is>
          <t>Axos Bank</t>
        </is>
      </c>
      <c r="D107" s="15" t="inlineStr">
        <is>
          <t>CA Bank</t>
        </is>
      </c>
      <c r="E107" t="inlineStr">
        <is>
          <t>★ Core SoCal</t>
        </is>
      </c>
      <c r="F107" s="19" t="inlineStr">
        <is>
          <t>1/4  ✗SUW ✗Onl ✓SoCal ✗Card</t>
        </is>
      </c>
      <c r="G107" t="inlineStr">
        <is>
          <t>N/M</t>
        </is>
      </c>
      <c r="H107" t="inlineStr">
        <is>
          <t>N/M</t>
        </is>
      </c>
      <c r="I107" t="inlineStr"/>
      <c r="J107" t="inlineStr">
        <is>
          <t>Commercial-only</t>
        </is>
      </c>
      <c r="K107" t="inlineStr">
        <is>
          <t>—</t>
        </is>
      </c>
      <c r="L107" t="inlineStr">
        <is>
          <t>$28.24B</t>
        </is>
      </c>
      <c r="M107" t="inlineStr">
        <is>
          <t>$22.68B</t>
        </is>
      </c>
      <c r="N107" t="inlineStr">
        <is>
          <t>Branchless; ~2 physical branches (1 CA, 1 NV); lends nationwide online</t>
        </is>
      </c>
      <c r="O107" t="inlineStr">
        <is>
          <t>CA-HQ'd</t>
        </is>
      </c>
      <c r="P107" t="inlineStr">
        <is>
          <t>Unknown</t>
        </is>
      </c>
      <c r="Q107" t="inlineStr">
        <is>
          <t>⚠️ Commercial — Visa Commercial/Charge; $0 AF; consult only</t>
        </is>
      </c>
      <c r="R107" s="9" t="inlineStr">
        <is>
          <t>Unknown (eZBusiness/eZCardInfo agent platform)</t>
        </is>
      </c>
      <c r="S107" t="inlineStr">
        <is>
          <t>In-person</t>
        </is>
      </c>
      <c r="T107" t="inlineStr">
        <is>
          <t>Visit branch / contact a banker (no online application)</t>
        </is>
      </c>
      <c r="U107" t="inlineStr">
        <is>
          <t>https://www.axosbank.com</t>
        </is>
      </c>
      <c r="V107" t="inlineStr">
        <is>
          <t>https://www.axosbank.com/commercial/banking/global-treasury-management/commercial-credit-card</t>
        </is>
      </c>
      <c r="W107" t="inlineStr">
        <is>
          <t>N/M</t>
        </is>
      </c>
      <c r="X107" t="inlineStr">
        <is>
          <t>N/M</t>
        </is>
      </c>
      <c r="Y107" t="inlineStr">
        <is>
          <t>N/M (no forum data; relationship product)</t>
        </is>
      </c>
      <c r="Z107" t="inlineStr">
        <is>
          <t>0</t>
        </is>
      </c>
      <c r="AA107" t="inlineStr">
        <is>
          <t>Financial statements + tax returns at bank discretion — NOT no-doc</t>
        </is>
      </c>
      <c r="AB107" t="inlineStr">
        <is>
          <t>None (LOC/term/ABL/SBA full-doc)</t>
        </is>
      </c>
      <c r="AC107" t="inlineStr">
        <is>
          <t>N/M</t>
        </is>
      </c>
      <c r="AD107" t="inlineStr">
        <is>
          <t>Commercial / full underwriting</t>
        </is>
      </c>
      <c r="AE107" t="inlineStr">
        <is>
          <t>Axos Visa Commercial Credit Card; Commercial Charge Card</t>
        </is>
      </c>
      <c r="AF107" t="inlineStr">
        <is>
          <t>SoCal / San Diego (digital)</t>
        </is>
      </c>
      <c r="AG107" t="inlineStr">
        <is>
          <t>San Diego</t>
        </is>
      </c>
      <c r="AH107" t="inlineStr">
        <is>
          <t>4</t>
        </is>
      </c>
      <c r="AI107" t="inlineStr">
        <is>
          <t>MED-HIGH commercial classification, $0 AF; LOW issuer, APR, HP. 2026-05-28</t>
        </is>
      </c>
      <c r="AJ107" t="inlineStr">
        <is>
          <t>axosbank.com/commercial/.../commercial-credit-card + /support/faqs; nav.com Axos review</t>
        </is>
      </c>
    </row>
    <row r="108">
      <c r="A108" t="inlineStr">
        <is>
          <t>107</t>
        </is>
      </c>
      <c r="B108" t="inlineStr">
        <is>
          <t>105</t>
        </is>
      </c>
      <c r="C108" s="12" t="inlineStr">
        <is>
          <t>Bank of Hope</t>
        </is>
      </c>
      <c r="D108" s="15" t="inlineStr">
        <is>
          <t>CA Bank</t>
        </is>
      </c>
      <c r="E108" t="inlineStr">
        <is>
          <t>★ Core SoCal</t>
        </is>
      </c>
      <c r="F108" s="13" t="inlineStr">
        <is>
          <t>2/4  ✗SUW ✗Onl ✓SoCal ✓Card</t>
        </is>
      </c>
      <c r="G108" t="inlineStr">
        <is>
          <t>N/M</t>
        </is>
      </c>
      <c r="H108" t="inlineStr">
        <is>
          <t>N/M</t>
        </is>
      </c>
      <c r="I108" t="inlineStr"/>
      <c r="J108" t="inlineStr">
        <is>
          <t>E — Elan agent</t>
        </is>
      </c>
      <c r="K108" t="inlineStr">
        <is>
          <t>Elan platform: ~$3K–$10K start, to ~$20K strong files (~$500 seen at 800+ FICO)  [myFICO #6658960]</t>
        </is>
      </c>
      <c r="L108" t="inlineStr">
        <is>
          <t>$18.65B</t>
        </is>
      </c>
      <c r="M108" t="inlineStr">
        <is>
          <t>$15.77B</t>
        </is>
      </c>
      <c r="N108" t="inlineStr">
        <is>
          <t>~24 CA branches; LA core, Orange County, Bay Area; largest Korean-American bank</t>
        </is>
      </c>
      <c r="O108" t="inlineStr">
        <is>
          <t>CA-HQ'd</t>
        </is>
      </c>
      <c r="P108" t="inlineStr">
        <is>
          <t>No</t>
        </is>
      </c>
      <c r="Q108" t="inlineStr">
        <is>
          <t>✅ 0% 9 cycles → 17.74-25.74%; $0 AF; no FX fee</t>
        </is>
      </c>
      <c r="R108" s="6" t="inlineStr">
        <is>
          <t>Elan</t>
        </is>
      </c>
      <c r="S108" t="inlineStr">
        <is>
          <t>In-person</t>
        </is>
      </c>
      <c r="T108" t="inlineStr">
        <is>
          <t>Visit branch / contact a banker (no online application)</t>
        </is>
      </c>
      <c r="U108" t="inlineStr">
        <is>
          <t>https://www.bankofhope.com</t>
        </is>
      </c>
      <c r="V108" t="inlineStr">
        <is>
          <t>https://www.bankofhope.com/business-banking/credit-cards</t>
        </is>
      </c>
      <c r="W108" t="inlineStr">
        <is>
          <t>TransUnion (varies EX/EQ)</t>
        </is>
      </c>
      <c r="X108" t="inlineStr">
        <is>
          <t>SBFE → D&amp;B; not personal in good standing</t>
        </is>
      </c>
      <c r="Y108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08" t="inlineStr">
        <is>
          <t>2</t>
        </is>
      </c>
      <c r="AA108" t="inlineStr">
        <is>
          <t>PG yes; no tax returns (&lt;$25K)</t>
        </is>
      </c>
      <c r="AB108" t="inlineStr">
        <is>
          <t>None (SBA Express needs 2yr tax returns)</t>
        </is>
      </c>
      <c r="AC108" t="inlineStr">
        <is>
          <t>N/M</t>
        </is>
      </c>
      <c r="AD108" t="inlineStr">
        <is>
          <t>No-doc card — apply in branch (Elan)</t>
        </is>
      </c>
      <c r="AE108" t="inlineStr">
        <is>
          <t>Business Cashback Visa; Business Rewards Visa (3pt gas/travel/dining)</t>
        </is>
      </c>
      <c r="AF108" t="inlineStr">
        <is>
          <t>SoCal / LA</t>
        </is>
      </c>
      <c r="AG108" t="inlineStr">
        <is>
          <t>Los Angeles</t>
        </is>
      </c>
      <c r="AH108" t="inlineStr">
        <is>
          <t>7</t>
        </is>
      </c>
      <c r="AI108" t="inlineStr">
        <is>
          <t>HIGH products/issuer/terms; N/M apply-online, HP. 2026-05-28</t>
        </is>
      </c>
      <c r="AJ108" t="inlineStr">
        <is>
          <t>bankofhope.com/business-banking/credit-cards + agreements + Business Rewards disclosure PDF</t>
        </is>
      </c>
    </row>
    <row r="109">
      <c r="A109" t="inlineStr">
        <is>
          <t>108</t>
        </is>
      </c>
      <c r="B109" t="inlineStr">
        <is>
          <t>106</t>
        </is>
      </c>
      <c r="C109" s="12" t="inlineStr">
        <is>
          <t>Bank of Stockton</t>
        </is>
      </c>
      <c r="D109" s="15" t="inlineStr">
        <is>
          <t>CA Bank</t>
        </is>
      </c>
      <c r="E109" t="inlineStr">
        <is>
          <t>Other — NorCal</t>
        </is>
      </c>
      <c r="F109" s="13" t="inlineStr">
        <is>
          <t>2/4  ✗SUW ✓Onl ✗SoCal ✓Card</t>
        </is>
      </c>
      <c r="G109" t="inlineStr">
        <is>
          <t>N/M</t>
        </is>
      </c>
      <c r="H109" t="inlineStr">
        <is>
          <t>N/M</t>
        </is>
      </c>
      <c r="I109" t="inlineStr"/>
      <c r="J109" t="inlineStr">
        <is>
          <t>E — Elan agent</t>
        </is>
      </c>
      <c r="K109" t="inlineStr">
        <is>
          <t>Elan platform: ~$3K–$10K start, to ~$20K strong files (~$500 seen at 800+ FICO)  [myFICO #6658960]</t>
        </is>
      </c>
      <c r="L109" t="inlineStr">
        <is>
          <t>$4.83B</t>
        </is>
      </c>
      <c r="M109" t="inlineStr">
        <is>
          <t>$3.75B</t>
        </is>
      </c>
      <c r="N109" t="inlineStr">
        <is>
          <t>20 branches/16 cities/9 counties (incl. Modesto Commerce Bank)</t>
        </is>
      </c>
      <c r="O109" t="inlineStr">
        <is>
          <t>CA-HQ'd</t>
        </is>
      </c>
      <c r="P109" t="inlineStr">
        <is>
          <t>No</t>
        </is>
      </c>
      <c r="Q109" t="inlineStr">
        <is>
          <t>✅ 0% 6-12 cycles → 10.49-23.49%; $0/$50 AF</t>
        </is>
      </c>
      <c r="R109" s="6" t="inlineStr">
        <is>
          <t>Elan</t>
        </is>
      </c>
      <c r="S109" t="inlineStr">
        <is>
          <t>Online</t>
        </is>
      </c>
      <c r="T109" t="inlineStr">
        <is>
          <t>Online — apply at https://www.mycardapply.com/synindex/?ecdma-lc=37171&amp;ecid=OTHE_25940&amp;offertype=0#business</t>
        </is>
      </c>
      <c r="U109" t="inlineStr">
        <is>
          <t>https://bankofstockton.com</t>
        </is>
      </c>
      <c r="V109" t="inlineStr">
        <is>
          <t>https://www.mycardapply.com/synindex/?ecdma-lc=37171&amp;ecid=OTHE_25940&amp;offertype=0#business</t>
        </is>
      </c>
      <c r="W109" t="inlineStr">
        <is>
          <t>TransUnion (varies EX/EQ)</t>
        </is>
      </c>
      <c r="X109" t="inlineStr">
        <is>
          <t>D&amp;B (infer); personal delinquency-only</t>
        </is>
      </c>
      <c r="Y109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09" t="inlineStr">
        <is>
          <t>3</t>
        </is>
      </c>
      <c r="AA109" t="inlineStr">
        <is>
          <t>PG yes; no tax returns (&lt;$25K)</t>
        </is>
      </c>
      <c r="AB109" t="inlineStr">
        <is>
          <t>None (commercial LOC/term/CRE/ag full underwriting)</t>
        </is>
      </c>
      <c r="AC109" t="inlineStr">
        <is>
          <t>No</t>
        </is>
      </c>
      <c r="AD109" t="inlineStr">
        <is>
          <t>No-doc 0% card — apply online (Elan)</t>
        </is>
      </c>
      <c r="AE109" t="inlineStr">
        <is>
          <t>Full Elan suite (Cash Preferred/Real Rewards/Smart/Zero+/Travel/Platinum)</t>
        </is>
      </c>
      <c r="AF109" t="inlineStr">
        <is>
          <t>NorCal / Sacramento-Stockton</t>
        </is>
      </c>
      <c r="AG109" t="inlineStr">
        <is>
          <t>Stockton</t>
        </is>
      </c>
      <c r="AH109" t="inlineStr">
        <is>
          <t>24</t>
        </is>
      </c>
      <c r="AI109" t="inlineStr">
        <is>
          <t>HIGH relevance/issuer/online/terms/PG; N/M HP-CA, SBFE. 2026-05-28</t>
        </is>
      </c>
      <c r="AJ109" t="inlineStr">
        <is>
          <t>bankofstockton.com/business_credit_cards; mycardapply.com (37171); online1.elancard.com STD_BIZ.pdf</t>
        </is>
      </c>
    </row>
    <row r="110">
      <c r="A110" t="inlineStr">
        <is>
          <t>109</t>
        </is>
      </c>
      <c r="B110" t="inlineStr">
        <is>
          <t>107</t>
        </is>
      </c>
      <c r="C110" s="12" t="inlineStr">
        <is>
          <t>Bank of Marin</t>
        </is>
      </c>
      <c r="D110" s="15" t="inlineStr">
        <is>
          <t>CA Bank</t>
        </is>
      </c>
      <c r="E110" t="inlineStr">
        <is>
          <t>Other — NorCal</t>
        </is>
      </c>
      <c r="F110" s="13" t="inlineStr">
        <is>
          <t>2/4  ✗SUW ✓Onl ✗SoCal ✓Card</t>
        </is>
      </c>
      <c r="G110" t="inlineStr">
        <is>
          <t>N/M</t>
        </is>
      </c>
      <c r="H110" t="inlineStr">
        <is>
          <t>N/M</t>
        </is>
      </c>
      <c r="I110" t="inlineStr"/>
      <c r="J110" t="inlineStr">
        <is>
          <t>E — Elan agent</t>
        </is>
      </c>
      <c r="K110" t="inlineStr">
        <is>
          <t>Elan: $10K–$20K (low $3K if BT requested)  [myFICO #6658960]</t>
        </is>
      </c>
      <c r="L110" t="inlineStr">
        <is>
          <t>$3.91B</t>
        </is>
      </c>
      <c r="M110" t="inlineStr">
        <is>
          <t>$3.46B</t>
        </is>
      </c>
      <c r="N110" t="inlineStr">
        <is>
          <t>CA-only; ~28 branches Marin/Sonoma/Napa/Alameda/SF/Sacramento</t>
        </is>
      </c>
      <c r="O110" t="inlineStr">
        <is>
          <t>CA-HQ'd</t>
        </is>
      </c>
      <c r="P110" t="inlineStr">
        <is>
          <t>No</t>
        </is>
      </c>
      <c r="Q110" t="inlineStr">
        <is>
          <t>✅ 0% 6-12 cycles; $0/$50 AF</t>
        </is>
      </c>
      <c r="R110" s="6" t="inlineStr">
        <is>
          <t>Elan</t>
        </is>
      </c>
      <c r="S110" t="inlineStr">
        <is>
          <t>Online</t>
        </is>
      </c>
      <c r="T110" t="inlineStr">
        <is>
          <t>Online — apply at https://www.bankofmarin.com/products-and-services/credit-cards/</t>
        </is>
      </c>
      <c r="U110" t="inlineStr">
        <is>
          <t>https://www.bankofmarin.com</t>
        </is>
      </c>
      <c r="V110" t="inlineStr">
        <is>
          <t>https://www.bankofmarin.com/products-and-services/credit-cards/</t>
        </is>
      </c>
      <c r="W110" t="inlineStr">
        <is>
          <t>TransUnion-lean in CA (DoC TU:9/EX:5/EQ:1)</t>
        </is>
      </c>
      <c r="X110" t="inlineStr">
        <is>
          <t>D&amp;B; not personal in good standing</t>
        </is>
      </c>
      <c r="Y110" t="inlineStr">
        <is>
          <t>Elan: limits $10-20K (low $3K if BT requested); approved EX 693; '2 cards $10K each ~20min apart' = 2 SEPARATE TU pulls. myfico.com #6658960</t>
        </is>
      </c>
      <c r="Z110" t="inlineStr">
        <is>
          <t>3</t>
        </is>
      </c>
      <c r="AA110" t="inlineStr">
        <is>
          <t>PG yes; no tax returns (&lt;$25K)</t>
        </is>
      </c>
      <c r="AB110" t="inlineStr">
        <is>
          <t>'Easy Underwrite' loan $5,001-$20,000, credit-score-based (low-doc)</t>
        </is>
      </c>
      <c r="AC110" t="inlineStr">
        <is>
          <t>N/M</t>
        </is>
      </c>
      <c r="AD110" t="inlineStr">
        <is>
          <t>No-doc 0% card — apply online (Elan)</t>
        </is>
      </c>
      <c r="AE110" t="inlineStr">
        <is>
          <t>Elan business Visa (Cash, Bonus Rewards, Bonus Rewards PLUS, Platinum)</t>
        </is>
      </c>
      <c r="AF110" t="inlineStr">
        <is>
          <t>NorCal / SF (North Bay)</t>
        </is>
      </c>
      <c r="AG110" t="inlineStr">
        <is>
          <t>Novato</t>
        </is>
      </c>
      <c r="AH110" t="inlineStr">
        <is>
          <t>28</t>
        </is>
      </c>
      <c r="AI110" t="inlineStr">
        <is>
          <t>HIGH issuer/PG/no-tax/D&amp;B; MED CA bureau; N/M go-to APR. 2026-05-28</t>
        </is>
      </c>
      <c r="AJ110" t="inlineStr">
        <is>
          <t>bankofmarin.com/products-and-services/credit-cards; online1.elancard.com STD_BIZ.pdf; doctorofcredit.com (CA pull split)</t>
        </is>
      </c>
    </row>
    <row r="111">
      <c r="A111" t="inlineStr">
        <is>
          <t>110</t>
        </is>
      </c>
      <c r="B111" t="inlineStr">
        <is>
          <t>108</t>
        </is>
      </c>
      <c r="C111" s="12" t="inlineStr">
        <is>
          <t>Bank of the Sierra</t>
        </is>
      </c>
      <c r="D111" s="15" t="inlineStr">
        <is>
          <t>CA Bank</t>
        </is>
      </c>
      <c r="E111" t="inlineStr">
        <is>
          <t>Other — Central Valley</t>
        </is>
      </c>
      <c r="F111" s="13" t="inlineStr">
        <is>
          <t>2/4  ✗SUW ✓Onl ✗SoCal ✓Card</t>
        </is>
      </c>
      <c r="G111" t="inlineStr">
        <is>
          <t>N/M</t>
        </is>
      </c>
      <c r="H111" t="inlineStr">
        <is>
          <t>N/M</t>
        </is>
      </c>
      <c r="I111" t="inlineStr"/>
      <c r="J111" t="inlineStr">
        <is>
          <t>E — Elan agent</t>
        </is>
      </c>
      <c r="K111" t="inlineStr">
        <is>
          <t>Elan platform: ~$3K–$10K start, to ~$20K strong files (~$500 seen at 800+ FICO)  [myFICO #6658960]</t>
        </is>
      </c>
      <c r="L111" t="inlineStr">
        <is>
          <t>$3.75B</t>
        </is>
      </c>
      <c r="M111" t="inlineStr">
        <is>
          <t>$2.93B</t>
        </is>
      </c>
      <c r="N111" t="inlineStr">
        <is>
          <t>~35 branches/27 cities; Bakersfield, Fresno, Visalia, Tulare</t>
        </is>
      </c>
      <c r="O111" t="inlineStr">
        <is>
          <t>CA-HQ'd</t>
        </is>
      </c>
      <c r="P111" t="inlineStr">
        <is>
          <t>No</t>
        </is>
      </c>
      <c r="Q111" t="inlineStr">
        <is>
          <t>✅ 0% intro; APR N/M; $0 AF; 1.5% (Real Rewards)</t>
        </is>
      </c>
      <c r="R111" s="6" t="inlineStr">
        <is>
          <t>Elan</t>
        </is>
      </c>
      <c r="S111" t="inlineStr">
        <is>
          <t>Online</t>
        </is>
      </c>
      <c r="T111" t="inlineStr">
        <is>
          <t>Online — apply at https://www.bankofthesierra.com/business/loans-credit-cards/business-credit-cards/</t>
        </is>
      </c>
      <c r="U111" t="inlineStr">
        <is>
          <t>https://www.bankofthesierra.com</t>
        </is>
      </c>
      <c r="V111" t="inlineStr">
        <is>
          <t>https://www.bankofthesierra.com/business/loans-credit-cards/business-credit-cards/</t>
        </is>
      </c>
      <c r="W111" t="inlineStr">
        <is>
          <t>TransUnion (varies EX/EQ)</t>
        </is>
      </c>
      <c r="X111" t="inlineStr">
        <is>
          <t>Personal delinquency-only; biz N/M</t>
        </is>
      </c>
      <c r="Y111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11" t="inlineStr">
        <is>
          <t>3</t>
        </is>
      </c>
      <c r="AA111" t="inlineStr">
        <is>
          <t>PG yes; no tax returns (&lt;$25K)</t>
        </is>
      </c>
      <c r="AB111" t="inlineStr">
        <is>
          <t>QuickBiz LOC $5K-$30K, 100% online ~15 min, NO tax returns (deposit-tiered)</t>
        </is>
      </c>
      <c r="AC111" t="inlineStr">
        <is>
          <t>Card N/M; QuickBiz LOC requires deposit acct</t>
        </is>
      </c>
      <c r="AD111" t="inlineStr">
        <is>
          <t>QuickBiz: soft-pull no-doc LOC (Elan)</t>
        </is>
      </c>
      <c r="AE111" t="inlineStr">
        <is>
          <t>Elan: Real Rewards, Cash Preferred, Smart Business, Business Card</t>
        </is>
      </c>
      <c r="AF111" t="inlineStr">
        <is>
          <t>Central Valley / S. Sierra</t>
        </is>
      </c>
      <c r="AG111" t="inlineStr">
        <is>
          <t>Porterville</t>
        </is>
      </c>
      <c r="AH111" t="inlineStr">
        <is>
          <t>30</t>
        </is>
      </c>
      <c r="AI111" t="inlineStr">
        <is>
          <t>HIGH relevance/issuer/PG/no-tax/QuickBiz-no-doc; N/M card APR. 2026-05-28</t>
        </is>
      </c>
      <c r="AJ111" t="inlineStr">
        <is>
          <t>bankofthesierra.com/.../business-credit-cards + /QuickBiz; online1.elancard.com STD_BIZ.pdf</t>
        </is>
      </c>
    </row>
    <row r="112">
      <c r="A112" t="inlineStr">
        <is>
          <t>111</t>
        </is>
      </c>
      <c r="B112" t="inlineStr">
        <is>
          <t>109</t>
        </is>
      </c>
      <c r="C112" s="12" t="inlineStr">
        <is>
          <t>Exchange Bank</t>
        </is>
      </c>
      <c r="D112" s="15" t="inlineStr">
        <is>
          <t>CA Bank</t>
        </is>
      </c>
      <c r="E112" t="inlineStr">
        <is>
          <t>Other — NorCal</t>
        </is>
      </c>
      <c r="F112" s="13" t="inlineStr">
        <is>
          <t>2/4  ✗SUW ✓Onl ✗SoCal ✓Card</t>
        </is>
      </c>
      <c r="G112" t="inlineStr">
        <is>
          <t>N/M</t>
        </is>
      </c>
      <c r="H112" t="inlineStr">
        <is>
          <t>N/M</t>
        </is>
      </c>
      <c r="I112" t="inlineStr"/>
      <c r="J112" t="inlineStr">
        <is>
          <t>E — Elan agent</t>
        </is>
      </c>
      <c r="K112" t="inlineStr">
        <is>
          <t>Elan platform: ~$3K–$10K start, to ~$20K strong files (~$500 seen at 800+ FICO)  [myFICO #6658960]</t>
        </is>
      </c>
      <c r="L112" t="inlineStr">
        <is>
          <t>$3.27B</t>
        </is>
      </c>
      <c r="M112" t="inlineStr">
        <is>
          <t>$2.84B</t>
        </is>
      </c>
      <c r="N112" t="inlineStr">
        <is>
          <t>~19 branches; Sonoma County + Marin + Roseville</t>
        </is>
      </c>
      <c r="O112" t="inlineStr">
        <is>
          <t>CA-HQ'd</t>
        </is>
      </c>
      <c r="P112" t="inlineStr">
        <is>
          <t>No</t>
        </is>
      </c>
      <c r="Q112" t="inlineStr">
        <is>
          <t>✅ 0% 12 cycles → 17.24-26.24%; $0 AF</t>
        </is>
      </c>
      <c r="R112" s="6" t="inlineStr">
        <is>
          <t>Elan</t>
        </is>
      </c>
      <c r="S112" t="inlineStr">
        <is>
          <t>Online</t>
        </is>
      </c>
      <c r="T112" t="inlineStr">
        <is>
          <t>Online — apply at https://creditcardlearnmore.com/11t3/index?ecdma-lc=02912&amp;ecid=OTHE_25940#business</t>
        </is>
      </c>
      <c r="U112" t="inlineStr">
        <is>
          <t>https://www.exchangebank.com</t>
        </is>
      </c>
      <c r="V112" t="inlineStr">
        <is>
          <t>https://creditcardlearnmore.com/11t3/index?ecdma-lc=02912&amp;ecid=OTHE_25940#business</t>
        </is>
      </c>
      <c r="W112" t="inlineStr">
        <is>
          <t>TransUnion (varies EX/EQ)</t>
        </is>
      </c>
      <c r="X112" t="inlineStr">
        <is>
          <t>Personal delinquency-only; biz N/M</t>
        </is>
      </c>
      <c r="Y112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12" t="inlineStr">
        <is>
          <t>3</t>
        </is>
      </c>
      <c r="AA112" t="inlineStr">
        <is>
          <t>PG yes; no tax returns (&lt;$25K)</t>
        </is>
      </c>
      <c r="AB112" t="inlineStr">
        <is>
          <t>None (term/LOC/CRE/SBA full-doc)</t>
        </is>
      </c>
      <c r="AC112" t="inlineStr">
        <is>
          <t>N/M</t>
        </is>
      </c>
      <c r="AD112" t="inlineStr">
        <is>
          <t>No-doc 0% card — apply online (Elan)</t>
        </is>
      </c>
      <c r="AE112" t="inlineStr">
        <is>
          <t>Business Cash Preferred, Smart Business Rewards, Business Real Rewards</t>
        </is>
      </c>
      <c r="AF112" t="inlineStr">
        <is>
          <t>NorCal / SF (Sonoma)</t>
        </is>
      </c>
      <c r="AG112" t="inlineStr">
        <is>
          <t>Santa Rosa</t>
        </is>
      </c>
      <c r="AH112" t="inlineStr">
        <is>
          <t>33</t>
        </is>
      </c>
      <c r="AI112" t="inlineStr">
        <is>
          <t>HIGH issuer/products/terms/online; MED HP/PG. 2026-05-28</t>
        </is>
      </c>
      <c r="AJ112" t="inlineStr">
        <is>
          <t>exchangebank.com/business/credit-cards; creditcardlearnmore.com (02912)</t>
        </is>
      </c>
    </row>
    <row r="113">
      <c r="A113" t="inlineStr">
        <is>
          <t>112</t>
        </is>
      </c>
      <c r="B113" t="inlineStr">
        <is>
          <t>110</t>
        </is>
      </c>
      <c r="C113" s="12" t="inlineStr">
        <is>
          <t>Plumas Bank</t>
        </is>
      </c>
      <c r="D113" s="15" t="inlineStr">
        <is>
          <t>CA Bank</t>
        </is>
      </c>
      <c r="E113" t="inlineStr">
        <is>
          <t>Other — NorCal</t>
        </is>
      </c>
      <c r="F113" s="13" t="inlineStr">
        <is>
          <t>1/4  ✗SUW ✗Onl ✗SoCal ✓Card</t>
        </is>
      </c>
      <c r="G113" t="inlineStr">
        <is>
          <t>N/M</t>
        </is>
      </c>
      <c r="H113" t="inlineStr">
        <is>
          <t>N/M</t>
        </is>
      </c>
      <c r="I113" t="inlineStr"/>
      <c r="J113" t="inlineStr">
        <is>
          <t>C — Other agent card</t>
        </is>
      </c>
      <c r="K113" t="inlineStr">
        <is>
          <t>N/M (TIB; financials typically required $10K+)</t>
        </is>
      </c>
      <c r="L113" t="inlineStr">
        <is>
          <t>$2.20B</t>
        </is>
      </c>
      <c r="M113" t="inlineStr">
        <is>
          <t>$1.78B</t>
        </is>
      </c>
      <c r="N113" t="inlineStr">
        <is>
          <t>~19 branches NE California + N Nevada (post-2025 Cornerstone merger)</t>
        </is>
      </c>
      <c r="O113" t="inlineStr">
        <is>
          <t>CA-HQ'd</t>
        </is>
      </c>
      <c r="P113" t="inlineStr">
        <is>
          <t>No</t>
        </is>
      </c>
      <c r="Q113" t="inlineStr">
        <is>
          <t>✅ no 0%; 19.49% (Prime+10.99%, cap 21%); $0/$49 AF</t>
        </is>
      </c>
      <c r="R113" s="16" t="inlineStr">
        <is>
          <t>TIB</t>
        </is>
      </c>
      <c r="S113" t="inlineStr">
        <is>
          <t>In-person</t>
        </is>
      </c>
      <c r="T113" t="inlineStr">
        <is>
          <t>Visit branch / contact a banker (no online application)</t>
        </is>
      </c>
      <c r="U113" t="inlineStr">
        <is>
          <t>https://www.plumasbank.com</t>
        </is>
      </c>
      <c r="V113" t="inlineStr">
        <is>
          <t>https://www.plumasbank.com/business-banking/business-card-services</t>
        </is>
      </c>
      <c r="W113" t="inlineStr">
        <is>
          <t>Personal HP on guarantor; bureau not named</t>
        </is>
      </c>
      <c r="X113" t="inlineStr">
        <is>
          <t>N/M (reports personal + business; bureaus unnamed)</t>
        </is>
      </c>
      <c r="Y113" t="inlineStr">
        <is>
          <t>N/M (no Plumas/TIB-card forum DPs)</t>
        </is>
      </c>
      <c r="Z113" t="inlineStr">
        <is>
          <t>0</t>
        </is>
      </c>
      <c r="AA113" t="inlineStr">
        <is>
          <t>PG YES + Personal Tax Return required (most entities) — NOT no-doc</t>
        </is>
      </c>
      <c r="AB113" t="inlineStr">
        <is>
          <t>None (LOC/working capital/SBA PLP/CRE documentation-based)</t>
        </is>
      </c>
      <c r="AC113" t="inlineStr">
        <is>
          <t>N/M</t>
        </is>
      </c>
      <c r="AD113" t="inlineStr">
        <is>
          <t>Full-doc — requires tax returns</t>
        </is>
      </c>
      <c r="AE113" t="inlineStr">
        <is>
          <t>Business Card-Standard ($0 AF); Business Card-Preferred Points ($49 AF)</t>
        </is>
      </c>
      <c r="AF113" t="inlineStr">
        <is>
          <t>NorCal / Sacramento (NE California)</t>
        </is>
      </c>
      <c r="AG113" t="inlineStr">
        <is>
          <t>Quincy</t>
        </is>
      </c>
      <c r="AH113" t="inlineStr">
        <is>
          <t>40</t>
        </is>
      </c>
      <c r="AI113" t="inlineStr">
        <is>
          <t>HIGH products/issuer (TIB)/terms/PG+tax-returns. NOTE: tax returns required = NOT no-doc. 2026-05-28</t>
        </is>
      </c>
      <c r="AJ113" t="inlineStr">
        <is>
          <t>plumasbank.com/business-banking/business-card-services; card-application-2024-01-business.pdf</t>
        </is>
      </c>
    </row>
    <row r="114">
      <c r="A114" t="inlineStr">
        <is>
          <t>113</t>
        </is>
      </c>
      <c r="B114" t="inlineStr">
        <is>
          <t>111</t>
        </is>
      </c>
      <c r="C114" s="12" t="inlineStr">
        <is>
          <t>SMBC MANUBANK</t>
        </is>
      </c>
      <c r="D114" s="15" t="inlineStr">
        <is>
          <t>CA Bank</t>
        </is>
      </c>
      <c r="E114" t="inlineStr">
        <is>
          <t>★ Core SoCal</t>
        </is>
      </c>
      <c r="F114" s="13" t="inlineStr">
        <is>
          <t>2/4  ✗SUW ✗Onl ✓SoCal ✓Card</t>
        </is>
      </c>
      <c r="G114" t="inlineStr">
        <is>
          <t>N/M</t>
        </is>
      </c>
      <c r="H114" t="inlineStr">
        <is>
          <t>N/M</t>
        </is>
      </c>
      <c r="I114" t="inlineStr"/>
      <c r="J114" t="inlineStr">
        <is>
          <t>E — Elan agent</t>
        </is>
      </c>
      <c r="K114" t="inlineStr">
        <is>
          <t>Elan platform: ~$3K–$10K start, to ~$20K strong files (~$500 seen at 800+ FICO)  [myFICO #6658960]</t>
        </is>
      </c>
      <c r="L114" t="inlineStr">
        <is>
          <t>$7.73B</t>
        </is>
      </c>
      <c r="M114" t="inlineStr">
        <is>
          <t>$6.73B</t>
        </is>
      </c>
      <c r="N114" t="inlineStr">
        <is>
          <t>CA-only; 8-9 offices LA + San Jose; commercial unit -&gt; Bank of Hope 2H-2026</t>
        </is>
      </c>
      <c r="O114" t="inlineStr">
        <is>
          <t>CA-HQ'd</t>
        </is>
      </c>
      <c r="P114" t="inlineStr">
        <is>
          <t>No</t>
        </is>
      </c>
      <c r="Q114" t="inlineStr">
        <is>
          <t>✅ 0% 18 mo → 17.24-26.24%; $0 AF (being acquired by Bank of Hope)</t>
        </is>
      </c>
      <c r="R114" s="6" t="inlineStr">
        <is>
          <t>Elan</t>
        </is>
      </c>
      <c r="S114" t="inlineStr">
        <is>
          <t>In-person</t>
        </is>
      </c>
      <c r="T114" t="inlineStr">
        <is>
          <t>Visit branch / contact a banker (no online application)</t>
        </is>
      </c>
      <c r="U114" t="inlineStr">
        <is>
          <t>https://www.smbcmanubank.com</t>
        </is>
      </c>
      <c r="V114" t="inlineStr">
        <is>
          <t>https://www.smbcmanubank.com/business-and-commercial/borrow/business-lending/business-credit-cards</t>
        </is>
      </c>
      <c r="W114" t="inlineStr">
        <is>
          <t>Experian most-reported (Elan; varies)</t>
        </is>
      </c>
      <c r="X114" t="inlineStr">
        <is>
          <t>D&amp;B + SBFE; personal on default</t>
        </is>
      </c>
      <c r="Y114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14" t="inlineStr">
        <is>
          <t>2</t>
        </is>
      </c>
      <c r="AA114" t="inlineStr">
        <is>
          <t>PG yes; no tax returns (&lt;$25K)</t>
        </is>
      </c>
      <c r="AB114" t="inlineStr">
        <is>
          <t>None (term/LOC/SBA/CRE/ABL full-doc)</t>
        </is>
      </c>
      <c r="AC114" t="inlineStr">
        <is>
          <t>N/M</t>
        </is>
      </c>
      <c r="AD114" t="inlineStr">
        <is>
          <t>0% 18 mo (note: being acquired) (Elan)</t>
        </is>
      </c>
      <c r="AE114" t="inlineStr">
        <is>
          <t>SMBC Visa Business; Visa Business Real Rewards (1.5X); Smart Business Rewards (2X)</t>
        </is>
      </c>
      <c r="AF114" t="inlineStr">
        <is>
          <t>SoCal / LA</t>
        </is>
      </c>
      <c r="AG114" t="inlineStr">
        <is>
          <t>Los Angeles</t>
        </is>
      </c>
      <c r="AH114" t="inlineStr">
        <is>
          <t>15</t>
        </is>
      </c>
      <c r="AI114" t="inlineStr">
        <is>
          <t>MED-HIGH issuer/PG; APR via secondary source; apply-link N/M. 2026-05-28</t>
        </is>
      </c>
      <c r="AJ114" t="inlineStr">
        <is>
          <t>smbcmanubank.com business-credit-cards; card.myaccountaccess.com (Elan disclosure); supermoney.com</t>
        </is>
      </c>
    </row>
    <row r="115">
      <c r="A115" t="inlineStr">
        <is>
          <t>114</t>
        </is>
      </c>
      <c r="B115" t="inlineStr"/>
      <c r="C115" s="18" t="inlineStr">
        <is>
          <t>Five Star Bank</t>
        </is>
      </c>
      <c r="D115" s="15" t="inlineStr">
        <is>
          <t>CA Bank</t>
        </is>
      </c>
      <c r="E115" t="inlineStr">
        <is>
          <t>Other — NorCal</t>
        </is>
      </c>
      <c r="F115" s="19" t="inlineStr">
        <is>
          <t>0/4  ✗SUW ✗Onl ✗SoCal ✗Card</t>
        </is>
      </c>
      <c r="G115" t="inlineStr">
        <is>
          <t>N/M</t>
        </is>
      </c>
      <c r="H115" t="inlineStr">
        <is>
          <t>N/M</t>
        </is>
      </c>
      <c r="I115" t="inlineStr"/>
      <c r="J115" t="inlineStr">
        <is>
          <t>Commercial-only</t>
        </is>
      </c>
      <c r="K115" t="inlineStr">
        <is>
          <t>—</t>
        </is>
      </c>
      <c r="L115" t="inlineStr">
        <is>
          <t>$5.03B</t>
        </is>
      </c>
      <c r="M115" t="inlineStr">
        <is>
          <t>$4.48B</t>
        </is>
      </c>
      <c r="N115" t="inlineStr">
        <is>
          <t>CA-only NorCal; ~10 offices (Five Star Bancorp)</t>
        </is>
      </c>
      <c r="O115" t="inlineStr">
        <is>
          <t>CA-HQ'd</t>
        </is>
      </c>
      <c r="P115" t="inlineStr">
        <is>
          <t>Partial (CorServ self-issue)</t>
        </is>
      </c>
      <c r="Q115" t="inlineStr">
        <is>
          <t>⚠️ Commercial — CorServ Mastercard; terms N/M; no public apply</t>
        </is>
      </c>
      <c r="R115" s="14" t="inlineStr">
        <is>
          <t>Self (CorServ platform)</t>
        </is>
      </c>
      <c r="S115" t="inlineStr">
        <is>
          <t>In-person</t>
        </is>
      </c>
      <c r="T115" t="inlineStr">
        <is>
          <t>Visit branch / contact a banker (no online application)</t>
        </is>
      </c>
      <c r="U115" t="inlineStr">
        <is>
          <t>https://www.fivestarbank.com</t>
        </is>
      </c>
      <c r="V115" t="inlineStr">
        <is>
          <t>https://www.fivestarbank.com/credit-cards</t>
        </is>
      </c>
      <c r="W115" t="inlineStr">
        <is>
          <t>N/M</t>
        </is>
      </c>
      <c r="X115" t="inlineStr">
        <is>
          <t>N/M</t>
        </is>
      </c>
      <c r="Y115" t="inlineStr">
        <is>
          <t>N/M (no forum data)</t>
        </is>
      </c>
      <c r="Z115" t="inlineStr">
        <is>
          <t>0</t>
        </is>
      </c>
      <c r="AA115" t="inlineStr">
        <is>
          <t>PG likely; docs likely (commercial)</t>
        </is>
      </c>
      <c r="AB115" t="inlineStr">
        <is>
          <t>None advertised (LOC/term/SBA/CRE, full-doc)</t>
        </is>
      </c>
      <c r="AC115" t="inlineStr">
        <is>
          <t>Likely Yes (relationship)</t>
        </is>
      </c>
      <c r="AD115" t="inlineStr">
        <is>
          <t>Commercial / full underwriting</t>
        </is>
      </c>
      <c r="AE115" t="inlineStr">
        <is>
          <t>CorServ business/corporate Mastercards (Platinum/Rewards/World/Corporate/Purchasing)</t>
        </is>
      </c>
      <c r="AF115" t="inlineStr">
        <is>
          <t>NorCal / Sacramento</t>
        </is>
      </c>
      <c r="AG115" t="inlineStr">
        <is>
          <t>Roseville</t>
        </is>
      </c>
      <c r="AH115" t="inlineStr">
        <is>
          <t>23</t>
        </is>
      </c>
      <c r="AI115" t="inlineStr">
        <is>
          <t>MED-HIGH commercial-only/platform; N/M terms, apply, HP, reports. Not NY Five Star (Elan). 2026-05-28</t>
        </is>
      </c>
      <c r="AJ115" t="inlineStr">
        <is>
          <t>fivestarbank.com/credit-cards + business-lending; corservsolutions.com</t>
        </is>
      </c>
    </row>
    <row r="116">
      <c r="A116" t="inlineStr">
        <is>
          <t>115</t>
        </is>
      </c>
      <c r="B116" t="inlineStr">
        <is>
          <t>112</t>
        </is>
      </c>
      <c r="C116" s="12" t="inlineStr">
        <is>
          <t>First Northern Bank of Dixon</t>
        </is>
      </c>
      <c r="D116" s="15" t="inlineStr">
        <is>
          <t>CA Bank</t>
        </is>
      </c>
      <c r="E116" t="inlineStr">
        <is>
          <t>Other — NorCal</t>
        </is>
      </c>
      <c r="F116" s="13" t="inlineStr">
        <is>
          <t>2/4  ✗SUW ✓Onl ✗SoCal ✓Card</t>
        </is>
      </c>
      <c r="G116" t="inlineStr">
        <is>
          <t>N/M</t>
        </is>
      </c>
      <c r="H116" t="inlineStr">
        <is>
          <t>N/M</t>
        </is>
      </c>
      <c r="I116" t="inlineStr"/>
      <c r="J116" t="inlineStr">
        <is>
          <t>E — Elan agent</t>
        </is>
      </c>
      <c r="K116" t="inlineStr">
        <is>
          <t>Elan platform: ~$3K–$10K start, to ~$20K strong files (~$500 seen at 800+ FICO)  [myFICO #6658960]</t>
        </is>
      </c>
      <c r="L116" t="inlineStr">
        <is>
          <t>$1.92B</t>
        </is>
      </c>
      <c r="M116" t="inlineStr">
        <is>
          <t>$1.70B</t>
        </is>
      </c>
      <c r="N116" t="inlineStr">
        <is>
          <t>14 branches Sacramento Valley/Solano-Yolo + Gold Country</t>
        </is>
      </c>
      <c r="O116" t="inlineStr">
        <is>
          <t>CA-HQ'd</t>
        </is>
      </c>
      <c r="P116" t="inlineStr">
        <is>
          <t>No</t>
        </is>
      </c>
      <c r="Q116" t="inlineStr">
        <is>
          <t>✅ 0% 12 cycles → 17.24-26.24%; $0 AF</t>
        </is>
      </c>
      <c r="R116" s="6" t="inlineStr">
        <is>
          <t>Elan</t>
        </is>
      </c>
      <c r="S116" t="inlineStr">
        <is>
          <t>Online</t>
        </is>
      </c>
      <c r="T116" t="inlineStr">
        <is>
          <t>Online — apply at https://creditcardlearnmore.com/11t3/index?ecdma-lc=22292&amp;ecid=OTHE_25940</t>
        </is>
      </c>
      <c r="U116" t="inlineStr">
        <is>
          <t>https://www.thatsmybank.com</t>
        </is>
      </c>
      <c r="V116" t="inlineStr">
        <is>
          <t>https://creditcardlearnmore.com/11t3/index?ecdma-lc=22292&amp;ecid=OTHE_25940</t>
        </is>
      </c>
      <c r="W116" t="inlineStr">
        <is>
          <t>Personal; varies TU/EX/EQ</t>
        </is>
      </c>
      <c r="X116" t="inlineStr">
        <is>
          <t>D&amp;B; not personal in normal use</t>
        </is>
      </c>
      <c r="Y11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FN cold-apps approved; stated income/revenue.</t>
        </is>
      </c>
      <c r="Z116" t="inlineStr">
        <is>
          <t>3</t>
        </is>
      </c>
      <c r="AA116" t="inlineStr">
        <is>
          <t>PG yes; stated income, no tax returns</t>
        </is>
      </c>
      <c r="AB116" t="inlineStr">
        <is>
          <t>'Lightning Loans' $2,500-$50,000, online minutes, 'no paperwork', self-underwritten</t>
        </is>
      </c>
      <c r="AC116" t="inlineStr">
        <is>
          <t>No (cold-apps documented)</t>
        </is>
      </c>
      <c r="AD116" t="inlineStr">
        <is>
          <t>Lightning Loans: no-paperwork LOC (Elan)</t>
        </is>
      </c>
      <c r="AE116" t="inlineStr">
        <is>
          <t>Business Cash Preferred, Smart Business Rewards, Business Real Rewards</t>
        </is>
      </c>
      <c r="AF116" t="inlineStr">
        <is>
          <t>NorCal / Sacramento</t>
        </is>
      </c>
      <c r="AG116" t="inlineStr">
        <is>
          <t>Dixon</t>
        </is>
      </c>
      <c r="AH116" t="inlineStr">
        <is>
          <t>45</t>
        </is>
      </c>
      <c r="AI116" t="inlineStr">
        <is>
          <t>HIGH issuer/products/terms/online/PG/no-tax/Lightning-Loans-no-doc. 2026-05-28</t>
        </is>
      </c>
      <c r="AJ116" t="inlineStr">
        <is>
          <t>thatsmybank.com/business/business-credit-cards + /lightning-loans; creditcardlearnmore.com (22292)</t>
        </is>
      </c>
    </row>
    <row r="117">
      <c r="A117" t="inlineStr">
        <is>
          <t>116</t>
        </is>
      </c>
      <c r="B117" t="inlineStr"/>
      <c r="C117" s="18" t="inlineStr">
        <is>
          <t>Avidbank</t>
        </is>
      </c>
      <c r="D117" s="15" t="inlineStr">
        <is>
          <t>CA Bank</t>
        </is>
      </c>
      <c r="E117" t="inlineStr">
        <is>
          <t>Other — NorCal</t>
        </is>
      </c>
      <c r="F117" s="19" t="inlineStr">
        <is>
          <t>0/4  ✗SUW ✗Onl ✗SoCal ✗Card</t>
        </is>
      </c>
      <c r="G117" t="inlineStr">
        <is>
          <t>N/M</t>
        </is>
      </c>
      <c r="H117" t="inlineStr">
        <is>
          <t>N/M</t>
        </is>
      </c>
      <c r="I117" t="inlineStr"/>
      <c r="J117" t="inlineStr">
        <is>
          <t>Commercial-only</t>
        </is>
      </c>
      <c r="K117" t="inlineStr">
        <is>
          <t>—</t>
        </is>
      </c>
      <c r="L117" t="inlineStr">
        <is>
          <t>$2.57B</t>
        </is>
      </c>
      <c r="M117" t="inlineStr">
        <is>
          <t>$2.20B</t>
        </is>
      </c>
      <c r="N117" t="inlineStr">
        <is>
          <t>CA-only; San Jose HQ, Palo Alto, Redwood City, SF (LPOs)</t>
        </is>
      </c>
      <c r="O117" t="inlineStr">
        <is>
          <t>CA-HQ'd</t>
        </is>
      </c>
      <c r="P117" t="inlineStr">
        <is>
          <t>Partial (CorServ self-issue)</t>
        </is>
      </c>
      <c r="Q117" t="inlineStr">
        <is>
          <t>⚠️ Commercial — CorServ (May 2024); custom rebates; relationship only</t>
        </is>
      </c>
      <c r="R117" s="14" t="inlineStr">
        <is>
          <t>Self (CorServ Account Issuer)</t>
        </is>
      </c>
      <c r="S117" t="inlineStr">
        <is>
          <t>In-person</t>
        </is>
      </c>
      <c r="T117" t="inlineStr">
        <is>
          <t>Visit branch / contact a banker (no online application)</t>
        </is>
      </c>
      <c r="U117" t="inlineStr">
        <is>
          <t>https://www.avidbank.com</t>
        </is>
      </c>
      <c r="V117" t="inlineStr">
        <is>
          <t>https://www.avidbank.com/corporate-banking</t>
        </is>
      </c>
      <c r="W117" t="inlineStr">
        <is>
          <t>N/M</t>
        </is>
      </c>
      <c r="X117" t="inlineStr">
        <is>
          <t>N/M</t>
        </is>
      </c>
      <c r="Y117" t="inlineStr">
        <is>
          <t>N/M (no forum data; 'Avidia Bank' MA is a different entity)</t>
        </is>
      </c>
      <c r="Z117" t="inlineStr">
        <is>
          <t>0</t>
        </is>
      </c>
      <c r="AA117" t="inlineStr">
        <is>
          <t>N/M (commercial-card underwriting)</t>
        </is>
      </c>
      <c r="AB117" t="inlineStr">
        <is>
          <t>None (C&amp;I, venture debt, ABL, fund finance — full underwriting)</t>
        </is>
      </c>
      <c r="AC117" t="inlineStr">
        <is>
          <t>Yes (commercial customers)</t>
        </is>
      </c>
      <c r="AD117" t="inlineStr">
        <is>
          <t>Commercial / full underwriting</t>
        </is>
      </c>
      <c r="AE117" t="inlineStr">
        <is>
          <t>Corporate &amp; Business Credit Card + virtual cards</t>
        </is>
      </c>
      <c r="AF117" t="inlineStr">
        <is>
          <t>NorCal / Silicon Valley</t>
        </is>
      </c>
      <c r="AG117" t="inlineStr">
        <is>
          <t>San Jose</t>
        </is>
      </c>
      <c r="AH117" t="inlineStr">
        <is>
          <t>38</t>
        </is>
      </c>
      <c r="AI117" t="inlineStr">
        <is>
          <t>MED-HIGH commercial-only/self-CorServ; N/M card specifics, HP, reports. 2026-05-28</t>
        </is>
      </c>
      <c r="AJ117" t="inlineStr">
        <is>
          <t>corservsolutions.com (Avidbank); pymnts.com; avidbank.com corporate/lending</t>
        </is>
      </c>
    </row>
    <row r="118">
      <c r="A118" t="inlineStr">
        <is>
          <t>117</t>
        </is>
      </c>
      <c r="B118" t="inlineStr">
        <is>
          <t>113</t>
        </is>
      </c>
      <c r="C118" s="12" t="inlineStr">
        <is>
          <t>Farmers &amp; Merchants Bank of Central California</t>
        </is>
      </c>
      <c r="D118" s="15" t="inlineStr">
        <is>
          <t>CA Bank</t>
        </is>
      </c>
      <c r="E118" t="inlineStr">
        <is>
          <t>Other — NorCal</t>
        </is>
      </c>
      <c r="F118" s="13" t="inlineStr">
        <is>
          <t>1/4  ✗SUW ✗Onl ✗SoCal ✓Card</t>
        </is>
      </c>
      <c r="G118" t="inlineStr">
        <is>
          <t>N/M</t>
        </is>
      </c>
      <c r="H118" t="inlineStr">
        <is>
          <t>N/M</t>
        </is>
      </c>
      <c r="I118" t="inlineStr"/>
      <c r="J118" t="inlineStr">
        <is>
          <t>C — Other agent card</t>
        </is>
      </c>
      <c r="K118" t="inlineStr">
        <is>
          <t>N/M (no bank-specific data point found)</t>
        </is>
      </c>
      <c r="L118" t="inlineStr">
        <is>
          <t>$5.84B</t>
        </is>
      </c>
      <c r="M118" t="inlineStr">
        <is>
          <t>$5.12B</t>
        </is>
      </c>
      <c r="N118" t="inlineStr">
        <is>
          <t>29 CA branches Central Valley + East Bay (Lodi, Stockton, Sacramento, Modesto, Oakland)</t>
        </is>
      </c>
      <c r="O118" t="inlineStr">
        <is>
          <t>CA-HQ'd</t>
        </is>
      </c>
      <c r="P118" t="inlineStr">
        <is>
          <t>No</t>
        </is>
      </c>
      <c r="Q118" t="inlineStr">
        <is>
          <t>✅ no 0%; APR N/M; Simply Rewards 3X</t>
        </is>
      </c>
      <c r="R118" s="21" t="inlineStr">
        <is>
          <t>UMB Bank, N.A. (Card Center Direct)</t>
        </is>
      </c>
      <c r="S118" t="inlineStr">
        <is>
          <t>In-person</t>
        </is>
      </c>
      <c r="T118" t="inlineStr">
        <is>
          <t>Visit branch / contact a banker (no online application)</t>
        </is>
      </c>
      <c r="U118" t="inlineStr">
        <is>
          <t>https://www.fmbonline.com</t>
        </is>
      </c>
      <c r="V118" t="inlineStr">
        <is>
          <t>https://www.fmbonline.com/loans/credit-cards/business-credit-cards.html</t>
        </is>
      </c>
      <c r="W118" t="inlineStr">
        <is>
          <t>N/M (UMB not on DoC list)</t>
        </is>
      </c>
      <c r="X118" t="inlineStr">
        <is>
          <t>N/M</t>
        </is>
      </c>
      <c r="Y118" t="inlineStr">
        <is>
          <t>N/M (no forum data; search collides w/ same-name banks)</t>
        </is>
      </c>
      <c r="Z118" t="inlineStr">
        <is>
          <t>2</t>
        </is>
      </c>
      <c r="AA118" t="inlineStr">
        <is>
          <t>PG likely (UMB standard); tax returns N/M</t>
        </is>
      </c>
      <c r="AB118" t="inlineStr">
        <is>
          <t>None (term/LOC/equipment/CRE/ag/SBA full-doc)</t>
        </is>
      </c>
      <c r="AC118" t="inlineStr">
        <is>
          <t>N/M</t>
        </is>
      </c>
      <c r="AD118" t="inlineStr">
        <is>
          <t>No-doc card — apply in branch</t>
        </is>
      </c>
      <c r="AE118" t="inlineStr">
        <is>
          <t>Business Visa Signature (&gt;=$5K); Business Visa Platinum (&lt;$5K); Simply Rewards</t>
        </is>
      </c>
      <c r="AF118" t="inlineStr">
        <is>
          <t>NorCal / Sacramento-Stockton</t>
        </is>
      </c>
      <c r="AG118" t="inlineStr">
        <is>
          <t>Lodi</t>
        </is>
      </c>
      <c r="AH118" t="inlineStr">
        <is>
          <t>20</t>
        </is>
      </c>
      <c r="AI118" t="inlineStr">
        <is>
          <t>HIGH products/issuer (UMB)/footprint; LOW/N-M terms, HP, reports. Not fmb.com/fandm.bank (Elan). 2026-05-28</t>
        </is>
      </c>
      <c r="AJ118" t="inlineStr">
        <is>
          <t>fmbonline.com/loans/credit-cards/business-credit-cards; cardcenterdirect.com + umb.com</t>
        </is>
      </c>
    </row>
    <row r="119">
      <c r="A119" t="inlineStr">
        <is>
          <t>118</t>
        </is>
      </c>
      <c r="B119" t="inlineStr">
        <is>
          <t>114</t>
        </is>
      </c>
      <c r="C119" s="12" t="inlineStr">
        <is>
          <t>Redwood Capital Bank</t>
        </is>
      </c>
      <c r="D119" s="15" t="inlineStr">
        <is>
          <t>CA Bank</t>
        </is>
      </c>
      <c r="E119" t="inlineStr">
        <is>
          <t>Other — NorCal</t>
        </is>
      </c>
      <c r="F119" s="13" t="inlineStr">
        <is>
          <t>1/4  ✗SUW ✗Onl ✗SoCal ✓Card</t>
        </is>
      </c>
      <c r="G119" t="inlineStr">
        <is>
          <t>N/M</t>
        </is>
      </c>
      <c r="H119" t="inlineStr">
        <is>
          <t>N/M</t>
        </is>
      </c>
      <c r="I119" t="inlineStr"/>
      <c r="J119" t="inlineStr">
        <is>
          <t>C — Other agent card</t>
        </is>
      </c>
      <c r="K119" t="inlineStr">
        <is>
          <t>N/M (TIB; financials typically required $10K+)</t>
        </is>
      </c>
      <c r="L119" t="inlineStr">
        <is>
          <t>$0.54B</t>
        </is>
      </c>
      <c r="M119" t="inlineStr">
        <is>
          <t>N/M</t>
        </is>
      </c>
      <c r="N119" t="inlineStr">
        <is>
          <t>~4 branches all Humboldt County (Eureka, Arcata, Fortuna); CA-only; SBA Preferred Lender</t>
        </is>
      </c>
      <c r="O119" t="inlineStr">
        <is>
          <t>CA-HQ'd</t>
        </is>
      </c>
      <c r="P119" t="inlineStr">
        <is>
          <t>No</t>
        </is>
      </c>
      <c r="Q119" t="inlineStr">
        <is>
          <t>✅ no 0%; var APR capped at 21%; $0/$49 AF; 1pt/$1 to 10K/mo (Preferred)</t>
        </is>
      </c>
      <c r="R119" s="16" t="inlineStr">
        <is>
          <t>TIB</t>
        </is>
      </c>
      <c r="S119" t="inlineStr">
        <is>
          <t>In-person</t>
        </is>
      </c>
      <c r="T119" t="inlineStr">
        <is>
          <t>PDF application → fax 877-809-9162 or mail (TIB Card Service Center, Dallas); or via online banking if member</t>
        </is>
      </c>
      <c r="U119" t="inlineStr">
        <is>
          <t>https://www.redwoodcapitalbank.com</t>
        </is>
      </c>
      <c r="V119" t="inlineStr">
        <is>
          <t>https://www.redwoodcapitalbank.com/business/business-credit-cards</t>
        </is>
      </c>
      <c r="W119" t="inlineStr">
        <is>
          <t>N/M (TIB; personal pull on guarantor)</t>
        </is>
      </c>
      <c r="X119" t="inlineStr">
        <is>
          <t>N/M (TIB)</t>
        </is>
      </c>
      <c r="Y119" t="inlineStr">
        <is>
          <t>TIB program (Card Service Center PO Box 569120 Dallas + 800-367-7576 = TIB fingerprint). 25-day grace; 3% CA/BT; 2% FX. No bank DPs.</t>
        </is>
      </c>
      <c r="Z119" t="inlineStr">
        <is>
          <t>2</t>
        </is>
      </c>
      <c r="AA119" t="inlineStr">
        <is>
          <t>PG likely (TIB standard); docs N/M</t>
        </is>
      </c>
      <c r="AB119" t="inlineStr">
        <is>
          <t>None (SBA 7(a)/504/LOC/term/equipment full-doc)</t>
        </is>
      </c>
      <c r="AC119" t="inlineStr">
        <is>
          <t>N/M</t>
        </is>
      </c>
      <c r="AD119" t="inlineStr">
        <is>
          <t>No-doc card — apply in branch</t>
        </is>
      </c>
      <c r="AE119" t="inlineStr">
        <is>
          <t>Standard Card (MC + Visa, $0 AF); Preferred Points Rewards (MC + Visa, $49 AF)</t>
        </is>
      </c>
      <c r="AF119" t="inlineStr">
        <is>
          <t>NorCal / North Coast (Humboldt)</t>
        </is>
      </c>
      <c r="AG119" t="inlineStr">
        <is>
          <t>Eureka</t>
        </is>
      </c>
      <c r="AH119" t="inlineStr">
        <is>
          <t>78</t>
        </is>
      </c>
      <c r="AI119" t="inlineStr">
        <is>
          <t>HIGH issuer=TIB (PO Box + phone fingerprint)/products/terms (APR cap 21%); no online apply; N/M HP, reports. 2026-05-29</t>
        </is>
      </c>
      <c r="AJ119" t="inlineStr">
        <is>
          <t>redwoodcapitalbank.com/business/business-credit-cards; bbb.org (PO Box 569120=TIB); FDIC cert 57610</t>
        </is>
      </c>
    </row>
    <row r="120">
      <c r="A120" t="inlineStr">
        <is>
          <t>119</t>
        </is>
      </c>
      <c r="B120" t="inlineStr">
        <is>
          <t>115</t>
        </is>
      </c>
      <c r="C120" s="12" t="inlineStr">
        <is>
          <t>Summit Bank (Oakland)</t>
        </is>
      </c>
      <c r="D120" s="15" t="inlineStr">
        <is>
          <t>CA Bank</t>
        </is>
      </c>
      <c r="E120" t="inlineStr">
        <is>
          <t>Other — NorCal</t>
        </is>
      </c>
      <c r="F120" s="13" t="inlineStr">
        <is>
          <t>1/4  ✗SUW ✗Onl ✗SoCal ✓Card</t>
        </is>
      </c>
      <c r="G120" t="inlineStr">
        <is>
          <t>N/M</t>
        </is>
      </c>
      <c r="H120" t="inlineStr">
        <is>
          <t>N/M</t>
        </is>
      </c>
      <c r="I120" t="inlineStr"/>
      <c r="J120" t="inlineStr">
        <is>
          <t>C — Other agent card</t>
        </is>
      </c>
      <c r="K120" t="inlineStr">
        <is>
          <t>N/M (TIB; financials typically required $10K+)</t>
        </is>
      </c>
      <c r="L120" t="inlineStr">
        <is>
          <t>$0.27B</t>
        </is>
      </c>
      <c r="M120" t="inlineStr">
        <is>
          <t>N/M</t>
        </is>
      </c>
      <c r="N120" t="inlineStr">
        <is>
          <t>~3 CA branches (Oakland HQ + East Bay); est 1982. NOT Summit State Bank (Santa Rosa)</t>
        </is>
      </c>
      <c r="O120" t="inlineStr">
        <is>
          <t>CA-HQ'd</t>
        </is>
      </c>
      <c r="P120" t="inlineStr">
        <is>
          <t>No</t>
        </is>
      </c>
      <c r="Q120" t="inlineStr">
        <is>
          <t>✅ no 0%; 16.49% var (Prime+10.99%, cap 21%); $0/$49 AF; 1pt/$1 to 10K/mo (Preferred). FULL-DOC: financials required</t>
        </is>
      </c>
      <c r="R120" s="16" t="inlineStr">
        <is>
          <t>TIB</t>
        </is>
      </c>
      <c r="S120" t="inlineStr">
        <is>
          <t>In-person</t>
        </is>
      </c>
      <c r="T120" t="inlineStr">
        <is>
          <t>PDF application → fax 877-809-9162 / email banksupport@tib.bank / branch (TIB)</t>
        </is>
      </c>
      <c r="U120" t="inlineStr">
        <is>
          <t>https://www.summitbanking.com</t>
        </is>
      </c>
      <c r="V120" t="inlineStr">
        <is>
          <t>https://www.summitbanking.com/business/loans/credit-cards/</t>
        </is>
      </c>
      <c r="W120" t="inlineStr">
        <is>
          <t>N/M (TIB; consumer+commercial pull on guarantor)</t>
        </is>
      </c>
      <c r="X120" t="inlineStr">
        <is>
          <t>N/M (TIB)</t>
        </is>
      </c>
      <c r="Y120" t="inlineStr">
        <is>
          <t>TIB ('issuer and administrator is TIB... performable in Dallas County, TX'). PG joint &amp; several. NOTE: terms dated 2019, verify.</t>
        </is>
      </c>
      <c r="Z120" t="inlineStr">
        <is>
          <t>2</t>
        </is>
      </c>
      <c r="AA120" t="inlineStr">
        <is>
          <t>PG YES (joint &amp; several) + YEAR-END FINANCIAL STATEMENTS required (balance sheet + income stmt) — NOT no-doc</t>
        </is>
      </c>
      <c r="AB120" t="inlineStr">
        <is>
          <t>None (card is full-doc; commercial loans/CDARS relationship-based)</t>
        </is>
      </c>
      <c r="AC120" t="inlineStr">
        <is>
          <t>N/M</t>
        </is>
      </c>
      <c r="AD120" t="inlineStr">
        <is>
          <t>No-doc card — apply in branch</t>
        </is>
      </c>
      <c r="AE120" t="inlineStr">
        <is>
          <t>Standard Card ($0 AF); Preferred Points Card ($49 AF) — Mastercard (Visa on request), TIB</t>
        </is>
      </c>
      <c r="AF120" t="inlineStr">
        <is>
          <t>NorCal / SF-East Bay</t>
        </is>
      </c>
      <c r="AG120" t="inlineStr">
        <is>
          <t>Oakland</t>
        </is>
      </c>
      <c r="AH120" t="inlineStr">
        <is>
          <t>97</t>
        </is>
      </c>
      <c r="AI120" t="inlineStr">
        <is>
          <t>HIGH issuer=TIB (PDF verbatim)/terms (APR cap 21%)/full-doc (financials+PG = NOT no-doc); no online apply. 2026-05-29</t>
        </is>
      </c>
      <c r="AJ120" t="inlineStr">
        <is>
          <t>summitbanking.com/business/loans/credit-cards + Business-Credit-Card-Application PDF (TIB issuer, PG, financials); FDIC cert 23864</t>
        </is>
      </c>
    </row>
    <row r="121">
      <c r="A121" t="inlineStr">
        <is>
          <t>120</t>
        </is>
      </c>
      <c r="B121" t="inlineStr"/>
      <c r="C121" s="18" t="inlineStr">
        <is>
          <t>American Business Bank</t>
        </is>
      </c>
      <c r="D121" s="15" t="inlineStr">
        <is>
          <t>CA Bank</t>
        </is>
      </c>
      <c r="E121" t="inlineStr">
        <is>
          <t>★ Core SoCal</t>
        </is>
      </c>
      <c r="F121" s="19" t="inlineStr">
        <is>
          <t>1/4  ✗SUW ✗Onl ✓SoCal ✗Card</t>
        </is>
      </c>
      <c r="G121" t="inlineStr">
        <is>
          <t>N/M</t>
        </is>
      </c>
      <c r="H121" t="inlineStr">
        <is>
          <t>N/M</t>
        </is>
      </c>
      <c r="I121" t="inlineStr"/>
      <c r="J121" t="inlineStr">
        <is>
          <t>Commercial-only</t>
        </is>
      </c>
      <c r="K121" t="inlineStr">
        <is>
          <t>—</t>
        </is>
      </c>
      <c r="L121" t="inlineStr">
        <is>
          <t>$4.37B</t>
        </is>
      </c>
      <c r="M121" t="inlineStr">
        <is>
          <t>$3.90B</t>
        </is>
      </c>
      <c r="N121" t="inlineStr">
        <is>
          <t>LA HQ + 9 LPOs (Woodland Hills, Torrance, Long Beach, Irvine, Anaheim, Ontario, Corona, Riverside, San Diego)</t>
        </is>
      </c>
      <c r="O121" t="inlineStr">
        <is>
          <t>CA-HQ'd</t>
        </is>
      </c>
      <c r="P121" t="inlineStr">
        <is>
          <t>Unknown</t>
        </is>
      </c>
      <c r="Q121" t="inlineStr">
        <is>
          <t>⚠️ Commercial — 'Corporate Cards'; issuer/terms N/M</t>
        </is>
      </c>
      <c r="R121" s="9" t="inlineStr">
        <is>
          <t>Unknown (not disclosed)</t>
        </is>
      </c>
      <c r="S121" t="inlineStr">
        <is>
          <t>In-person</t>
        </is>
      </c>
      <c r="T121" t="inlineStr">
        <is>
          <t>Visit branch / contact a banker (no online application)</t>
        </is>
      </c>
      <c r="U121" t="inlineStr">
        <is>
          <t>https://americanbb.bank</t>
        </is>
      </c>
      <c r="V121" t="inlineStr">
        <is>
          <t>https://americanbb.bank/services/relationship-banking/credit-services/</t>
        </is>
      </c>
      <c r="W121" t="inlineStr">
        <is>
          <t>N/M</t>
        </is>
      </c>
      <c r="X121" t="inlineStr">
        <is>
          <t>N/M</t>
        </is>
      </c>
      <c r="Y121" t="inlineStr">
        <is>
          <t>N/M (no forum data; relationship product)</t>
        </is>
      </c>
      <c r="Z121" t="inlineStr">
        <is>
          <t>0</t>
        </is>
      </c>
      <c r="AA121" t="inlineStr">
        <is>
          <t>PG likely; 2yr tax returns for loans (3rd-party review)</t>
        </is>
      </c>
      <c r="AB121" t="inlineStr">
        <is>
          <t>ABL (AR/inventory/equipment) asset-based — lighter on income docs but NOT stated no-doc</t>
        </is>
      </c>
      <c r="AC121" t="inlineStr">
        <is>
          <t>Likely Yes (relationship bank)</t>
        </is>
      </c>
      <c r="AD121" t="inlineStr">
        <is>
          <t>Commercial / full underwriting</t>
        </is>
      </c>
      <c r="AE121" t="inlineStr">
        <is>
          <t>'Corporate Credit Cards' (generic; no name/terms)</t>
        </is>
      </c>
      <c r="AF121" t="inlineStr">
        <is>
          <t>SoCal / LA</t>
        </is>
      </c>
      <c r="AG121" t="inlineStr">
        <is>
          <t>Los Angeles</t>
        </is>
      </c>
      <c r="AH121" t="inlineStr">
        <is>
          <t>25</t>
        </is>
      </c>
      <c r="AI121" t="inlineStr">
        <is>
          <t>HIGH commercial-only/no-online; N/M issuer, terms, HP. 2026-05-28</t>
        </is>
      </c>
      <c r="AJ121" t="inlineStr">
        <is>
          <t>americanbb.bank/services/relationship-banking/credit-services; usbanklocations.com</t>
        </is>
      </c>
    </row>
    <row r="122">
      <c r="A122" t="inlineStr">
        <is>
          <t>121</t>
        </is>
      </c>
      <c r="B122" t="inlineStr">
        <is>
          <t>116</t>
        </is>
      </c>
      <c r="C122" s="12" t="inlineStr">
        <is>
          <t>United Business Bank</t>
        </is>
      </c>
      <c r="D122" s="15" t="inlineStr">
        <is>
          <t>CA Bank</t>
        </is>
      </c>
      <c r="E122" t="inlineStr">
        <is>
          <t>Other — NorCal</t>
        </is>
      </c>
      <c r="F122" s="13" t="inlineStr">
        <is>
          <t>1/4  ✗SUW ✗Onl ✗SoCal ✓Card</t>
        </is>
      </c>
      <c r="G122" t="inlineStr">
        <is>
          <t>N/M</t>
        </is>
      </c>
      <c r="H122" t="inlineStr">
        <is>
          <t>N/M</t>
        </is>
      </c>
      <c r="I122" t="inlineStr"/>
      <c r="J122" t="inlineStr">
        <is>
          <t>C — Other agent card</t>
        </is>
      </c>
      <c r="K122" t="inlineStr">
        <is>
          <t>N/M (no bank-specific data point found)</t>
        </is>
      </c>
      <c r="L122" t="inlineStr">
        <is>
          <t>$2.63B</t>
        </is>
      </c>
      <c r="M122" t="inlineStr">
        <is>
          <t>$2.27B</t>
        </is>
      </c>
      <c r="N122" t="inlineStr">
        <is>
          <t>Walnut Creek HQ; San Jose, Stockton, Pleasanton + CO/NV/NM/WA (BayCom Corp)</t>
        </is>
      </c>
      <c r="O122" t="inlineStr">
        <is>
          <t>CA-HQ'd</t>
        </is>
      </c>
      <c r="P122" t="inlineStr">
        <is>
          <t>Unknown</t>
        </is>
      </c>
      <c r="Q122" t="inlineStr">
        <is>
          <t>✅ card exists; issuer/terms unknown; Request-Info only</t>
        </is>
      </c>
      <c r="R122" s="9" t="inlineStr">
        <is>
          <t>Unknown (not named; no portal links)</t>
        </is>
      </c>
      <c r="S122" t="inlineStr">
        <is>
          <t>In-person</t>
        </is>
      </c>
      <c r="T122" t="inlineStr">
        <is>
          <t>Visit branch / contact a banker (no online application)</t>
        </is>
      </c>
      <c r="U122" t="inlineStr">
        <is>
          <t>https://www.unitedbusinessbank.com</t>
        </is>
      </c>
      <c r="V122" t="inlineStr">
        <is>
          <t>https://www.unitedbusinessbank.com/loans-credit/business-credit/business-credit-cards.html</t>
        </is>
      </c>
      <c r="W122" t="inlineStr">
        <is>
          <t>N/M</t>
        </is>
      </c>
      <c r="X122" t="inlineStr">
        <is>
          <t>N/M</t>
        </is>
      </c>
      <c r="Y122" t="inlineStr">
        <is>
          <t>N/M (no forum data)</t>
        </is>
      </c>
      <c r="Z122" t="inlineStr">
        <is>
          <t>2</t>
        </is>
      </c>
      <c r="AA122" t="inlineStr">
        <is>
          <t>N/M ('subject to credit approval')</t>
        </is>
      </c>
      <c r="AB122" t="inlineStr">
        <is>
          <t>None (LOC/ABL/term/equipment/CRE/SBA Express full-doc)</t>
        </is>
      </c>
      <c r="AC122" t="inlineStr">
        <is>
          <t>N/M</t>
        </is>
      </c>
      <c r="AD122" t="inlineStr">
        <is>
          <t>No-doc card — apply in branch</t>
        </is>
      </c>
      <c r="AE122" t="inlineStr">
        <is>
          <t>'Business Credit Cards' (generic; no brand named)</t>
        </is>
      </c>
      <c r="AF122" t="inlineStr">
        <is>
          <t>NorCal / SF-East Bay</t>
        </is>
      </c>
      <c r="AG122" t="inlineStr">
        <is>
          <t>Walnut Creek</t>
        </is>
      </c>
      <c r="AH122" t="inlineStr">
        <is>
          <t>37</t>
        </is>
      </c>
      <c r="AI122" t="inlineStr">
        <is>
          <t>MED-HIGH negatives (no issuer named, no online app, no terms). Not 'United Bankers Bank' (ubb.bank). 2026-05-28</t>
        </is>
      </c>
      <c r="AJ122" t="inlineStr">
        <is>
          <t>unitedbusinessbank.com/loans-credit/business-credit/business-credit-cards; dfpi.ca.gov</t>
        </is>
      </c>
    </row>
    <row r="123">
      <c r="A123" t="inlineStr">
        <is>
          <t>122</t>
        </is>
      </c>
      <c r="B123" t="inlineStr">
        <is>
          <t>117</t>
        </is>
      </c>
      <c r="C123" s="12" t="inlineStr">
        <is>
          <t>American Riviera Bank</t>
        </is>
      </c>
      <c r="D123" s="15" t="inlineStr">
        <is>
          <t>CA Bank</t>
        </is>
      </c>
      <c r="E123" t="inlineStr">
        <is>
          <t>Other — Central Coast</t>
        </is>
      </c>
      <c r="F123" s="13" t="inlineStr">
        <is>
          <t>2/4  ✗SUW ✓Onl ✗SoCal ✓Card</t>
        </is>
      </c>
      <c r="G123" t="inlineStr">
        <is>
          <t>N/M</t>
        </is>
      </c>
      <c r="H123" t="inlineStr">
        <is>
          <t>N/M</t>
        </is>
      </c>
      <c r="I123" t="inlineStr"/>
      <c r="J123" t="inlineStr">
        <is>
          <t>E — Elan agent</t>
        </is>
      </c>
      <c r="K123" t="inlineStr">
        <is>
          <t>Elan platform: ~$3K–$10K start, to ~$20K strong files (~$500 seen at 800+ FICO)  [myFICO #6658960]</t>
        </is>
      </c>
      <c r="L123" t="inlineStr">
        <is>
          <t>$1.42B</t>
        </is>
      </c>
      <c r="M123" t="inlineStr">
        <is>
          <t>$1.27B</t>
        </is>
      </c>
      <c r="N123" t="inlineStr">
        <is>
          <t>Santa Barbara + SLO counties (Santa Barbara, Montecito, Goleta, Santa Maria, SLO, Paso Robles)</t>
        </is>
      </c>
      <c r="O123" t="inlineStr">
        <is>
          <t>CA-HQ'd</t>
        </is>
      </c>
      <c r="P123" t="inlineStr">
        <is>
          <t>No</t>
        </is>
      </c>
      <c r="Q123" t="inlineStr">
        <is>
          <t>✅ Elan biz cards; terms N/M; apply online</t>
        </is>
      </c>
      <c r="R123" s="6" t="inlineStr">
        <is>
          <t>Elan</t>
        </is>
      </c>
      <c r="S123" t="inlineStr">
        <is>
          <t>Online</t>
        </is>
      </c>
      <c r="T123" t="inlineStr">
        <is>
          <t>Online — apply at https://creditcard.arb.bank/choose</t>
        </is>
      </c>
      <c r="U123" t="inlineStr">
        <is>
          <t>https://americanriviera.bank</t>
        </is>
      </c>
      <c r="V123" t="inlineStr">
        <is>
          <t>https://creditcard.arb.bank/choose</t>
        </is>
      </c>
      <c r="W123" t="inlineStr">
        <is>
          <t>TransUnion (Elan; varies)</t>
        </is>
      </c>
      <c r="X123" t="inlineStr">
        <is>
          <t>Personal default-only; D&amp;B weak/unconfirmed</t>
        </is>
      </c>
      <c r="Y123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23" t="inlineStr">
        <is>
          <t>3</t>
        </is>
      </c>
      <c r="AA123" t="inlineStr">
        <is>
          <t>PG yes; no tax returns (&lt;$25K)</t>
        </is>
      </c>
      <c r="AB123" t="inlineStr">
        <is>
          <t>None (commercial LOC/ag/construction/SBA underwritten)</t>
        </is>
      </c>
      <c r="AC123" t="inlineStr">
        <is>
          <t>No</t>
        </is>
      </c>
      <c r="AD123" t="inlineStr">
        <is>
          <t>No-doc card — apply online (Elan)</t>
        </is>
      </c>
      <c r="AE123" t="inlineStr">
        <is>
          <t>Elan business cards (names not on site)</t>
        </is>
      </c>
      <c r="AF123" t="inlineStr">
        <is>
          <t>Central Coast</t>
        </is>
      </c>
      <c r="AG123" t="inlineStr">
        <is>
          <t>Santa Barbara</t>
        </is>
      </c>
      <c r="AH123" t="inlineStr">
        <is>
          <t>50</t>
        </is>
      </c>
      <c r="AI123" t="inlineStr">
        <is>
          <t>MED-HIGH issuer/online/Elan behavior; N/M card names, terms. 2026-05-28</t>
        </is>
      </c>
      <c r="AJ123" t="inlineStr">
        <is>
          <t>americanriviera.bank/product/business-credit-cards; creditcard.arb.bank/choose</t>
        </is>
      </c>
    </row>
    <row r="124">
      <c r="A124" t="inlineStr">
        <is>
          <t>123</t>
        </is>
      </c>
      <c r="B124" t="inlineStr">
        <is>
          <t>118</t>
        </is>
      </c>
      <c r="C124" s="12" t="inlineStr">
        <is>
          <t>Savings Bank of Mendocino County</t>
        </is>
      </c>
      <c r="D124" s="15" t="inlineStr">
        <is>
          <t>CA Bank</t>
        </is>
      </c>
      <c r="E124" t="inlineStr">
        <is>
          <t>Other — NorCal</t>
        </is>
      </c>
      <c r="F124" s="13" t="inlineStr">
        <is>
          <t>2/4  ✗SUW ✓Onl ✗SoCal ✓Card</t>
        </is>
      </c>
      <c r="G124" t="inlineStr">
        <is>
          <t>N/M</t>
        </is>
      </c>
      <c r="H124" t="inlineStr">
        <is>
          <t>N/M</t>
        </is>
      </c>
      <c r="I124" t="inlineStr"/>
      <c r="J124" t="inlineStr">
        <is>
          <t>E — Elan agent</t>
        </is>
      </c>
      <c r="K124" t="inlineStr">
        <is>
          <t>Elan platform: ~$3K–$10K start, to ~$20K strong files (~$500 seen at 800+ FICO)  [myFICO #6658960]</t>
        </is>
      </c>
      <c r="L124" t="inlineStr">
        <is>
          <t>$1.29B</t>
        </is>
      </c>
      <c r="M124" t="inlineStr">
        <is>
          <t>N/M</t>
        </is>
      </c>
      <c r="N124" t="inlineStr">
        <is>
          <t>CA-only; Mendocino/Lake/Sonoma county branches</t>
        </is>
      </c>
      <c r="O124" t="inlineStr">
        <is>
          <t>CA-HQ'd</t>
        </is>
      </c>
      <c r="P124" t="inlineStr">
        <is>
          <t>No</t>
        </is>
      </c>
      <c r="Q124" t="inlineStr">
        <is>
          <t>✅ Elan biz cards (low rate / cash back / rewards buckets); terms N/M</t>
        </is>
      </c>
      <c r="R124" s="6" t="inlineStr">
        <is>
          <t>Elan</t>
        </is>
      </c>
      <c r="S124" t="inlineStr">
        <is>
          <t>Online</t>
        </is>
      </c>
      <c r="T124" t="inlineStr">
        <is>
          <t>Online — apply at https://www.savingsbank.com/business/bank-cards/</t>
        </is>
      </c>
      <c r="U124" t="inlineStr">
        <is>
          <t>https://www.savingsbank.com</t>
        </is>
      </c>
      <c r="V124" t="inlineStr">
        <is>
          <t>https://www.savingsbank.com/business/bank-cards/</t>
        </is>
      </c>
      <c r="W124" t="inlineStr">
        <is>
          <t>TransUnion (varies EX/EQ)</t>
        </is>
      </c>
      <c r="X124" t="inlineStr">
        <is>
          <t>D&amp;B; not personal in good standing</t>
        </is>
      </c>
      <c r="Y124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24" t="inlineStr">
        <is>
          <t>3</t>
        </is>
      </c>
      <c r="AA124" t="inlineStr">
        <is>
          <t>PG yes; no tax returns (&lt;$25K)</t>
        </is>
      </c>
      <c r="AB124" t="inlineStr">
        <is>
          <t>None (commercial/SBA full-doc)</t>
        </is>
      </c>
      <c r="AC124" t="inlineStr">
        <is>
          <t>N/M</t>
        </is>
      </c>
      <c r="AD124" t="inlineStr">
        <is>
          <t>No-doc card — apply online (Elan)</t>
        </is>
      </c>
      <c r="AE124" t="inlineStr">
        <is>
          <t>Elan business suite (Cash Preferred / Real Rewards / Smart / Zero+; names not enumerated)</t>
        </is>
      </c>
      <c r="AF124" t="inlineStr">
        <is>
          <t>NorCal / North Coast (Mendocino)</t>
        </is>
      </c>
      <c r="AG124" t="inlineStr">
        <is>
          <t>Ukiah</t>
        </is>
      </c>
      <c r="AH124" t="inlineStr">
        <is>
          <t>54</t>
        </is>
      </c>
      <c r="AI124" t="inlineStr">
        <is>
          <t>HIGH issuer=Elan (own footer disclosure)/online; N/M terms, HP. 2026-05-29</t>
        </is>
      </c>
      <c r="AJ124" t="inlineStr">
        <is>
          <t>savingsbank.com/business/bank-cards (Elan creditor disclosure); dfpi.ca.gov; elanfinancialservices.com</t>
        </is>
      </c>
    </row>
    <row r="125">
      <c r="A125" t="inlineStr">
        <is>
          <t>124</t>
        </is>
      </c>
      <c r="B125" t="inlineStr">
        <is>
          <t>119</t>
        </is>
      </c>
      <c r="C125" s="12" t="inlineStr">
        <is>
          <t>River Valley Community Bank</t>
        </is>
      </c>
      <c r="D125" s="15" t="inlineStr">
        <is>
          <t>CA Bank</t>
        </is>
      </c>
      <c r="E125" t="inlineStr">
        <is>
          <t>Other — NorCal</t>
        </is>
      </c>
      <c r="F125" s="13" t="inlineStr">
        <is>
          <t>2/4  ✗SUW ✓Onl ✗SoCal ✓Card</t>
        </is>
      </c>
      <c r="G125" t="inlineStr">
        <is>
          <t>N/M</t>
        </is>
      </c>
      <c r="H125" t="inlineStr">
        <is>
          <t>N/M</t>
        </is>
      </c>
      <c r="I125" t="inlineStr"/>
      <c r="J125" t="inlineStr">
        <is>
          <t>E — Elan agent</t>
        </is>
      </c>
      <c r="K125" t="inlineStr">
        <is>
          <t>Elan platform: ~$3K–$10K start, to ~$20K strong files (~$500 seen at 800+ FICO)  [myFICO #6658960]</t>
        </is>
      </c>
      <c r="L125" t="inlineStr">
        <is>
          <t>$0.76B</t>
        </is>
      </c>
      <c r="M125" t="inlineStr">
        <is>
          <t>$0.67B</t>
        </is>
      </c>
      <c r="N125" t="inlineStr">
        <is>
          <t>CA-only; Yuba City, Marysville, Grass Valley, Auburn; est 2006</t>
        </is>
      </c>
      <c r="O125" t="inlineStr">
        <is>
          <t>CA-HQ'd</t>
        </is>
      </c>
      <c r="P125" t="inlineStr">
        <is>
          <t>No</t>
        </is>
      </c>
      <c r="Q125" t="inlineStr">
        <is>
          <t>✅ Elan biz Visa (low rate / cash back / rewards); terms N/M</t>
        </is>
      </c>
      <c r="R125" s="6" t="inlineStr">
        <is>
          <t>Elan</t>
        </is>
      </c>
      <c r="S125" t="inlineStr">
        <is>
          <t>Online</t>
        </is>
      </c>
      <c r="T125" t="inlineStr">
        <is>
          <t>Online — apply at https://www.mycardapply.com/synindex/?ecdma-lc=33345&amp;ecid=OTHE_25940&amp;offertype=0</t>
        </is>
      </c>
      <c r="U125" t="inlineStr">
        <is>
          <t>https://www.myrvcb.com</t>
        </is>
      </c>
      <c r="V125" t="inlineStr">
        <is>
          <t>https://www.mycardapply.com/synindex/?ecdma-lc=33345&amp;ecid=OTHE_25940&amp;offertype=0</t>
        </is>
      </c>
      <c r="W125" t="inlineStr">
        <is>
          <t>TransUnion (varies EX/EQ)</t>
        </is>
      </c>
      <c r="X125" t="inlineStr">
        <is>
          <t>D&amp;B; not personal in good standing</t>
        </is>
      </c>
      <c r="Y125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25" t="inlineStr">
        <is>
          <t>3</t>
        </is>
      </c>
      <c r="AA125" t="inlineStr">
        <is>
          <t>PG yes; no tax returns (&lt;$25K)</t>
        </is>
      </c>
      <c r="AB125" t="inlineStr">
        <is>
          <t>None (commercial/SBA 504/ag/construction/HELOC full-doc)</t>
        </is>
      </c>
      <c r="AC125" t="inlineStr">
        <is>
          <t>N/M</t>
        </is>
      </c>
      <c r="AD125" t="inlineStr">
        <is>
          <t>No-doc card — apply online (Elan)</t>
        </is>
      </c>
      <c r="AE125" t="inlineStr">
        <is>
          <t>Elan business Visa (Cash Preferred / Real Rewards / Platinum; names not enumerated)</t>
        </is>
      </c>
      <c r="AF125" t="inlineStr">
        <is>
          <t>NorCal / Sacramento (Sacramento Valley)</t>
        </is>
      </c>
      <c r="AG125" t="inlineStr">
        <is>
          <t>Yuba City</t>
        </is>
      </c>
      <c r="AH125" t="inlineStr">
        <is>
          <t>73</t>
        </is>
      </c>
      <c r="AI125" t="inlineStr">
        <is>
          <t>HIGH issuer=Elan (own footer disclosure)/online/lc=33345; N/M terms, HP, reports. 2026-05-29</t>
        </is>
      </c>
      <c r="AJ125" t="inlineStr">
        <is>
          <t>myrvcb.com/business/business-credit-cards-debit (Elan disclosure); mycardapply.com (33345); FDIC cert 58276</t>
        </is>
      </c>
    </row>
    <row r="126">
      <c r="A126" t="inlineStr">
        <is>
          <t>125</t>
        </is>
      </c>
      <c r="B126" t="inlineStr">
        <is>
          <t>120</t>
        </is>
      </c>
      <c r="C126" s="12" t="inlineStr">
        <is>
          <t>California Bank of Commerce, N.A.</t>
        </is>
      </c>
      <c r="D126" s="15" t="inlineStr">
        <is>
          <t>CA Bank</t>
        </is>
      </c>
      <c r="E126" t="inlineStr">
        <is>
          <t>★ Core SoCal</t>
        </is>
      </c>
      <c r="F126" s="13" t="inlineStr">
        <is>
          <t>2/4  ✗SUW ✗Onl ✓SoCal ✓Card</t>
        </is>
      </c>
      <c r="G126" t="inlineStr">
        <is>
          <t>N/M</t>
        </is>
      </c>
      <c r="H126" t="inlineStr">
        <is>
          <t>N/M</t>
        </is>
      </c>
      <c r="I126" t="inlineStr"/>
      <c r="J126" t="inlineStr">
        <is>
          <t>E — Elan agent</t>
        </is>
      </c>
      <c r="K126" t="inlineStr">
        <is>
          <t>Elan DP: $4K (D&amp;B 80, no relationship)  [myFICO #6478775]</t>
        </is>
      </c>
      <c r="L126" t="inlineStr">
        <is>
          <t>$4.05B</t>
        </is>
      </c>
      <c r="M126" t="inlineStr">
        <is>
          <t>$3.40B</t>
        </is>
      </c>
      <c r="N126" t="inlineStr">
        <is>
          <t>18 CA locations statewide (Southern Cal Bancorp + California Bancorp 2024)</t>
        </is>
      </c>
      <c r="O126" t="inlineStr">
        <is>
          <t>CA-HQ'd</t>
        </is>
      </c>
      <c r="P126" t="inlineStr">
        <is>
          <t>No</t>
        </is>
      </c>
      <c r="Q126" t="inlineStr">
        <is>
          <t>✅ Elan biz cards; intro/APR N/M; no public apply page</t>
        </is>
      </c>
      <c r="R126" s="6" t="inlineStr">
        <is>
          <t>Elan</t>
        </is>
      </c>
      <c r="S126" t="inlineStr">
        <is>
          <t>In-person</t>
        </is>
      </c>
      <c r="T126" t="inlineStr">
        <is>
          <t>Visit branch / contact a banker (no online application)</t>
        </is>
      </c>
      <c r="U126" t="inlineStr">
        <is>
          <t>https://www.californiabankofcommerce.com</t>
        </is>
      </c>
      <c r="V126" t="inlineStr">
        <is>
          <t>https://www.californiabankofcommerce.com/business-financing-solutions/</t>
        </is>
      </c>
      <c r="W126" t="inlineStr">
        <is>
          <t>TransUnion (forum 'Elan = HP TU-9')</t>
        </is>
      </c>
      <c r="X126" t="inlineStr">
        <is>
          <t>D&amp;B; personal delinquency-only</t>
        </is>
      </c>
      <c r="Y126" t="inlineStr">
        <is>
          <t>Elan DP: Smart Business Rewards $4K, D&amp;B 80/EX-Biz 82, TU pull, no relationship (2022). myfico.com #6478775</t>
        </is>
      </c>
      <c r="Z126" t="inlineStr">
        <is>
          <t>2</t>
        </is>
      </c>
      <c r="AA126" t="inlineStr">
        <is>
          <t>PG yes; no tax returns (&lt;$25K)</t>
        </is>
      </c>
      <c r="AB126" t="inlineStr">
        <is>
          <t>None (LOC/term/CRE/SBA underwritten)</t>
        </is>
      </c>
      <c r="AC126" t="inlineStr">
        <is>
          <t>No (forum-corroborated)</t>
        </is>
      </c>
      <c r="AD126" t="inlineStr">
        <is>
          <t>No-doc card — apply in branch (Elan)</t>
        </is>
      </c>
      <c r="AE126" t="inlineStr">
        <is>
          <t>Elan business suite (names N/M on site); separate commercialcardportal.com</t>
        </is>
      </c>
      <c r="AF126" t="inlineStr">
        <is>
          <t>SoCal / San Diego</t>
        </is>
      </c>
      <c r="AG126" t="inlineStr">
        <is>
          <t>San Diego</t>
        </is>
      </c>
      <c r="AH126" t="inlineStr">
        <is>
          <t>27</t>
        </is>
      </c>
      <c r="AI126" t="inlineStr">
        <is>
          <t>HIGH issuer (Elan via portal)/PG/HP=TU/D&amp;B; N/M card name, apply URL. 2026-05-28</t>
        </is>
      </c>
      <c r="AJ126" t="inlineStr">
        <is>
          <t>californiabankofcommerce.com/online-banking-logins (theme=elan1, loc=28679); myfico.com #6478775</t>
        </is>
      </c>
    </row>
    <row r="127">
      <c r="A127" t="inlineStr">
        <is>
          <t>126</t>
        </is>
      </c>
      <c r="B127" t="inlineStr">
        <is>
          <t>121</t>
        </is>
      </c>
      <c r="C127" s="12" t="inlineStr">
        <is>
          <t>Pinnacle Bank (Gilroy, CA)</t>
        </is>
      </c>
      <c r="D127" s="8" t="inlineStr">
        <is>
          <t>Regional</t>
        </is>
      </c>
      <c r="E127" t="inlineStr">
        <is>
          <t>Other — NorCal</t>
        </is>
      </c>
      <c r="F127" s="13" t="inlineStr">
        <is>
          <t>1/4  ✗SUW ✗Onl ✗SoCal ✓Card</t>
        </is>
      </c>
      <c r="G127" t="inlineStr">
        <is>
          <t>N/M</t>
        </is>
      </c>
      <c r="H127" t="inlineStr">
        <is>
          <t>N/M</t>
        </is>
      </c>
      <c r="I127" t="inlineStr"/>
      <c r="J127" t="inlineStr">
        <is>
          <t>C — Other agent card</t>
        </is>
      </c>
      <c r="K127" t="inlineStr">
        <is>
          <t>N/M (TIB; financials typically required $10K+)</t>
        </is>
      </c>
      <c r="L127" t="inlineStr">
        <is>
          <t>~$0.95B</t>
        </is>
      </c>
      <c r="M127" t="inlineStr">
        <is>
          <t>—</t>
        </is>
      </c>
      <c r="N127" t="inlineStr">
        <is>
          <t>HQ Gilroy (Santa Clara/South Bay); 4 branches (Gilroy, Morgan Hill, Salinas, Campbell)</t>
        </is>
      </c>
      <c r="O127" t="inlineStr">
        <is>
          <t>N/M</t>
        </is>
      </c>
      <c r="P127" t="inlineStr">
        <is>
          <t>No</t>
        </is>
      </c>
      <c r="Q127" t="inlineStr">
        <is>
          <t>✅ Mastercard business (Platinum / Rewards / World); terms N/M; apply in-branch</t>
        </is>
      </c>
      <c r="R127" s="16" t="inlineStr">
        <is>
          <t>TIB (The Independent BankersBank)</t>
        </is>
      </c>
      <c r="S127" t="inlineStr">
        <is>
          <t>In-person</t>
        </is>
      </c>
      <c r="T127" t="inlineStr">
        <is>
          <t>Branch / contact (TIB; no online app)</t>
        </is>
      </c>
      <c r="U127" t="inlineStr">
        <is>
          <t>https://pinnacle.bank</t>
        </is>
      </c>
      <c r="V127" t="inlineStr">
        <is>
          <t>https://pinnacle.bank/business/financing.php/1000</t>
        </is>
      </c>
      <c r="W127" t="inlineStr">
        <is>
          <t>N/M (TIB typically Experian)</t>
        </is>
      </c>
      <c r="X127" t="inlineStr">
        <is>
          <t>N/M</t>
        </is>
      </c>
      <c r="Y127" t="inlineStr">
        <is>
          <t>No online application; branch/contact only. (CA Pinnacle, NOT Pinnacle Financial Partners TN.)</t>
        </is>
      </c>
      <c r="Z127" t="inlineStr">
        <is>
          <t>2</t>
        </is>
      </c>
      <c r="AA127" t="inlineStr">
        <is>
          <t>PG likely (TIB standard); N/M</t>
        </is>
      </c>
      <c r="AB127" t="inlineStr">
        <is>
          <t>None (SBA Preferred + ABL full-doc)</t>
        </is>
      </c>
      <c r="AC127" t="inlineStr">
        <is>
          <t>N/M (relationship likely)</t>
        </is>
      </c>
      <c r="AD127" t="inlineStr">
        <is>
          <t>No-doc card — apply in branch</t>
        </is>
      </c>
      <c r="AE127" t="inlineStr">
        <is>
          <t>Mastercard Small Business Platinum / Rewards / World (via TIB)</t>
        </is>
      </c>
      <c r="AF127" t="inlineStr">
        <is>
          <t>NorCal / Silicon Valley (Gilroy, South Bay)</t>
        </is>
      </c>
      <c r="AG127" t="inlineStr">
        <is>
          <t>Gilroy, CA</t>
        </is>
      </c>
      <c r="AH127" t="inlineStr">
        <is>
          <t>Reg</t>
        </is>
      </c>
      <c r="AI127" t="inlineStr">
        <is>
          <t>HIGH issuer=TIB/relevance/footprint; apply N (branch); N/M terms, HP. 2026-05-28</t>
        </is>
      </c>
      <c r="AJ127" t="inlineStr">
        <is>
          <t>pinnacle.bank/business/financing (TIB issuer disclosure); FDIC cert 58297; wallethub.com</t>
        </is>
      </c>
    </row>
    <row r="128">
      <c r="A128" t="inlineStr">
        <is>
          <t>127</t>
        </is>
      </c>
      <c r="B128" t="inlineStr">
        <is>
          <t>122</t>
        </is>
      </c>
      <c r="C128" s="12" t="inlineStr">
        <is>
          <t>Golden Valley Bank</t>
        </is>
      </c>
      <c r="D128" s="15" t="inlineStr">
        <is>
          <t>CA Bank</t>
        </is>
      </c>
      <c r="E128" t="inlineStr">
        <is>
          <t>Other — NorCal</t>
        </is>
      </c>
      <c r="F128" s="13" t="inlineStr">
        <is>
          <t>2/4  ✗SUW ✓Onl ✗SoCal ✓Card</t>
        </is>
      </c>
      <c r="G128" t="inlineStr">
        <is>
          <t>N/M</t>
        </is>
      </c>
      <c r="H128" t="inlineStr">
        <is>
          <t>N/M</t>
        </is>
      </c>
      <c r="I128" t="inlineStr"/>
      <c r="J128" t="inlineStr">
        <is>
          <t>E — Elan agent</t>
        </is>
      </c>
      <c r="K128" t="inlineStr">
        <is>
          <t>Elan platform: ~$3K–$10K start, to ~$20K strong files (~$500 seen at 800+ FICO)  [myFICO #6658960]</t>
        </is>
      </c>
      <c r="L128" t="inlineStr">
        <is>
          <t>$0.58B</t>
        </is>
      </c>
      <c r="M128" t="inlineStr">
        <is>
          <t>N/M</t>
        </is>
      </c>
      <c r="N128" t="inlineStr">
        <is>
          <t>Community bank; Chico/Butte County focus; est ~2006</t>
        </is>
      </c>
      <c r="O128" t="inlineStr">
        <is>
          <t>CA-HQ'd</t>
        </is>
      </c>
      <c r="P128" t="inlineStr">
        <is>
          <t>No</t>
        </is>
      </c>
      <c r="Q128" t="inlineStr">
        <is>
          <t>✅ Elan biz cards (low rate / cash back / rewards); terms N/M</t>
        </is>
      </c>
      <c r="R128" s="6" t="inlineStr">
        <is>
          <t>Elan</t>
        </is>
      </c>
      <c r="S128" t="inlineStr">
        <is>
          <t>Online</t>
        </is>
      </c>
      <c r="T128" t="inlineStr">
        <is>
          <t>Online — apply at https://www.goldenvalley.bank/credit-cards/</t>
        </is>
      </c>
      <c r="U128" t="inlineStr">
        <is>
          <t>https://www.goldenvalley.bank</t>
        </is>
      </c>
      <c r="V128" t="inlineStr">
        <is>
          <t>https://www.goldenvalley.bank/credit-cards/</t>
        </is>
      </c>
      <c r="W128" t="inlineStr">
        <is>
          <t>TransUnion (varies EX/EQ)</t>
        </is>
      </c>
      <c r="X128" t="inlineStr">
        <is>
          <t>D&amp;B; not personal in good standing</t>
        </is>
      </c>
      <c r="Y128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28" t="inlineStr">
        <is>
          <t>3</t>
        </is>
      </c>
      <c r="AA128" t="inlineStr">
        <is>
          <t>PG yes; no tax returns (&lt;$25K)</t>
        </is>
      </c>
      <c r="AB128" t="inlineStr">
        <is>
          <t>None (business lending; no no-doc advertised)</t>
        </is>
      </c>
      <c r="AC128" t="inlineStr">
        <is>
          <t>N/M</t>
        </is>
      </c>
      <c r="AD128" t="inlineStr">
        <is>
          <t>No-doc card — apply online (Elan)</t>
        </is>
      </c>
      <c r="AE128" t="inlineStr">
        <is>
          <t>Elan business Visa (Business Card / Company / Community; names not enumerated)</t>
        </is>
      </c>
      <c r="AF128" t="inlineStr">
        <is>
          <t>NorCal / Sacramento (Butte County)</t>
        </is>
      </c>
      <c r="AG128" t="inlineStr">
        <is>
          <t>Chico</t>
        </is>
      </c>
      <c r="AH128" t="inlineStr">
        <is>
          <t>77</t>
        </is>
      </c>
      <c r="AI128" t="inlineStr">
        <is>
          <t>HIGH issuer=Elan (own footer disclosure + myaccountaccess.com)/online; N/M terms, HP, reports. 2026-05-29</t>
        </is>
      </c>
      <c r="AJ128" t="inlineStr">
        <is>
          <t>goldenvalley.bank/credit-cards (Elan disclosure); card.myaccountaccess.com; FDIC cert 58278</t>
        </is>
      </c>
    </row>
    <row r="129">
      <c r="A129" t="inlineStr">
        <is>
          <t>128</t>
        </is>
      </c>
      <c r="B129" t="inlineStr">
        <is>
          <t>123</t>
        </is>
      </c>
      <c r="C129" s="12" t="inlineStr">
        <is>
          <t>First Foundation Bank</t>
        </is>
      </c>
      <c r="D129" s="8" t="inlineStr">
        <is>
          <t>Regional</t>
        </is>
      </c>
      <c r="E129" t="inlineStr">
        <is>
          <t>★ Core SoCal</t>
        </is>
      </c>
      <c r="F129" s="13" t="inlineStr">
        <is>
          <t>2/4  ✗SUW ✗Onl ✓SoCal ✓Card</t>
        </is>
      </c>
      <c r="G129" t="inlineStr">
        <is>
          <t>N/M</t>
        </is>
      </c>
      <c r="H129" t="inlineStr">
        <is>
          <t>N/M</t>
        </is>
      </c>
      <c r="I129" t="inlineStr"/>
      <c r="J129" t="inlineStr">
        <is>
          <t>E — Elan agent</t>
        </is>
      </c>
      <c r="K129" t="inlineStr">
        <is>
          <t>Elan platform: ~$3K–$10K start, to ~$20K strong files (~$500 seen at 800+ FICO)  [myFICO #6658960]</t>
        </is>
      </c>
      <c r="L129" t="inlineStr">
        <is>
          <t>N/M</t>
        </is>
      </c>
      <c r="M129" t="inlineStr">
        <is>
          <t>N/M</t>
        </is>
      </c>
      <c r="N129" t="inlineStr">
        <is>
          <t>~14 branches across all 4 SoCal counties (FDIC SOD 2025)</t>
        </is>
      </c>
      <c r="O129" t="inlineStr">
        <is>
          <t>N/M</t>
        </is>
      </c>
      <c r="P129" t="inlineStr">
        <is>
          <t>No</t>
        </is>
      </c>
      <c r="Q129" t="inlineStr">
        <is>
          <t>✅ 'a number of credit card options'; Visa/Amex serviced at myaccountaccess.com = Elan; MC portal 24-7cardaccess = N/M</t>
        </is>
      </c>
      <c r="R129" s="6" t="inlineStr">
        <is>
          <t>Elan (Visa/Amex; MC program N/M) — NOTE: now operating under Sunflower Bank, N.A. charter (FirstSun merger, in transition)</t>
        </is>
      </c>
      <c r="S129" t="inlineStr">
        <is>
          <t>In-person</t>
        </is>
      </c>
      <c r="T129" t="inlineStr">
        <is>
          <t>Visit branch / contact a banker (no online application)</t>
        </is>
      </c>
      <c r="U129" t="inlineStr">
        <is>
          <t>https://www.firstfoundationinc.com</t>
        </is>
      </c>
      <c r="V129" t="inlineStr">
        <is>
          <t>https://www.firstfoundationinc.com/business-banking/business-lending/business-credit-cards</t>
        </is>
      </c>
      <c r="W129" t="inlineStr">
        <is>
          <t>TransUnion (varies EX/EQ)</t>
        </is>
      </c>
      <c r="X129" t="inlineStr">
        <is>
          <t>D&amp;B; not personal in good standing</t>
        </is>
      </c>
      <c r="Y129" t="inlineStr">
        <is>
          <t>Elan servicing portal decoded; small-business lending 'up to $350,000'. Merger transition w/ Sunflower/FirstSun — program may consolidate. Light census 2026-06-10.</t>
        </is>
      </c>
      <c r="Z129" t="inlineStr">
        <is>
          <t>2</t>
        </is>
      </c>
      <c r="AA129" t="inlineStr">
        <is>
          <t>PG yes; no tax returns (&lt;$25K)</t>
        </is>
      </c>
      <c r="AB129" t="inlineStr">
        <is>
          <t>Small-business lending to $350K (docs N/M)</t>
        </is>
      </c>
      <c r="AC129" t="inlineStr">
        <is>
          <t>N/M</t>
        </is>
      </c>
      <c r="AD129" t="inlineStr">
        <is>
          <t>No-doc card — apply in branch (Elan)</t>
        </is>
      </c>
      <c r="AE129" t="inlineStr">
        <is>
          <t>Elan business cards (Visa/Amex) + Mastercard program (N/M)</t>
        </is>
      </c>
      <c r="AF129" t="inlineStr">
        <is>
          <t>SoCal / LA-OC-Riverside-SB (14 branches; TX-HQ'd)</t>
        </is>
      </c>
      <c r="AG129" t="inlineStr">
        <is>
          <t>Dallas, TX (CA roots: Irvine)</t>
        </is>
      </c>
      <c r="AH129" t="inlineStr">
        <is>
          <t>Reg</t>
        </is>
      </c>
      <c r="AI129" t="inlineStr">
        <is>
          <t>MED issuer=Elan (portal)/branch-apply; merger in flux. Light census 2026-06-10</t>
        </is>
      </c>
      <c r="AJ129" t="inlineStr">
        <is>
          <t>firstfoundationinc.com business-credit-cards + credit-card-login (myaccountaccess=Elan)</t>
        </is>
      </c>
    </row>
    <row r="130">
      <c r="A130" t="inlineStr">
        <is>
          <t>129</t>
        </is>
      </c>
      <c r="B130" t="inlineStr"/>
      <c r="C130" s="18" t="inlineStr">
        <is>
          <t>Israel Discount Bank of New York (IDB)</t>
        </is>
      </c>
      <c r="D130" s="8" t="inlineStr">
        <is>
          <t>Regional</t>
        </is>
      </c>
      <c r="E130" t="inlineStr">
        <is>
          <t>★ Core SoCal</t>
        </is>
      </c>
      <c r="F130" s="19" t="inlineStr">
        <is>
          <t>1/4  ✗SUW ✗Onl ✓SoCal ✗Card</t>
        </is>
      </c>
      <c r="G130" t="inlineStr">
        <is>
          <t>N/M</t>
        </is>
      </c>
      <c r="H130" t="inlineStr">
        <is>
          <t>N/M</t>
        </is>
      </c>
      <c r="I130" t="inlineStr"/>
      <c r="J130" t="inlineStr">
        <is>
          <t>Commercial-only</t>
        </is>
      </c>
      <c r="K130" t="inlineStr">
        <is>
          <t>—</t>
        </is>
      </c>
      <c r="L130" t="inlineStr">
        <is>
          <t>N/M</t>
        </is>
      </c>
      <c r="M130" t="inlineStr">
        <is>
          <t>N/M</t>
        </is>
      </c>
      <c r="N130" t="inlineStr">
        <is>
          <t>DTLA 888 S Figueroa (→707 Wilshire ~June 2026) + Beverly Hills</t>
        </is>
      </c>
      <c r="O130" t="inlineStr">
        <is>
          <t>N/M</t>
        </is>
      </c>
      <c r="P130" t="inlineStr">
        <is>
          <t>Unknown</t>
        </is>
      </c>
      <c r="Q130" t="inlineStr">
        <is>
          <t>⚠️ IDBCARD Visa Commercial (eZBusiness/FIS platform); relationship-based; terms N/M</t>
        </is>
      </c>
      <c r="R130" s="9" t="inlineStr">
        <is>
          <t>Unknown (FIS rails; issuer N/M; site blocks fetch)</t>
        </is>
      </c>
      <c r="S130" t="inlineStr">
        <is>
          <t>In-person</t>
        </is>
      </c>
      <c r="T130" t="inlineStr">
        <is>
          <t>Visit branch / contact a banker (no online application)</t>
        </is>
      </c>
      <c r="U130" t="inlineStr">
        <is>
          <t>https://www.idbny.com</t>
        </is>
      </c>
      <c r="V130" t="inlineStr">
        <is>
          <t>—</t>
        </is>
      </c>
      <c r="W130" t="inlineStr">
        <is>
          <t>N/M</t>
        </is>
      </c>
      <c r="X130" t="inlineStr">
        <is>
          <t>N/M</t>
        </is>
      </c>
      <c r="Y130" t="inlineStr">
        <is>
          <t>Commercial card + secured/unsecured LOCs, relationship-underwritten. Light census 2026-06-10.</t>
        </is>
      </c>
      <c r="Z130" t="inlineStr">
        <is>
          <t>0</t>
        </is>
      </c>
      <c r="AA130" t="inlineStr">
        <is>
          <t>N/M</t>
        </is>
      </c>
      <c r="AB130" t="inlineStr">
        <is>
          <t>None published</t>
        </is>
      </c>
      <c r="AC130" t="inlineStr">
        <is>
          <t>Likely Yes (relationship)</t>
        </is>
      </c>
      <c r="AD130" t="inlineStr">
        <is>
          <t>Commercial / full underwriting</t>
        </is>
      </c>
      <c r="AE130" t="inlineStr">
        <is>
          <t>IDBCARD Visa Commercial Card</t>
        </is>
      </c>
      <c r="AF130" t="inlineStr">
        <is>
          <t>SoCal / LA (2 offices: DTLA + Beverly Hills; NY-HQ'd)</t>
        </is>
      </c>
      <c r="AG130" t="inlineStr">
        <is>
          <t>New York, NY</t>
        </is>
      </c>
      <c r="AH130" t="inlineStr">
        <is>
          <t>Reg</t>
        </is>
      </c>
      <c r="AI130" t="inlineStr">
        <is>
          <t>MED commercial-only/relationship; N/M everything else. Light census 2026-06-10</t>
        </is>
      </c>
      <c r="AJ130" t="inlineStr">
        <is>
          <t>idbny.com/business/lending/products; bankbranchlocator.com</t>
        </is>
      </c>
    </row>
    <row r="131">
      <c r="A131" t="inlineStr">
        <is>
          <t>130</t>
        </is>
      </c>
      <c r="B131" t="inlineStr"/>
      <c r="C131" s="18" t="inlineStr">
        <is>
          <t>HSBC Bank USA</t>
        </is>
      </c>
      <c r="D131" s="8" t="inlineStr">
        <is>
          <t>Regional</t>
        </is>
      </c>
      <c r="E131" t="inlineStr">
        <is>
          <t>★ Core SoCal</t>
        </is>
      </c>
      <c r="F131" s="19" t="inlineStr">
        <is>
          <t>1/4  ✗SUW ✗Onl ✓SoCal ✗Card</t>
        </is>
      </c>
      <c r="G131" s="9" t="inlineStr">
        <is>
          <t>Mixed DPs (DoC 2025-08-07)</t>
        </is>
      </c>
      <c r="H131" s="6" t="inlineStr">
        <is>
          <t>Yes — pulls, multiple DPs (DoC EWS list, acc. 2026-06-10)</t>
        </is>
      </c>
      <c r="I131" t="inlineStr"/>
      <c r="J131" t="inlineStr">
        <is>
          <t>Commercial-only</t>
        </is>
      </c>
      <c r="K131" t="inlineStr">
        <is>
          <t>—</t>
        </is>
      </c>
      <c r="L131" t="inlineStr">
        <is>
          <t>N/M</t>
        </is>
      </c>
      <c r="M131" t="inlineStr">
        <is>
          <t>N/M</t>
        </is>
      </c>
      <c r="N131" t="inlineStr">
        <is>
          <t>3 branches LA/OC (FDIC SOD 2025)</t>
        </is>
      </c>
      <c r="O131" t="inlineStr">
        <is>
          <t>N/M</t>
        </is>
      </c>
      <c r="P131" t="inlineStr">
        <is>
          <t>—</t>
        </is>
      </c>
      <c r="Q131" t="inlineStr">
        <is>
          <t>⚠️ Commercial-only (Corporate World Elite MC / VIP T&amp;E for CMB clients; targets $100M+ revenue); NO small-business cards in US</t>
        </is>
      </c>
      <c r="R131" s="7" t="inlineStr">
        <is>
          <t>Self (corporate programs)</t>
        </is>
      </c>
      <c r="S131" t="inlineStr">
        <is>
          <t>In-person</t>
        </is>
      </c>
      <c r="T131" t="inlineStr">
        <is>
          <t>Visit branch / contact a banker (no online application)</t>
        </is>
      </c>
      <c r="U131" t="inlineStr">
        <is>
          <t>https://www.us.hsbc.com</t>
        </is>
      </c>
      <c r="V131" t="inlineStr">
        <is>
          <t>—</t>
        </is>
      </c>
      <c r="W131" t="inlineStr">
        <is>
          <t>N/M</t>
        </is>
      </c>
      <c r="X131" t="inlineStr">
        <is>
          <t>N/M</t>
        </is>
      </c>
      <c r="Y131" t="inlineStr">
        <is>
          <t>No US SMB card (WalletHub 2026). Commercial revolving LOCs for large corporates. Light census 2026-06-10.</t>
        </is>
      </c>
      <c r="Z131" t="inlineStr">
        <is>
          <t>0</t>
        </is>
      </c>
      <c r="AA131" t="inlineStr">
        <is>
          <t>N/M</t>
        </is>
      </c>
      <c r="AB131" t="inlineStr">
        <is>
          <t>None</t>
        </is>
      </c>
      <c r="AC131" t="inlineStr">
        <is>
          <t>N/M</t>
        </is>
      </c>
      <c r="AD131" t="inlineStr">
        <is>
          <t>Commercial / full underwriting</t>
        </is>
      </c>
      <c r="AE131" t="inlineStr">
        <is>
          <t>Corporate World Elite MC; VIP T&amp;E (commercial clients only)</t>
        </is>
      </c>
      <c r="AF131" t="inlineStr">
        <is>
          <t>SoCal / LA-OC (3 branches; NY-HQ'd)</t>
        </is>
      </c>
      <c r="AG131" t="inlineStr">
        <is>
          <t>New York, NY</t>
        </is>
      </c>
      <c r="AH131" t="inlineStr">
        <is>
          <t>Reg</t>
        </is>
      </c>
      <c r="AI131" t="inlineStr">
        <is>
          <t>HIGH no-SMB-card; commercial-only. Light census 2026-06-10</t>
        </is>
      </c>
      <c r="AJ131" t="inlineStr">
        <is>
          <t>business.us.hsbc.com credit-and-lending + corporate-cards; wallethub.com 2026; DoC EWS list (pulls EWS)</t>
        </is>
      </c>
    </row>
    <row r="132">
      <c r="A132" t="inlineStr">
        <is>
          <t>131</t>
        </is>
      </c>
      <c r="B132" t="inlineStr">
        <is>
          <t>124</t>
        </is>
      </c>
      <c r="C132" s="12" t="inlineStr">
        <is>
          <t>First Federal S&amp;L of San Rafael</t>
        </is>
      </c>
      <c r="D132" s="15" t="inlineStr">
        <is>
          <t>CA Bank</t>
        </is>
      </c>
      <c r="E132" t="inlineStr">
        <is>
          <t>Other — NorCal</t>
        </is>
      </c>
      <c r="F132" s="13" t="inlineStr">
        <is>
          <t>2/4  ✗SUW ✓Onl ✗SoCal ✓Card</t>
        </is>
      </c>
      <c r="G132" t="inlineStr">
        <is>
          <t>N/M</t>
        </is>
      </c>
      <c r="H132" t="inlineStr">
        <is>
          <t>N/M</t>
        </is>
      </c>
      <c r="I132" t="inlineStr"/>
      <c r="J132" t="inlineStr">
        <is>
          <t>E — Elan agent</t>
        </is>
      </c>
      <c r="K132" t="inlineStr">
        <is>
          <t>Elan platform: ~$3K–$10K start, to ~$20K strong files (~$500 seen at 800+ FICO)  [myFICO #6658960]</t>
        </is>
      </c>
      <c r="L132" t="inlineStr">
        <is>
          <t>$0.22B</t>
        </is>
      </c>
      <c r="M132" t="inlineStr">
        <is>
          <t>$0.18B</t>
        </is>
      </c>
      <c r="N132" t="inlineStr">
        <is>
          <t>CA-only thrift; ~5 Bay Area branches (Marin/SF/Oakland); est 1963</t>
        </is>
      </c>
      <c r="O132" t="inlineStr">
        <is>
          <t>CA-HQ'd</t>
        </is>
      </c>
      <c r="P132" t="inlineStr">
        <is>
          <t>No</t>
        </is>
      </c>
      <c r="Q132" t="inlineStr">
        <is>
          <t>✅ Elan biz cards (personal + business referenced); terms N/M; servicing via myaccountaccess.com</t>
        </is>
      </c>
      <c r="R132" s="6" t="inlineStr">
        <is>
          <t>Elan</t>
        </is>
      </c>
      <c r="S132" t="inlineStr">
        <is>
          <t>Online</t>
        </is>
      </c>
      <c r="T132" t="inlineStr">
        <is>
          <t>Online — apply at https://ffsavings.com</t>
        </is>
      </c>
      <c r="U132" t="inlineStr">
        <is>
          <t>https://ffsavings.com</t>
        </is>
      </c>
      <c r="V132" t="inlineStr">
        <is>
          <t>—</t>
        </is>
      </c>
      <c r="W132" t="inlineStr">
        <is>
          <t>TransUnion (varies EX/EQ)</t>
        </is>
      </c>
      <c r="X132" t="inlineStr">
        <is>
          <t>D&amp;B; not personal in good standing</t>
        </is>
      </c>
      <c r="Y132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Bank card pages 403 to fetch; issuer=Elan inferred from myaccountaccess.com portal.</t>
        </is>
      </c>
      <c r="Z132" t="inlineStr">
        <is>
          <t>3</t>
        </is>
      </c>
      <c r="AA132" t="inlineStr">
        <is>
          <t>PG yes; no tax returns (&lt;$25K)</t>
        </is>
      </c>
      <c r="AB132" t="inlineStr">
        <is>
          <t>None (residential/CRE/multifamily/small-business full-doc thrift)</t>
        </is>
      </c>
      <c r="AC132" t="inlineStr">
        <is>
          <t>N/M</t>
        </is>
      </c>
      <c r="AD132" t="inlineStr">
        <is>
          <t>No-doc card — apply online (Elan)</t>
        </is>
      </c>
      <c r="AE132" t="inlineStr">
        <is>
          <t>Elan business Visa (names N/M; myaccountaccess.com servicing confirms Elan)</t>
        </is>
      </c>
      <c r="AF132" t="inlineStr">
        <is>
          <t>NorCal / SF (Marin)</t>
        </is>
      </c>
      <c r="AG132" t="inlineStr">
        <is>
          <t>San Rafael</t>
        </is>
      </c>
      <c r="AH132" t="inlineStr">
        <is>
          <t>103</t>
        </is>
      </c>
      <c r="AI132" t="inlineStr">
        <is>
          <t>MED-HIGH issuer=Elan (myaccountaccess.com tell)/biz-card-referenced; bank pages 403, terms N/M. 2026-05-29</t>
        </is>
      </c>
      <c r="AJ132" t="inlineStr">
        <is>
          <t>ffsavings.com (home: personal+business cards, myaccountaccess.com); FDIC cert 31406</t>
        </is>
      </c>
    </row>
    <row r="133">
      <c r="A133" t="inlineStr">
        <is>
          <t>132</t>
        </is>
      </c>
      <c r="B133" t="inlineStr"/>
      <c r="C133" s="18" t="inlineStr">
        <is>
          <t>East West Bank</t>
        </is>
      </c>
      <c r="D133" s="15" t="inlineStr">
        <is>
          <t>CA Bank</t>
        </is>
      </c>
      <c r="E133" t="inlineStr">
        <is>
          <t>★ Core SoCal</t>
        </is>
      </c>
      <c r="F133" s="19" t="inlineStr">
        <is>
          <t>1/4  ✗SUW ✗Onl ✓SoCal ✗Card</t>
        </is>
      </c>
      <c r="G133" t="inlineStr">
        <is>
          <t>N/M</t>
        </is>
      </c>
      <c r="H133" t="inlineStr">
        <is>
          <t>N/M</t>
        </is>
      </c>
      <c r="I133" t="inlineStr"/>
      <c r="J133" t="inlineStr">
        <is>
          <t>Commercial-only</t>
        </is>
      </c>
      <c r="K133" t="inlineStr">
        <is>
          <t>—</t>
        </is>
      </c>
      <c r="L133" t="inlineStr">
        <is>
          <t>$82.47B</t>
        </is>
      </c>
      <c r="M133" t="inlineStr">
        <is>
          <t>$69.09B</t>
        </is>
      </c>
      <c r="N133" t="inlineStr">
        <is>
          <t>~70 branches/43 CA cities; SGV + SF Bay heavy</t>
        </is>
      </c>
      <c r="O133" t="inlineStr">
        <is>
          <t>CA-HQ'd</t>
        </is>
      </c>
      <c r="P133" t="inlineStr">
        <is>
          <t>No</t>
        </is>
      </c>
      <c r="Q133" t="inlineStr">
        <is>
          <t>⚠️ Commercial only — One Card (corporate); terms N/M; no online apply</t>
        </is>
      </c>
      <c r="R133" s="6" t="inlineStr">
        <is>
          <t>Elan</t>
        </is>
      </c>
      <c r="S133" t="inlineStr">
        <is>
          <t>In-person</t>
        </is>
      </c>
      <c r="T133" t="inlineStr">
        <is>
          <t>Visit branch / contact a banker (no online application)</t>
        </is>
      </c>
      <c r="U133" t="inlineStr">
        <is>
          <t>https://www.eastwestbank.com</t>
        </is>
      </c>
      <c r="V133" t="inlineStr">
        <is>
          <t>https://www.eastwestbank.com/en/small-mid-size-businesses/disbursements-and-payments#corporate-card</t>
        </is>
      </c>
      <c r="W133" t="inlineStr">
        <is>
          <t>TransUnion (varies EX/EQ)</t>
        </is>
      </c>
      <c r="X133" t="inlineStr">
        <is>
          <t>D&amp;B; not personal in good standing</t>
        </is>
      </c>
      <c r="Y133" t="inlineStr">
        <is>
          <t>N/M East West-specific; Elan issuer-level only</t>
        </is>
      </c>
      <c r="Z133" t="inlineStr">
        <is>
          <t>0</t>
        </is>
      </c>
      <c r="AA133" t="inlineStr">
        <is>
          <t>PG yes (Elan); full commercial underwriting</t>
        </is>
      </c>
      <c r="AB133" t="inlineStr">
        <is>
          <t>None (commercial LOC/term/SBA 'subject to review')</t>
        </is>
      </c>
      <c r="AC133" t="inlineStr">
        <is>
          <t>N/M</t>
        </is>
      </c>
      <c r="AD133" t="inlineStr">
        <is>
          <t>Commercial / full underwriting (Elan)</t>
        </is>
      </c>
      <c r="AE133" t="inlineStr">
        <is>
          <t>East West Bank One Card (corporate T&amp;E/purchasing)</t>
        </is>
      </c>
      <c r="AF133" t="inlineStr">
        <is>
          <t>SoCal / LA</t>
        </is>
      </c>
      <c r="AG133" t="inlineStr">
        <is>
          <t>Pasadena</t>
        </is>
      </c>
      <c r="AH133" t="inlineStr">
        <is>
          <t>2</t>
        </is>
      </c>
      <c r="AI133" t="inlineStr">
        <is>
          <t>MED-HIGH product/issuer/no-online; LOW terms/HP. 2026-05-28</t>
        </is>
      </c>
      <c r="AJ133" t="inlineStr">
        <is>
          <t>eastwestbank.com corporate-card page (Elan disclosure); wallethub.com</t>
        </is>
      </c>
    </row>
    <row r="134">
      <c r="A134" t="inlineStr">
        <is>
          <t>133</t>
        </is>
      </c>
      <c r="B134" t="inlineStr"/>
      <c r="C134" s="18" t="inlineStr">
        <is>
          <t>Oak Valley Community Bank</t>
        </is>
      </c>
      <c r="D134" s="15" t="inlineStr">
        <is>
          <t>CA Bank</t>
        </is>
      </c>
      <c r="E134" t="inlineStr">
        <is>
          <t>Other — Central Valley</t>
        </is>
      </c>
      <c r="F134" s="19" t="inlineStr">
        <is>
          <t>0/4  ✗SUW ✗Onl ✗SoCal ✗Card</t>
        </is>
      </c>
      <c r="G134" t="inlineStr">
        <is>
          <t>N/M</t>
        </is>
      </c>
      <c r="H134" t="inlineStr">
        <is>
          <t>N/M</t>
        </is>
      </c>
      <c r="I134" t="inlineStr"/>
      <c r="J134" t="inlineStr">
        <is>
          <t>Commercial-only</t>
        </is>
      </c>
      <c r="K134" t="inlineStr">
        <is>
          <t>—</t>
        </is>
      </c>
      <c r="L134" t="inlineStr">
        <is>
          <t>$2.01B</t>
        </is>
      </c>
      <c r="M134" t="inlineStr">
        <is>
          <t>$1.78B</t>
        </is>
      </c>
      <c r="N134" t="inlineStr">
        <is>
          <t>Central Valley (Modesto, Oakdale, Stockton) + Eastern Sierra division</t>
        </is>
      </c>
      <c r="O134" t="inlineStr">
        <is>
          <t>CA-HQ'd</t>
        </is>
      </c>
      <c r="P134" t="inlineStr">
        <is>
          <t>No</t>
        </is>
      </c>
      <c r="Q134" t="inlineStr">
        <is>
          <t>⚠️ TCM white-label; terms N/M; existing-cardholders only</t>
        </is>
      </c>
      <c r="R134" s="20" t="inlineStr">
        <is>
          <t>TCM Bank, N.A.</t>
        </is>
      </c>
      <c r="S134" t="inlineStr">
        <is>
          <t>In-person</t>
        </is>
      </c>
      <c r="T134" t="inlineStr">
        <is>
          <t>Visit branch / contact a banker (no online application)</t>
        </is>
      </c>
      <c r="U134" t="inlineStr">
        <is>
          <t>https://www.ovcb.com</t>
        </is>
      </c>
      <c r="V134" t="inlineStr">
        <is>
          <t>https://www.ovcb.com/commercial/loans/credit-cards/</t>
        </is>
      </c>
      <c r="W134" t="inlineStr">
        <is>
          <t>Experian</t>
        </is>
      </c>
      <c r="X134" t="inlineStr">
        <is>
          <t>N/M</t>
        </is>
      </c>
      <c r="Y134" t="inlineStr">
        <is>
          <t>TCM: Experian pull (apps + CLIs); conservative; partner bank no underwriting say. myfico.com #6303273</t>
        </is>
      </c>
      <c r="Z134" t="inlineStr">
        <is>
          <t>0</t>
        </is>
      </c>
      <c r="AA134" t="inlineStr">
        <is>
          <t>N/M (SBA-eligible small-biz cards; personal-credit underwritten)</t>
        </is>
      </c>
      <c r="AB134" t="inlineStr">
        <is>
          <t>N/M (LOC/equipment/SBA + $25K-$150K loans documentation-based)</t>
        </is>
      </c>
      <c r="AC134" t="inlineStr">
        <is>
          <t>N/M</t>
        </is>
      </c>
      <c r="AD134" t="inlineStr">
        <is>
          <t>Commercial / full underwriting</t>
        </is>
      </c>
      <c r="AE134" t="inlineStr">
        <is>
          <t>TCM business suite (Rewards/Cash Rewards/Edition/Company/Purchasing)</t>
        </is>
      </c>
      <c r="AF134" t="inlineStr">
        <is>
          <t>Central Valley / Eastern Sierra</t>
        </is>
      </c>
      <c r="AG134" t="inlineStr">
        <is>
          <t>Oakdale</t>
        </is>
      </c>
      <c r="AH134" t="inlineStr">
        <is>
          <t>42</t>
        </is>
      </c>
      <c r="AI134" t="inlineStr">
        <is>
          <t>MED-HIGH issuer (TCM); LOW/N-M terms, apply, HP forum-only, reports. Low no-doc utility. 2026-05-28</t>
        </is>
      </c>
      <c r="AJ134" t="inlineStr">
        <is>
          <t>ovcb.com/commercial/loans/credit-cards; tcmbank.com/cardholder-services; myfico.com #6303273</t>
        </is>
      </c>
    </row>
    <row r="135">
      <c r="A135" t="inlineStr">
        <is>
          <t>134</t>
        </is>
      </c>
      <c r="B135" t="inlineStr">
        <is>
          <t>125</t>
        </is>
      </c>
      <c r="C135" s="12" t="inlineStr">
        <is>
          <t>Bank of San Francisco</t>
        </is>
      </c>
      <c r="D135" s="15" t="inlineStr">
        <is>
          <t>CA Bank</t>
        </is>
      </c>
      <c r="E135" t="inlineStr">
        <is>
          <t>Other — NorCal</t>
        </is>
      </c>
      <c r="F135" s="13" t="inlineStr">
        <is>
          <t>1/4  ✗SUW ✗Onl ✗SoCal ✓Card</t>
        </is>
      </c>
      <c r="G135" t="inlineStr">
        <is>
          <t>N/M</t>
        </is>
      </c>
      <c r="H135" t="inlineStr">
        <is>
          <t>N/M</t>
        </is>
      </c>
      <c r="I135" t="inlineStr"/>
      <c r="J135" t="inlineStr">
        <is>
          <t>E — Elan agent</t>
        </is>
      </c>
      <c r="K135" t="inlineStr">
        <is>
          <t>Elan platform: ~$3K–$10K start, to ~$20K strong files (~$500 seen at 800+ FICO)  [myFICO #6658960]</t>
        </is>
      </c>
      <c r="L135" t="inlineStr">
        <is>
          <t>$0.77B</t>
        </is>
      </c>
      <c r="M135" t="inlineStr">
        <is>
          <t>N/M</t>
        </is>
      </c>
      <c r="N135" t="inlineStr">
        <is>
          <t>1-2 SF offices (Laurel Village); est 2005. NOTE: call-report assets ~$612M (Q1'25) — FDIC list shows $0.77B; flagged</t>
        </is>
      </c>
      <c r="O135" t="inlineStr">
        <is>
          <t>CA-HQ'd</t>
        </is>
      </c>
      <c r="P135" t="inlineStr">
        <is>
          <t>No</t>
        </is>
      </c>
      <c r="Q135" t="inlineStr">
        <is>
          <t>✅ Elan biz cards; terms N/M; no public apply (servicing login only)</t>
        </is>
      </c>
      <c r="R135" s="6" t="inlineStr">
        <is>
          <t>Elan</t>
        </is>
      </c>
      <c r="S135" t="inlineStr">
        <is>
          <t>In-person</t>
        </is>
      </c>
      <c r="T135" t="inlineStr">
        <is>
          <t>Visit branch / contact a banker (no online application)</t>
        </is>
      </c>
      <c r="U135" t="inlineStr">
        <is>
          <t>https://www.bankbsf.com</t>
        </is>
      </c>
      <c r="V135" t="inlineStr">
        <is>
          <t>—</t>
        </is>
      </c>
      <c r="W135" t="inlineStr">
        <is>
          <t>TransUnion (varies EX/EQ)</t>
        </is>
      </c>
      <c r="X135" t="inlineStr">
        <is>
          <t>D&amp;B; not personal in good standing</t>
        </is>
      </c>
      <c r="Y135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No BSF-specific apply page indexed; banker-initiated.</t>
        </is>
      </c>
      <c r="Z135" t="inlineStr">
        <is>
          <t>2</t>
        </is>
      </c>
      <c r="AA135" t="inlineStr">
        <is>
          <t>PG yes; no tax returns (&lt;$25K)</t>
        </is>
      </c>
      <c r="AB135" t="inlineStr">
        <is>
          <t>None (CRE/working-capital/equipment/acquisition/SBA full-doc)</t>
        </is>
      </c>
      <c r="AC135" t="inlineStr">
        <is>
          <t>N/M</t>
        </is>
      </c>
      <c r="AD135" t="inlineStr">
        <is>
          <t>No-doc card — apply in branch (Elan)</t>
        </is>
      </c>
      <c r="AE135" t="inlineStr">
        <is>
          <t>Elan business Visa (names N/M; myaccountaccess.com login confirms Elan)</t>
        </is>
      </c>
      <c r="AF135" t="inlineStr">
        <is>
          <t>NorCal / SF</t>
        </is>
      </c>
      <c r="AG135" t="inlineStr">
        <is>
          <t>San Francisco</t>
        </is>
      </c>
      <c r="AH135" t="inlineStr">
        <is>
          <t>72</t>
        </is>
      </c>
      <c r="AI135" t="inlineStr">
        <is>
          <t>HIGH issuer=Elan (myaccountaccess.com login tell); no public apply/terms; asset figure flagged. 2026-05-29</t>
        </is>
      </c>
      <c r="AJ135" t="inlineStr">
        <is>
          <t>bankbsf.com (business, login→myaccountaccess.com=Elan); FDIC cert 58069</t>
        </is>
      </c>
    </row>
    <row r="136">
      <c r="A136" t="inlineStr">
        <is>
          <t>135</t>
        </is>
      </c>
      <c r="B136" t="inlineStr"/>
      <c r="C136" s="18" t="inlineStr">
        <is>
          <t>The Northern Trust Company</t>
        </is>
      </c>
      <c r="D136" s="8" t="inlineStr">
        <is>
          <t>Regional</t>
        </is>
      </c>
      <c r="E136" t="inlineStr">
        <is>
          <t>National (lends in CA)</t>
        </is>
      </c>
      <c r="F136" s="19" t="inlineStr">
        <is>
          <t>0/4  ✗SUW ✗Onl ✗SoCal ✗Card</t>
        </is>
      </c>
      <c r="G136" t="inlineStr">
        <is>
          <t>N/M</t>
        </is>
      </c>
      <c r="H136" t="inlineStr">
        <is>
          <t>N/M</t>
        </is>
      </c>
      <c r="I136" t="inlineStr"/>
      <c r="J136" t="inlineStr">
        <is>
          <t>Commercial-only</t>
        </is>
      </c>
      <c r="K136" t="inlineStr">
        <is>
          <t>—</t>
        </is>
      </c>
      <c r="L136" t="inlineStr">
        <is>
          <t>N/M</t>
        </is>
      </c>
      <c r="M136" t="inlineStr">
        <is>
          <t>N/M</t>
        </is>
      </c>
      <c r="N136" t="inlineStr">
        <is>
          <t>3 LA/OC offices (FDIC SOD 2025); wealth/custody</t>
        </is>
      </c>
      <c r="O136" t="inlineStr">
        <is>
          <t>N/M</t>
        </is>
      </c>
      <c r="P136" t="inlineStr">
        <is>
          <t>No</t>
        </is>
      </c>
      <c r="Q136" t="inlineStr">
        <is>
          <t>⚠️ Private-bank clients only — Elan-issued (myFICO 2015-10-09: 'offered... by Elan Financial Services'); ~$2M relationship cited</t>
        </is>
      </c>
      <c r="R136" s="6" t="inlineStr">
        <is>
          <t>Elan (private-bank wrapper)</t>
        </is>
      </c>
      <c r="S136" t="inlineStr">
        <is>
          <t>In-person</t>
        </is>
      </c>
      <c r="T136" t="inlineStr">
        <is>
          <t>Visit branch / contact a banker (no online application)</t>
        </is>
      </c>
      <c r="U136" t="inlineStr">
        <is>
          <t>https://www.northerntrust.com</t>
        </is>
      </c>
      <c r="V136" t="inlineStr">
        <is>
          <t>—</t>
        </is>
      </c>
      <c r="W136" t="inlineStr">
        <is>
          <t>TransUnion (varies EX/EQ)</t>
        </is>
      </c>
      <c r="X136" t="inlineStr">
        <is>
          <t>D&amp;B; not personal in good standing</t>
        </is>
      </c>
      <c r="Y136" t="inlineStr">
        <is>
          <t>$2M+ relationship gate (myFICO 2015 DP, dated). NO-GO for no-doc play. Light census 2026-06-10.</t>
        </is>
      </c>
      <c r="Z136" t="inlineStr">
        <is>
          <t>0</t>
        </is>
      </c>
      <c r="AA136" t="inlineStr">
        <is>
          <t>N/M</t>
        </is>
      </c>
      <c r="AB136" t="inlineStr">
        <is>
          <t>None</t>
        </is>
      </c>
      <c r="AC136" t="inlineStr">
        <is>
          <t>YES — wealth relationship</t>
        </is>
      </c>
      <c r="AD136" t="inlineStr">
        <is>
          <t>Commercial / full underwriting (Elan)</t>
        </is>
      </c>
      <c r="AE136" t="inlineStr">
        <is>
          <t>NT-branded Visa Signature etc. (Elan, clients only)</t>
        </is>
      </c>
      <c r="AF136" t="inlineStr">
        <is>
          <t>National — LA/OC private-bank offices (no retail)</t>
        </is>
      </c>
      <c r="AG136" t="inlineStr">
        <is>
          <t>Chicago, IL</t>
        </is>
      </c>
      <c r="AH136" t="inlineStr">
        <is>
          <t>Reg</t>
        </is>
      </c>
      <c r="AI136" t="inlineStr">
        <is>
          <t>MED-HIGH Elan/client-gate (dated DP). Light census 2026-06-10</t>
        </is>
      </c>
      <c r="AJ136" t="inlineStr">
        <is>
          <t>northerntrust.com; ficoforums.myfico.com td-p/4269915 (2015-10-09)</t>
        </is>
      </c>
    </row>
    <row r="137">
      <c r="A137" t="inlineStr">
        <is>
          <t>136</t>
        </is>
      </c>
      <c r="B137" t="inlineStr">
        <is>
          <t>126</t>
        </is>
      </c>
      <c r="C137" s="12" t="inlineStr">
        <is>
          <t>First Western Trust Bank</t>
        </is>
      </c>
      <c r="D137" s="8" t="inlineStr">
        <is>
          <t>Regional</t>
        </is>
      </c>
      <c r="E137" t="inlineStr">
        <is>
          <t>Other — Mountain West — Denver (LA office = wealth-only, NO banking)</t>
        </is>
      </c>
      <c r="F137" s="13" t="inlineStr">
        <is>
          <t>1/4  ✗SUW ✗Onl ✗SoCal ✓Card</t>
        </is>
      </c>
      <c r="G137" s="9" t="inlineStr">
        <is>
          <t>N/M (HNW manual onboarding; no DPs)</t>
        </is>
      </c>
      <c r="H137" t="inlineStr">
        <is>
          <t>N/M</t>
        </is>
      </c>
      <c r="I137" s="3" t="inlineStr">
        <is>
          <t>EQ #4 (mentor — uncorroborated; Elan agent + $250K gate = NO-GO)</t>
        </is>
      </c>
      <c r="J137" t="inlineStr">
        <is>
          <t>E — Elan agent</t>
        </is>
      </c>
      <c r="K137" t="inlineStr">
        <is>
          <t>Elan platform: ~$3K–$10K start, to ~$20K strong files (~$500 seen at 800+ FICO)  [myFICO #6658960]</t>
        </is>
      </c>
      <c r="L137" t="inlineStr">
        <is>
          <t>$3.24B</t>
        </is>
      </c>
      <c r="M137" t="inlineStr">
        <is>
          <t>$2.85B</t>
        </is>
      </c>
      <c r="N137" t="inlineStr">
        <is>
          <t>15 offices CO/AZ/WY/MT + 1 CA (Century City — 'Trust and Wealth Management only. No banking services.'; FDIC SOD: $0 deposits)</t>
        </is>
      </c>
      <c r="O137" t="inlineStr">
        <is>
          <t>N/M</t>
        </is>
      </c>
      <c r="P137" t="inlineStr">
        <is>
          <t>No</t>
        </is>
      </c>
      <c r="Q137" t="inlineStr">
        <is>
          <t>⚠️ Elan card via Treasury Mgmt; $250K private-bank deposit gate; terms N/M (Elan storefront 404s)</t>
        </is>
      </c>
      <c r="R137" s="6" t="inlineStr">
        <is>
          <t>Elan</t>
        </is>
      </c>
      <c r="S137" t="inlineStr">
        <is>
          <t>In-person</t>
        </is>
      </c>
      <c r="T137" t="inlineStr">
        <is>
          <t>Visit branch / contact a banker (no online application)</t>
        </is>
      </c>
      <c r="U137" t="inlineStr">
        <is>
          <t>https://myfw.com</t>
        </is>
      </c>
      <c r="V137" t="inlineStr">
        <is>
          <t>—</t>
        </is>
      </c>
      <c r="W137" t="inlineStr">
        <is>
          <t>N/M (mentor 'EQ' uncorroborated — zero public DPs; Elan regional logic governs)</t>
        </is>
      </c>
      <c r="X137" t="inlineStr">
        <is>
          <t>D&amp;B; not personal in good standing</t>
        </is>
      </c>
      <c r="Y137" t="inlineStr">
        <is>
          <t>Elan portal evidence: myaccountaccess.com theme=elan1 loc=17029. 'Become a client' = $250K deposit (myfw.com verbatim). ENTITY TRAP: 'First Western Bank &amp; Trust' (Minot ND) is a DIFFERENT Elan bank.</t>
        </is>
      </c>
      <c r="Z137" t="inlineStr">
        <is>
          <t>2</t>
        </is>
      </c>
      <c r="AA137" t="inlineStr">
        <is>
          <t>PG yes; no tax returns (&lt;$25K)</t>
        </is>
      </c>
      <c r="AB137" t="inlineStr">
        <is>
          <t>None (RM-mediated commercial; opposite of no-doc)</t>
        </is>
      </c>
      <c r="AC137" t="inlineStr">
        <is>
          <t>YES — $250K private-bank relationship gate</t>
        </is>
      </c>
      <c r="AD137" t="inlineStr">
        <is>
          <t>NO-GO: Elan + $250K private-bank gate (Elan)</t>
        </is>
      </c>
      <c r="AE137" t="inlineStr">
        <is>
          <t>First Western Credit Card (Elan); 'One Card' commercial program</t>
        </is>
      </c>
      <c r="AF137" t="inlineStr">
        <is>
          <t>Mountain West — Denver (LA office = wealth-only, NO banking)</t>
        </is>
      </c>
      <c r="AG137" t="inlineStr">
        <is>
          <t>Denver, CO</t>
        </is>
      </c>
      <c r="AH137" t="inlineStr">
        <is>
          <t>Reg</t>
        </is>
      </c>
      <c r="AI137" t="inlineStr">
        <is>
          <t>HIGH Elan (portal tells) + $250K gate + CA-wealth-only (all verbatim 2026-06-09). NO-GO for SoCal no-doc. 2026-06-09</t>
        </is>
      </c>
      <c r="AJ137" t="inlineStr">
        <is>
          <t>myfw.com/login (myaccountaccess theme=elan1) + /become-a-new-client ($250K) + /locations/century-city; api.fdic.gov SOD cert 57607 ($0 CA deposits)</t>
        </is>
      </c>
    </row>
    <row r="138">
      <c r="A138" t="inlineStr">
        <is>
          <t>137</t>
        </is>
      </c>
      <c r="B138" t="inlineStr"/>
      <c r="C138" s="22" t="inlineStr">
        <is>
          <t>Pacific Premier Bank</t>
        </is>
      </c>
      <c r="D138" s="8" t="inlineStr">
        <is>
          <t>Regional</t>
        </is>
      </c>
      <c r="E138" t="inlineStr">
        <is>
          <t>★ Core SoCal</t>
        </is>
      </c>
      <c r="F138" s="23" t="inlineStr">
        <is>
          <t>1/4  ✗SUW ✗Onl ✓SoCal ✗Card</t>
        </is>
      </c>
      <c r="G138" t="inlineStr">
        <is>
          <t>N/M</t>
        </is>
      </c>
      <c r="H138" t="inlineStr">
        <is>
          <t>N/M</t>
        </is>
      </c>
      <c r="I138" t="inlineStr"/>
      <c r="J138" t="inlineStr">
        <is>
          <t>No card</t>
        </is>
      </c>
      <c r="K138" t="inlineStr">
        <is>
          <t>—</t>
        </is>
      </c>
      <c r="L138" t="inlineStr">
        <is>
          <t>~$70B (Columbia combined)</t>
        </is>
      </c>
      <c r="M138" t="inlineStr">
        <is>
          <t>—</t>
        </is>
      </c>
      <c r="N138" t="inlineStr">
        <is>
          <t>HQ Irvine (OC); acquired by Columbia Banking System (closed Aug 31 2025), ~$70B combined; PPB brand retired</t>
        </is>
      </c>
      <c r="O138" t="inlineStr">
        <is>
          <t>N/M</t>
        </is>
      </c>
      <c r="P138" t="inlineStr">
        <is>
          <t>—</t>
        </is>
      </c>
      <c r="Q138" t="inlineStr">
        <is>
          <t>⚠️ DEFUNCT — brand retired Aug 2025 (acquired by Columbia Banking); legacy cards FNBO-issued; successor = Columbia Bank (Elan)</t>
        </is>
      </c>
      <c r="R138" s="9" t="inlineStr">
        <is>
          <t>(legacy FNBO; now Columbia / Elan)</t>
        </is>
      </c>
      <c r="S138" t="inlineStr">
        <is>
          <t>No</t>
        </is>
      </c>
      <c r="T138" t="inlineStr">
        <is>
          <t>— (no business card)</t>
        </is>
      </c>
      <c r="U138" t="inlineStr">
        <is>
          <t>https://www.columbiabank.com/ppbi</t>
        </is>
      </c>
      <c r="V138" t="inlineStr">
        <is>
          <t>—</t>
        </is>
      </c>
      <c r="W138" t="inlineStr">
        <is>
          <t>N/M</t>
        </is>
      </c>
      <c r="X138" t="inlineStr">
        <is>
          <t>N/M</t>
        </is>
      </c>
      <c r="Y138" t="inlineStr">
        <is>
          <t>Brand retired; customers migrated to Columbia Bank (Elan cards).</t>
        </is>
      </c>
      <c r="Z138" t="inlineStr">
        <is>
          <t>0</t>
        </is>
      </c>
      <c r="AA138" t="inlineStr">
        <is>
          <t>N/M</t>
        </is>
      </c>
      <c r="AB138" t="inlineStr">
        <is>
          <t>None</t>
        </is>
      </c>
      <c r="AC138" t="inlineStr">
        <is>
          <t>N/M</t>
        </is>
      </c>
      <c r="AD138" t="inlineStr">
        <is>
          <t>Not a card source</t>
        </is>
      </c>
      <c r="AE138" t="inlineStr">
        <is>
          <t>(legacy FNBO Business Edition Visa — now Columbia/Elan)</t>
        </is>
      </c>
      <c r="AF138" t="inlineStr">
        <is>
          <t>SoCal / Orange County (Irvine) — DEFUNCT</t>
        </is>
      </c>
      <c r="AG138" t="inlineStr">
        <is>
          <t>Irvine, CA</t>
        </is>
      </c>
      <c r="AH138" t="inlineStr">
        <is>
          <t>Reg</t>
        </is>
      </c>
      <c r="AI138" t="inlineStr">
        <is>
          <t>HIGH defunct (brand retired Aug 2025). Legacy=FNBO; successor=Columbia (Elan). Not a current target. 2026-05-28</t>
        </is>
      </c>
      <c r="AJ138" t="inlineStr">
        <is>
          <t>columbiabank.com/ppbi (transition); card.fnbo.com/mpp/fi/ppb/business/pb-visa (legacy, 404); prnewswire (merger close)</t>
        </is>
      </c>
    </row>
    <row r="139">
      <c r="A139" t="inlineStr">
        <is>
          <t>138</t>
        </is>
      </c>
      <c r="B139" t="inlineStr"/>
      <c r="C139" s="22" t="inlineStr">
        <is>
          <t>SchoolsFirst Federal Credit Union</t>
        </is>
      </c>
      <c r="D139" s="11" t="inlineStr">
        <is>
          <t>Credit Union</t>
        </is>
      </c>
      <c r="E139" t="inlineStr">
        <is>
          <t>★ Core SoCal</t>
        </is>
      </c>
      <c r="F139" s="23" t="inlineStr">
        <is>
          <t>1/4  ✗SUW ✗Onl ✓SoCal ✗Card</t>
        </is>
      </c>
      <c r="G139" t="inlineStr">
        <is>
          <t>N/M</t>
        </is>
      </c>
      <c r="H139" t="inlineStr">
        <is>
          <t>N/M</t>
        </is>
      </c>
      <c r="I139" t="inlineStr"/>
      <c r="J139" t="inlineStr">
        <is>
          <t>No card</t>
        </is>
      </c>
      <c r="K139" t="inlineStr">
        <is>
          <t>—</t>
        </is>
      </c>
      <c r="L139" t="inlineStr">
        <is>
          <t>~$31.9B</t>
        </is>
      </c>
      <c r="M139" t="inlineStr">
        <is>
          <t>—</t>
        </is>
      </c>
      <c r="N139" t="inlineStr">
        <is>
          <t>HQ Tustin (Orange County); educators-only FOM; ~70 branches; largest US educator CU</t>
        </is>
      </c>
      <c r="O139" t="inlineStr">
        <is>
          <t>CA-HQ'd</t>
        </is>
      </c>
      <c r="P139" t="inlineStr">
        <is>
          <t>—</t>
        </is>
      </c>
      <c r="Q139" t="inlineStr">
        <is>
          <t>❌ No business card (educator-only CU; consumer cards + no business banking)</t>
        </is>
      </c>
      <c r="R139" s="23" t="inlineStr">
        <is>
          <t>None</t>
        </is>
      </c>
      <c r="S139" t="inlineStr">
        <is>
          <t>No</t>
        </is>
      </c>
      <c r="T139" t="inlineStr">
        <is>
          <t>— (no business card)</t>
        </is>
      </c>
      <c r="U139" t="inlineStr">
        <is>
          <t>https://www.schoolsfirstfcu.org/products/credit-cards-personal-loans/credit-cards/</t>
        </is>
      </c>
      <c r="V139" t="inlineStr">
        <is>
          <t>—</t>
        </is>
      </c>
      <c r="W139" t="inlineStr">
        <is>
          <t>N/M</t>
        </is>
      </c>
      <c r="X139" t="inlineStr">
        <is>
          <t>N/M</t>
        </is>
      </c>
      <c r="Y139" t="inlineStr">
        <is>
          <t>N/M (no business card)</t>
        </is>
      </c>
      <c r="Z139" t="inlineStr">
        <is>
          <t>0</t>
        </is>
      </c>
      <c r="AA139" t="inlineStr">
        <is>
          <t>N/M</t>
        </is>
      </c>
      <c r="AB139" t="inlineStr">
        <is>
          <t>None (consumer-only; no business lending)</t>
        </is>
      </c>
      <c r="AC139" t="inlineStr">
        <is>
          <t>Membership = CA educators only (closed FOM; no open path)</t>
        </is>
      </c>
      <c r="AD139" t="inlineStr">
        <is>
          <t>Not a card source</t>
        </is>
      </c>
      <c r="AE139" t="inlineStr">
        <is>
          <t>None (consumer cards only)</t>
        </is>
      </c>
      <c r="AF139" t="inlineStr">
        <is>
          <t>SoCal / Orange County (Tustin/Santa Ana)</t>
        </is>
      </c>
      <c r="AG139" t="inlineStr">
        <is>
          <t>Tustin, CA</t>
        </is>
      </c>
      <c r="AH139" t="inlineStr">
        <is>
          <t>CU</t>
        </is>
      </c>
      <c r="AI139" t="inlineStr">
        <is>
          <t>HIGH no-business-card (educator consumer-only). 2026-05-28</t>
        </is>
      </c>
      <c r="AJ139" t="inlineStr">
        <is>
          <t>schoolsfirstfcu.org/products/credit-cards + eligibility; en.wikipedia.org</t>
        </is>
      </c>
    </row>
    <row r="140">
      <c r="A140" t="inlineStr">
        <is>
          <t>139</t>
        </is>
      </c>
      <c r="B140" t="inlineStr"/>
      <c r="C140" s="22" t="inlineStr">
        <is>
          <t>HomeStreet Bank</t>
        </is>
      </c>
      <c r="D140" s="8" t="inlineStr">
        <is>
          <t>Regional</t>
        </is>
      </c>
      <c r="E140" t="inlineStr">
        <is>
          <t>Other — West Coast — SoCal + WA</t>
        </is>
      </c>
      <c r="F140" s="23" t="inlineStr">
        <is>
          <t>0/4  ✗SUW ✗Onl ✗SoCal ✗Card</t>
        </is>
      </c>
      <c r="G140" t="inlineStr">
        <is>
          <t>N/M</t>
        </is>
      </c>
      <c r="H140" t="inlineStr">
        <is>
          <t>N/M</t>
        </is>
      </c>
      <c r="I140" t="inlineStr"/>
      <c r="J140" t="inlineStr">
        <is>
          <t>No card</t>
        </is>
      </c>
      <c r="K140" t="inlineStr">
        <is>
          <t>—</t>
        </is>
      </c>
      <c r="L140" t="inlineStr">
        <is>
          <t>~$23B (combined)</t>
        </is>
      </c>
      <c r="M140" t="inlineStr">
        <is>
          <t>—</t>
        </is>
      </c>
      <c r="N140" t="inlineStr">
        <is>
          <t>HomeStreet merged into Mechanics Bank Sept 2025; ex-HomeStreet had SoCal + WA/OR/HI branches; combined ~$22-23B</t>
        </is>
      </c>
      <c r="O140" t="inlineStr">
        <is>
          <t>N/M</t>
        </is>
      </c>
      <c r="P140" t="inlineStr">
        <is>
          <t>—</t>
        </is>
      </c>
      <c r="Q140" t="inlineStr">
        <is>
          <t>⚠️ MERGED into Mechanics Bank (Sept 2025); cards = Elan Smart Business Rewards (see Mechanics Bank row)</t>
        </is>
      </c>
      <c r="R140" s="6" t="inlineStr">
        <is>
          <t>Elan (now Mechanics Bank)</t>
        </is>
      </c>
      <c r="S140" t="inlineStr">
        <is>
          <t>No</t>
        </is>
      </c>
      <c r="T140" t="inlineStr">
        <is>
          <t>— (no business card)</t>
        </is>
      </c>
      <c r="U140" t="inlineStr">
        <is>
          <t>https://www.mymechanics.com/business/loans-credit/business-credit-cards/</t>
        </is>
      </c>
      <c r="V140" t="inlineStr">
        <is>
          <t>—</t>
        </is>
      </c>
      <c r="W140" t="inlineStr">
        <is>
          <t>N/M</t>
        </is>
      </c>
      <c r="X140" t="inlineStr">
        <is>
          <t>N/M</t>
        </is>
      </c>
      <c r="Y140" t="inlineStr">
        <is>
          <t>HomeStreet merged into Mechanics Bank; Elan-issued (duplicate of Mechanics).</t>
        </is>
      </c>
      <c r="Z140" t="inlineStr">
        <is>
          <t>0</t>
        </is>
      </c>
      <c r="AA140" t="inlineStr">
        <is>
          <t>N/M</t>
        </is>
      </c>
      <c r="AB140" t="inlineStr">
        <is>
          <t>None</t>
        </is>
      </c>
      <c r="AC140" t="inlineStr">
        <is>
          <t>N/M</t>
        </is>
      </c>
      <c r="AD140" t="inlineStr">
        <is>
          <t>Not a card source (Elan)</t>
        </is>
      </c>
      <c r="AE140" t="inlineStr">
        <is>
          <t>Smart Business Rewards (Elan; now Mechanics-branded — see rank for Mechanics Bank)</t>
        </is>
      </c>
      <c r="AF140" t="inlineStr">
        <is>
          <t>West Coast — SoCal + WA/OR/HI (now Mechanics Bank)</t>
        </is>
      </c>
      <c r="AG140" t="inlineStr">
        <is>
          <t>Seattle, WA (now Walnut Creek / Mechanics Bank)</t>
        </is>
      </c>
      <c r="AH140" t="inlineStr">
        <is>
          <t>Reg</t>
        </is>
      </c>
      <c r="AI140" t="inlineStr">
        <is>
          <t>HIGH merged into Mechanics Bank (Elan). Duplicate of Mechanics row. 2026-05-28</t>
        </is>
      </c>
      <c r="AJ140" t="inlineStr">
        <is>
          <t>mymechanics.com business credit cards (Elan disclosure); homestreet.com (redirects to mechanicsbank); ir.mechanicsbank.com (merger)</t>
        </is>
      </c>
    </row>
    <row r="141">
      <c r="A141" t="inlineStr">
        <is>
          <t>140</t>
        </is>
      </c>
      <c r="B141" t="inlineStr"/>
      <c r="C141" s="22" t="inlineStr">
        <is>
          <t>Golden 1 Credit Union</t>
        </is>
      </c>
      <c r="D141" s="11" t="inlineStr">
        <is>
          <t>Credit Union</t>
        </is>
      </c>
      <c r="E141" t="inlineStr">
        <is>
          <t>Other — NorCal</t>
        </is>
      </c>
      <c r="F141" s="23" t="inlineStr">
        <is>
          <t>0/4  ✗SUW ✗Onl ✗SoCal ✗Card</t>
        </is>
      </c>
      <c r="G141" t="inlineStr">
        <is>
          <t>N/M</t>
        </is>
      </c>
      <c r="H141" t="inlineStr">
        <is>
          <t>N/M</t>
        </is>
      </c>
      <c r="I141" t="inlineStr"/>
      <c r="J141" t="inlineStr">
        <is>
          <t>No card</t>
        </is>
      </c>
      <c r="K141" t="inlineStr">
        <is>
          <t>—</t>
        </is>
      </c>
      <c r="L141" t="inlineStr">
        <is>
          <t>~$21.08B (2nd-largest CA credit union)</t>
        </is>
      </c>
      <c r="M141" t="inlineStr">
        <is>
          <t>—</t>
        </is>
      </c>
      <c r="N141" t="inlineStr">
        <is>
          <t>CA-only; ~63-70 branches; open to all Californians</t>
        </is>
      </c>
      <c r="O141" t="inlineStr">
        <is>
          <t>CA-HQ'd</t>
        </is>
      </c>
      <c r="P141" t="inlineStr">
        <is>
          <t>—</t>
        </is>
      </c>
      <c r="Q141" t="inlineStr">
        <is>
          <t>❌ No business card (business services = deposit-only; personal cards prohibit business use)</t>
        </is>
      </c>
      <c r="R141" s="23" t="inlineStr">
        <is>
          <t>None (self-issues personal cards only)</t>
        </is>
      </c>
      <c r="S141" t="inlineStr">
        <is>
          <t>No</t>
        </is>
      </c>
      <c r="T141" t="inlineStr">
        <is>
          <t>— (no business card)</t>
        </is>
      </c>
      <c r="U141" t="inlineStr">
        <is>
          <t>https://www.golden1.com/business-services</t>
        </is>
      </c>
      <c r="V141" t="inlineStr">
        <is>
          <t>—</t>
        </is>
      </c>
      <c r="W141" t="inlineStr">
        <is>
          <t>N/M</t>
        </is>
      </c>
      <c r="X141" t="inlineStr">
        <is>
          <t>N/M</t>
        </is>
      </c>
      <c r="Y141" t="inlineStr">
        <is>
          <t>N/M (no business card)</t>
        </is>
      </c>
      <c r="Z141" t="inlineStr">
        <is>
          <t>0</t>
        </is>
      </c>
      <c r="AA141" t="inlineStr">
        <is>
          <t>N/M</t>
        </is>
      </c>
      <c r="AB141" t="inlineStr">
        <is>
          <t>None (business = deposit accounts + digital banking only)</t>
        </is>
      </c>
      <c r="AC141" t="inlineStr">
        <is>
          <t>Membership required (open to all CA residents, $1)</t>
        </is>
      </c>
      <c r="AD141" t="inlineStr">
        <is>
          <t>Not a card source</t>
        </is>
      </c>
      <c r="AE141" t="inlineStr">
        <is>
          <t>None (business = deposit accounts + digital banking only)</t>
        </is>
      </c>
      <c r="AF141" t="inlineStr">
        <is>
          <t>NorCal / Sacramento (CA-statewide CU)</t>
        </is>
      </c>
      <c r="AG141" t="inlineStr">
        <is>
          <t>Sacramento, CA</t>
        </is>
      </c>
      <c r="AH141" t="inlineStr">
        <is>
          <t>CU</t>
        </is>
      </c>
      <c r="AI141" t="inlineStr">
        <is>
          <t>HIGH no-business-card (own pages + consumer agreement bars business use). 2026-05-28</t>
        </is>
      </c>
      <c r="AJ141" t="inlineStr">
        <is>
          <t>golden1.com/business-services; CFPB Platinum Secured agreement (self; bars business use); wallethub.com</t>
        </is>
      </c>
    </row>
    <row r="142">
      <c r="A142" t="inlineStr">
        <is>
          <t>141</t>
        </is>
      </c>
      <c r="B142" t="inlineStr"/>
      <c r="C142" s="22" t="inlineStr">
        <is>
          <t>Bank of America California, N.A.</t>
        </is>
      </c>
      <c r="D142" s="15" t="inlineStr">
        <is>
          <t>CA Bank</t>
        </is>
      </c>
      <c r="E142" t="inlineStr">
        <is>
          <t>Other — NorCal</t>
        </is>
      </c>
      <c r="F142" s="23" t="inlineStr">
        <is>
          <t>0/4  ✗SUW ✗Onl ✗SoCal ✗Card</t>
        </is>
      </c>
      <c r="G142" t="inlineStr">
        <is>
          <t>N/M</t>
        </is>
      </c>
      <c r="H142" t="inlineStr">
        <is>
          <t>N/M</t>
        </is>
      </c>
      <c r="I142" t="inlineStr"/>
      <c r="J142" t="inlineStr">
        <is>
          <t>No card</t>
        </is>
      </c>
      <c r="K142" t="inlineStr">
        <is>
          <t>—</t>
        </is>
      </c>
      <c r="L142" t="inlineStr">
        <is>
          <t>$15.13B</t>
        </is>
      </c>
      <c r="M142" t="inlineStr">
        <is>
          <t>$12.64B</t>
        </is>
      </c>
      <c r="N142" t="inlineStr">
        <is>
          <t>Single office 555 California St; no branch network; no trust powers</t>
        </is>
      </c>
      <c r="O142" t="inlineStr">
        <is>
          <t>CA-HQ'd</t>
        </is>
      </c>
      <c r="P142" t="inlineStr">
        <is>
          <t>—</t>
        </is>
      </c>
      <c r="Q142" t="inlineStr">
        <is>
          <t>❌ No card (subsidiary shell; parent BofA issues)</t>
        </is>
      </c>
      <c r="R142" s="23" t="inlineStr">
        <is>
          <t>None (parent self-issues)</t>
        </is>
      </c>
      <c r="S142" t="inlineStr">
        <is>
          <t>No</t>
        </is>
      </c>
      <c r="T142" t="inlineStr">
        <is>
          <t>— (no business card)</t>
        </is>
      </c>
      <c r="U142" t="inlineStr">
        <is>
          <t>https://www.bankofamerica.com</t>
        </is>
      </c>
      <c r="V142" t="inlineStr">
        <is>
          <t>—</t>
        </is>
      </c>
      <c r="W142" t="inlineStr">
        <is>
          <t>N/M</t>
        </is>
      </c>
      <c r="X142" t="inlineStr">
        <is>
          <t>N/M</t>
        </is>
      </c>
      <c r="Y142" t="inlineStr">
        <is>
          <t>N/M (all BofA card chatter = parent, not cert 25178)</t>
        </is>
      </c>
      <c r="Z142" t="inlineStr">
        <is>
          <t>0</t>
        </is>
      </c>
      <c r="AA142" t="inlineStr">
        <is>
          <t>N/M</t>
        </is>
      </c>
      <c r="AB142" t="inlineStr">
        <is>
          <t>N/M (mortgage/community-development vehicle)</t>
        </is>
      </c>
      <c r="AC142" t="inlineStr">
        <is>
          <t>N/M</t>
        </is>
      </c>
      <c r="AD142" t="inlineStr">
        <is>
          <t>Not a card source</t>
        </is>
      </c>
      <c r="AE142" t="inlineStr">
        <is>
          <t>None (parent 'Bank of America, N.A.' issues Business Advantage cards)</t>
        </is>
      </c>
      <c r="AF142" t="inlineStr">
        <is>
          <t>NorCal / SF</t>
        </is>
      </c>
      <c r="AG142" t="inlineStr">
        <is>
          <t>San Francisco</t>
        </is>
      </c>
      <c r="AH142" t="inlineStr">
        <is>
          <t>9</t>
        </is>
      </c>
      <c r="AI142" t="inlineStr">
        <is>
          <t>HIGH no-card. Real BofA biz cards = parent (national issuer, capture separately). 2026-05-28</t>
        </is>
      </c>
      <c r="AJ142" t="inlineStr">
        <is>
          <t>FDIC cert 25178; CFPB (no agreement); investor.bankofamerica.com</t>
        </is>
      </c>
    </row>
    <row r="143">
      <c r="A143" t="inlineStr">
        <is>
          <t>142</t>
        </is>
      </c>
      <c r="B143" t="inlineStr"/>
      <c r="C143" s="22" t="inlineStr">
        <is>
          <t>Star One Credit Union</t>
        </is>
      </c>
      <c r="D143" s="11" t="inlineStr">
        <is>
          <t>Credit Union</t>
        </is>
      </c>
      <c r="E143" t="inlineStr">
        <is>
          <t>Other — NorCal</t>
        </is>
      </c>
      <c r="F143" s="23" t="inlineStr">
        <is>
          <t>0/4  ✗SUW ✗Onl ✗SoCal ✗Card</t>
        </is>
      </c>
      <c r="G143" t="inlineStr">
        <is>
          <t>N/M</t>
        </is>
      </c>
      <c r="H143" t="inlineStr">
        <is>
          <t>N/M</t>
        </is>
      </c>
      <c r="I143" t="inlineStr"/>
      <c r="J143" t="inlineStr">
        <is>
          <t>No card</t>
        </is>
      </c>
      <c r="K143" t="inlineStr">
        <is>
          <t>—</t>
        </is>
      </c>
      <c r="L143" t="inlineStr">
        <is>
          <t>~$9.5B</t>
        </is>
      </c>
      <c r="M143" t="inlineStr">
        <is>
          <t>—</t>
        </is>
      </c>
      <c r="N143" t="inlineStr">
        <is>
          <t>HQ Sunnyvale; consumer-only; sole-prop deposits only; ~10 Bay Area branches</t>
        </is>
      </c>
      <c r="O143" t="inlineStr">
        <is>
          <t>CA-HQ'd</t>
        </is>
      </c>
      <c r="P143" t="inlineStr">
        <is>
          <t>—</t>
        </is>
      </c>
      <c r="Q143" t="inlineStr">
        <is>
          <t>❌ No business card (consumer-only; sole-prop deposits only, no corp/LLC accounts)</t>
        </is>
      </c>
      <c r="R143" s="23" t="inlineStr">
        <is>
          <t>None (self-issues consumer cards)</t>
        </is>
      </c>
      <c r="S143" t="inlineStr">
        <is>
          <t>No</t>
        </is>
      </c>
      <c r="T143" t="inlineStr">
        <is>
          <t>— (no business card)</t>
        </is>
      </c>
      <c r="U143" t="inlineStr">
        <is>
          <t>https://www.starone.org/borrow/credit-cards</t>
        </is>
      </c>
      <c r="V143" t="inlineStr">
        <is>
          <t>—</t>
        </is>
      </c>
      <c r="W143" t="inlineStr">
        <is>
          <t>N/M</t>
        </is>
      </c>
      <c r="X143" t="inlineStr">
        <is>
          <t>N/M</t>
        </is>
      </c>
      <c r="Y143" t="inlineStr">
        <is>
          <t>N/M (no business card)</t>
        </is>
      </c>
      <c r="Z143" t="inlineStr">
        <is>
          <t>0</t>
        </is>
      </c>
      <c r="AA143" t="inlineStr">
        <is>
          <t>N/M</t>
        </is>
      </c>
      <c r="AB143" t="inlineStr">
        <is>
          <t>None (consumer-only; no business lending)</t>
        </is>
      </c>
      <c r="AC143" t="inlineStr">
        <is>
          <t>Membership required (9 NorCal counties + SEGs; no open path)</t>
        </is>
      </c>
      <c r="AD143" t="inlineStr">
        <is>
          <t>Not a card source</t>
        </is>
      </c>
      <c r="AE143" t="inlineStr">
        <is>
          <t>None (consumer Visa only)</t>
        </is>
      </c>
      <c r="AF143" t="inlineStr">
        <is>
          <t>NorCal / Silicon Valley (Sunnyvale)</t>
        </is>
      </c>
      <c r="AG143" t="inlineStr">
        <is>
          <t>Sunnyvale, CA</t>
        </is>
      </c>
      <c r="AH143" t="inlineStr">
        <is>
          <t>CU</t>
        </is>
      </c>
      <c r="AI143" t="inlineStr">
        <is>
          <t>HIGH no-business-card (consumer-only; excludes corp/LLC). 2026-05-28</t>
        </is>
      </c>
      <c r="AJ143" t="inlineStr">
        <is>
          <t>starone.org/borrow/credit-cards + who-can-join + sole-prop membership</t>
        </is>
      </c>
    </row>
    <row r="144">
      <c r="A144" t="inlineStr">
        <is>
          <t>143</t>
        </is>
      </c>
      <c r="B144" t="inlineStr"/>
      <c r="C144" s="22" t="inlineStr">
        <is>
          <t>First American Trust, FSB</t>
        </is>
      </c>
      <c r="D144" s="15" t="inlineStr">
        <is>
          <t>CA Bank</t>
        </is>
      </c>
      <c r="E144" t="inlineStr">
        <is>
          <t>★ Core SoCal</t>
        </is>
      </c>
      <c r="F144" s="23" t="inlineStr">
        <is>
          <t>1/4  ✗SUW ✗Onl ✓SoCal ✗Card</t>
        </is>
      </c>
      <c r="G144" t="inlineStr">
        <is>
          <t>N/M</t>
        </is>
      </c>
      <c r="H144" t="inlineStr">
        <is>
          <t>N/M</t>
        </is>
      </c>
      <c r="I144" t="inlineStr"/>
      <c r="J144" t="inlineStr">
        <is>
          <t>No card</t>
        </is>
      </c>
      <c r="K144" t="inlineStr">
        <is>
          <t>—</t>
        </is>
      </c>
      <c r="L144" t="inlineStr">
        <is>
          <t>$8.32B</t>
        </is>
      </c>
      <c r="M144" t="inlineStr">
        <is>
          <t>$7.80B</t>
        </is>
      </c>
      <c r="N144" t="inlineStr">
        <is>
          <t>Santa Ana HQ (sole CA); trust/escrow/wealth; 10 branches nationwide</t>
        </is>
      </c>
      <c r="O144" t="inlineStr">
        <is>
          <t>CA-HQ'd</t>
        </is>
      </c>
      <c r="P144" t="inlineStr">
        <is>
          <t>—</t>
        </is>
      </c>
      <c r="Q144" t="inlineStr">
        <is>
          <t>❌ No card (trust/escrow bank)</t>
        </is>
      </c>
      <c r="R144" s="23" t="inlineStr">
        <is>
          <t>None</t>
        </is>
      </c>
      <c r="S144" t="inlineStr">
        <is>
          <t>No</t>
        </is>
      </c>
      <c r="T144" t="inlineStr">
        <is>
          <t>— (no business card)</t>
        </is>
      </c>
      <c r="U144" t="inlineStr">
        <is>
          <t>https://www.firstamtrust.com</t>
        </is>
      </c>
      <c r="V144" t="inlineStr">
        <is>
          <t>—</t>
        </is>
      </c>
      <c r="W144" t="inlineStr">
        <is>
          <t>N/M</t>
        </is>
      </c>
      <c r="X144" t="inlineStr">
        <is>
          <t>N/M</t>
        </is>
      </c>
      <c r="Y144" t="inlineStr">
        <is>
          <t>N/M</t>
        </is>
      </c>
      <c r="Z144" t="inlineStr">
        <is>
          <t>0</t>
        </is>
      </c>
      <c r="AA144" t="inlineStr">
        <is>
          <t>N/M</t>
        </is>
      </c>
      <c r="AB144" t="inlineStr">
        <is>
          <t>None ('does not originate any real estate, commercial, or personal loans')</t>
        </is>
      </c>
      <c r="AC144" t="inlineStr">
        <is>
          <t>N/M (deposits restricted to title/escrow/wealth)</t>
        </is>
      </c>
      <c r="AD144" t="inlineStr">
        <is>
          <t>Not a card source</t>
        </is>
      </c>
      <c r="AE144" t="inlineStr">
        <is>
          <t>None</t>
        </is>
      </c>
      <c r="AF144" t="inlineStr">
        <is>
          <t>SoCal / Orange County</t>
        </is>
      </c>
      <c r="AG144" t="inlineStr">
        <is>
          <t>Santa Ana</t>
        </is>
      </c>
      <c r="AH144" t="inlineStr">
        <is>
          <t>12</t>
        </is>
      </c>
      <c r="AI144" t="inlineStr">
        <is>
          <t>HIGH no-card (own 'no loans' statement). 2026-05-28</t>
        </is>
      </c>
      <c r="AJ144" t="inlineStr">
        <is>
          <t>firstamtrust.com/about-us + /banking-services; FDIC cert 26312</t>
        </is>
      </c>
    </row>
    <row r="145">
      <c r="A145" t="inlineStr">
        <is>
          <t>144</t>
        </is>
      </c>
      <c r="B145" t="inlineStr"/>
      <c r="C145" s="22" t="inlineStr">
        <is>
          <t>Mizrahi Tefahot Bank, Ltd. (UMTB USA)</t>
        </is>
      </c>
      <c r="D145" s="15" t="inlineStr">
        <is>
          <t>CA Bank</t>
        </is>
      </c>
      <c r="E145" t="inlineStr">
        <is>
          <t>★ Core SoCal</t>
        </is>
      </c>
      <c r="F145" s="23" t="inlineStr">
        <is>
          <t>1/4  ✗SUW ✗Onl ✓SoCal ✗Card</t>
        </is>
      </c>
      <c r="G145" t="inlineStr">
        <is>
          <t>N/M</t>
        </is>
      </c>
      <c r="H145" t="inlineStr">
        <is>
          <t>N/M</t>
        </is>
      </c>
      <c r="I145" t="inlineStr"/>
      <c r="J145" t="inlineStr">
        <is>
          <t>No card</t>
        </is>
      </c>
      <c r="K145" t="inlineStr">
        <is>
          <t>—</t>
        </is>
      </c>
      <c r="L145" t="inlineStr">
        <is>
          <t>$6.84B</t>
        </is>
      </c>
      <c r="M145" t="inlineStr">
        <is>
          <t>$4.38B</t>
        </is>
      </c>
      <c r="N145" t="inlineStr">
        <is>
          <t>Single LA office; insured US branch of Israeli bank; wholesale/commercial</t>
        </is>
      </c>
      <c r="O145" t="inlineStr">
        <is>
          <t>CA-HQ'd</t>
        </is>
      </c>
      <c r="P145" t="inlineStr">
        <is>
          <t>—</t>
        </is>
      </c>
      <c r="Q145" t="inlineStr">
        <is>
          <t>❌ No card (foreign-bank US branch)</t>
        </is>
      </c>
      <c r="R145" s="23" t="inlineStr">
        <is>
          <t>None</t>
        </is>
      </c>
      <c r="S145" t="inlineStr">
        <is>
          <t>No</t>
        </is>
      </c>
      <c r="T145" t="inlineStr">
        <is>
          <t>— (no business card)</t>
        </is>
      </c>
      <c r="U145" t="inlineStr">
        <is>
          <t>https://www.umtbusa.com</t>
        </is>
      </c>
      <c r="V145" t="inlineStr">
        <is>
          <t>—</t>
        </is>
      </c>
      <c r="W145" t="inlineStr">
        <is>
          <t>N/M</t>
        </is>
      </c>
      <c r="X145" t="inlineStr">
        <is>
          <t>N/M</t>
        </is>
      </c>
      <c r="Y145" t="inlineStr">
        <is>
          <t>N/M</t>
        </is>
      </c>
      <c r="Z145" t="inlineStr">
        <is>
          <t>0</t>
        </is>
      </c>
      <c r="AA145" t="inlineStr">
        <is>
          <t>N/M (commercial loans full underwriting)</t>
        </is>
      </c>
      <c r="AB145" t="inlineStr">
        <is>
          <t>None (venture debt/LOC/term fully underwritten)</t>
        </is>
      </c>
      <c r="AC145" t="inlineStr">
        <is>
          <t>N/M (commercial-only deposits)</t>
        </is>
      </c>
      <c r="AD145" t="inlineStr">
        <is>
          <t>Not a card source</t>
        </is>
      </c>
      <c r="AE145" t="inlineStr">
        <is>
          <t>None (Venture Debt, LOC, Term, Bridge, Construction + commercial deposits)</t>
        </is>
      </c>
      <c r="AF145" t="inlineStr">
        <is>
          <t>SoCal / LA</t>
        </is>
      </c>
      <c r="AG145" t="inlineStr">
        <is>
          <t>Los Angeles</t>
        </is>
      </c>
      <c r="AH145" t="inlineStr">
        <is>
          <t>17</t>
        </is>
      </c>
      <c r="AI145" t="inlineStr">
        <is>
          <t>HIGH no-card (wholesale foreign-bank branch). 2026-05-28</t>
        </is>
      </c>
      <c r="AJ145" t="inlineStr">
        <is>
          <t>umtbusa.com; dfpi.ca.gov; FDIC cert 33661</t>
        </is>
      </c>
    </row>
    <row r="146">
      <c r="A146" t="inlineStr">
        <is>
          <t>145</t>
        </is>
      </c>
      <c r="B146" t="inlineStr"/>
      <c r="C146" s="22" t="inlineStr">
        <is>
          <t>Mission Federal Credit Union (Mission Fed)</t>
        </is>
      </c>
      <c r="D146" s="11" t="inlineStr">
        <is>
          <t>Credit Union</t>
        </is>
      </c>
      <c r="E146" t="inlineStr">
        <is>
          <t>★ Core SoCal</t>
        </is>
      </c>
      <c r="F146" s="23" t="inlineStr">
        <is>
          <t>1/4  ✗SUW ✗Onl ✓SoCal ✗Card</t>
        </is>
      </c>
      <c r="G146" t="inlineStr">
        <is>
          <t>N/M</t>
        </is>
      </c>
      <c r="H146" t="inlineStr">
        <is>
          <t>N/M</t>
        </is>
      </c>
      <c r="I146" t="inlineStr"/>
      <c r="J146" t="inlineStr">
        <is>
          <t>No card</t>
        </is>
      </c>
      <c r="K146" t="inlineStr">
        <is>
          <t>—</t>
        </is>
      </c>
      <c r="L146" t="inlineStr">
        <is>
          <t>~$6.5B</t>
        </is>
      </c>
      <c r="M146" t="inlineStr">
        <is>
          <t>—</t>
        </is>
      </c>
      <c r="N146" t="inlineStr">
        <is>
          <t>HQ San Diego; ~$6.5B; ~34 branches (all San Diego County); 300K+ members</t>
        </is>
      </c>
      <c r="O146" t="inlineStr">
        <is>
          <t>CA-HQ'd</t>
        </is>
      </c>
      <c r="P146" t="inlineStr">
        <is>
          <t>—</t>
        </is>
      </c>
      <c r="Q146" t="inlineStr">
        <is>
          <t>❌ No BUSINESS card (consumer Mastercards only; business = deposits only)</t>
        </is>
      </c>
      <c r="R146" s="7" t="inlineStr">
        <is>
          <t>Self (consumer cards; no business card)</t>
        </is>
      </c>
      <c r="S146" t="inlineStr">
        <is>
          <t>No</t>
        </is>
      </c>
      <c r="T146" t="inlineStr">
        <is>
          <t>— (no business card)</t>
        </is>
      </c>
      <c r="U146" t="inlineStr">
        <is>
          <t>https://www.missionfed.com/credit-card-benefits/</t>
        </is>
      </c>
      <c r="V146" t="inlineStr">
        <is>
          <t>—</t>
        </is>
      </c>
      <c r="W146" t="inlineStr">
        <is>
          <t>N/M</t>
        </is>
      </c>
      <c r="X146" t="inlineStr">
        <is>
          <t>N/M</t>
        </is>
      </c>
      <c r="Y146" t="inlineStr">
        <is>
          <t>Consumer-only: Preferred Platinum (0% 12mo purch+BT, 11.99-17.99%), Preferred Platinum Rewards, Premier World. No business card; no business loans/LOC marketed.</t>
        </is>
      </c>
      <c r="Z146" t="inlineStr">
        <is>
          <t>0</t>
        </is>
      </c>
      <c r="AA146" t="inlineStr">
        <is>
          <t>N/M (no business card)</t>
        </is>
      </c>
      <c r="AB146" t="inlineStr">
        <is>
          <t>None (business = checking + savings only; no business card/LOC)</t>
        </is>
      </c>
      <c r="AC146" t="inlineStr">
        <is>
          <t>Membership required (single-county: live/work/worship/school in San Diego County + family; NO nationwide path)</t>
        </is>
      </c>
      <c r="AD146" t="inlineStr">
        <is>
          <t>Not a card source</t>
        </is>
      </c>
      <c r="AE146" t="inlineStr">
        <is>
          <t>Consumer Mastercards only (Preferred Platinum / Rewards / Premier World)</t>
        </is>
      </c>
      <c r="AF146" t="inlineStr">
        <is>
          <t>SoCal / San Diego</t>
        </is>
      </c>
      <c r="AG146" t="inlineStr">
        <is>
          <t>San Diego</t>
        </is>
      </c>
      <c r="AH146" t="inlineStr">
        <is>
          <t>CU</t>
        </is>
      </c>
      <c r="AI146" t="inlineStr">
        <is>
          <t>HIGH no business card (consumer-only; business=deposits). Single-county FOM, no open path. 2026-05-29</t>
        </is>
      </c>
      <c r="AJ146" t="inlineStr">
        <is>
          <t>missionfed.com/credit-card-benefits + /business + /checking-spending/business-checking; /membership</t>
        </is>
      </c>
    </row>
    <row r="147">
      <c r="A147" t="inlineStr">
        <is>
          <t>146</t>
        </is>
      </c>
      <c r="B147" t="inlineStr"/>
      <c r="C147" s="22" t="inlineStr">
        <is>
          <t>Wescom Credit Union</t>
        </is>
      </c>
      <c r="D147" s="11" t="inlineStr">
        <is>
          <t>Credit Union</t>
        </is>
      </c>
      <c r="E147" t="inlineStr">
        <is>
          <t>★ Core SoCal</t>
        </is>
      </c>
      <c r="F147" s="23" t="inlineStr">
        <is>
          <t>1/4  ✗SUW ✗Onl ✓SoCal ✗Card</t>
        </is>
      </c>
      <c r="G147" t="inlineStr">
        <is>
          <t>N/M</t>
        </is>
      </c>
      <c r="H147" t="inlineStr">
        <is>
          <t>N/M</t>
        </is>
      </c>
      <c r="I147" t="inlineStr"/>
      <c r="J147" t="inlineStr">
        <is>
          <t>No card</t>
        </is>
      </c>
      <c r="K147" t="inlineStr">
        <is>
          <t>—</t>
        </is>
      </c>
      <c r="L147" t="inlineStr">
        <is>
          <t>~$6.3B</t>
        </is>
      </c>
      <c r="M147" t="inlineStr">
        <is>
          <t>—</t>
        </is>
      </c>
      <c r="N147" t="inlineStr">
        <is>
          <t>HQ Pasadena; consumer-only; SoCal + Central Coast; ~30 branches</t>
        </is>
      </c>
      <c r="O147" t="inlineStr">
        <is>
          <t>CA-HQ'd</t>
        </is>
      </c>
      <c r="P147" t="inlineStr">
        <is>
          <t>—</t>
        </is>
      </c>
      <c r="Q147" t="inlineStr">
        <is>
          <t>❌ No business card (consumer-only CU; no business banking/lending)</t>
        </is>
      </c>
      <c r="R147" s="23" t="inlineStr">
        <is>
          <t>None (self-issues consumer cards)</t>
        </is>
      </c>
      <c r="S147" t="inlineStr">
        <is>
          <t>No</t>
        </is>
      </c>
      <c r="T147" t="inlineStr">
        <is>
          <t>— (no business card)</t>
        </is>
      </c>
      <c r="U147" t="inlineStr">
        <is>
          <t>https://www.wescom.org/cards/credit-cards</t>
        </is>
      </c>
      <c r="V147" t="inlineStr">
        <is>
          <t>—</t>
        </is>
      </c>
      <c r="W147" t="inlineStr">
        <is>
          <t>N/M</t>
        </is>
      </c>
      <c r="X147" t="inlineStr">
        <is>
          <t>N/M</t>
        </is>
      </c>
      <c r="Y147" t="inlineStr">
        <is>
          <t>N/M (no business card)</t>
        </is>
      </c>
      <c r="Z147" t="inlineStr">
        <is>
          <t>0</t>
        </is>
      </c>
      <c r="AA147" t="inlineStr">
        <is>
          <t>N/M</t>
        </is>
      </c>
      <c r="AB147" t="inlineStr">
        <is>
          <t>None (consumer-only; no business lending)</t>
        </is>
      </c>
      <c r="AC147" t="inlineStr">
        <is>
          <t>Membership required (SoCal + Central Coast; no open nationwide path)</t>
        </is>
      </c>
      <c r="AD147" t="inlineStr">
        <is>
          <t>Not a card source</t>
        </is>
      </c>
      <c r="AE147" t="inlineStr">
        <is>
          <t>None (consumer Visa only)</t>
        </is>
      </c>
      <c r="AF147" t="inlineStr">
        <is>
          <t>SoCal / Los Angeles (Pasadena)</t>
        </is>
      </c>
      <c r="AG147" t="inlineStr">
        <is>
          <t>Pasadena, CA</t>
        </is>
      </c>
      <c r="AH147" t="inlineStr">
        <is>
          <t>CU</t>
        </is>
      </c>
      <c r="AI147" t="inlineStr">
        <is>
          <t>HIGH no-business-card (consumer-only CU). 2026-05-28</t>
        </is>
      </c>
      <c r="AJ147" t="inlineStr">
        <is>
          <t>wescom.org/cards + /loans (consumer-only); en.wikipedia.org</t>
        </is>
      </c>
    </row>
    <row r="148">
      <c r="A148" t="inlineStr">
        <is>
          <t>147</t>
        </is>
      </c>
      <c r="B148" t="inlineStr"/>
      <c r="C148" s="22" t="inlineStr">
        <is>
          <t>River City Bank</t>
        </is>
      </c>
      <c r="D148" s="15" t="inlineStr">
        <is>
          <t>CA Bank</t>
        </is>
      </c>
      <c r="E148" t="inlineStr">
        <is>
          <t>Other — NorCal</t>
        </is>
      </c>
      <c r="F148" s="23" t="inlineStr">
        <is>
          <t>0/4  ✗SUW ✗Onl ✗SoCal ✗Card</t>
        </is>
      </c>
      <c r="G148" t="inlineStr">
        <is>
          <t>N/M</t>
        </is>
      </c>
      <c r="H148" t="inlineStr">
        <is>
          <t>N/M</t>
        </is>
      </c>
      <c r="I148" t="inlineStr"/>
      <c r="J148" t="inlineStr">
        <is>
          <t>No card</t>
        </is>
      </c>
      <c r="K148" t="inlineStr">
        <is>
          <t>—</t>
        </is>
      </c>
      <c r="L148" t="inlineStr">
        <is>
          <t>$6.05B</t>
        </is>
      </c>
      <c r="M148" t="inlineStr">
        <is>
          <t>$5.39B</t>
        </is>
      </c>
      <c r="N148" t="inlineStr">
        <is>
          <t>Sacramento metro (Citrus Heights, Davis, Elk Grove, Granite Bay, Placerville, Woodland)</t>
        </is>
      </c>
      <c r="O148" t="inlineStr">
        <is>
          <t>CA-HQ'd</t>
        </is>
      </c>
      <c r="P148" t="inlineStr">
        <is>
          <t>—</t>
        </is>
      </c>
      <c r="Q148" t="inlineStr">
        <is>
          <t>⚠️ No consumer card (debit + commercial lending only)</t>
        </is>
      </c>
      <c r="R148" s="23" t="inlineStr">
        <is>
          <t>None (Sacramento entity)</t>
        </is>
      </c>
      <c r="S148" t="inlineStr">
        <is>
          <t>No</t>
        </is>
      </c>
      <c r="T148" t="inlineStr">
        <is>
          <t>— (no business card)</t>
        </is>
      </c>
      <c r="U148" t="inlineStr">
        <is>
          <t>https://rivercitybank.com</t>
        </is>
      </c>
      <c r="V148" t="inlineStr">
        <is>
          <t>—</t>
        </is>
      </c>
      <c r="W148" t="inlineStr">
        <is>
          <t>N/M</t>
        </is>
      </c>
      <c r="X148" t="inlineStr">
        <is>
          <t>N/M</t>
        </is>
      </c>
      <c r="Y148" t="inlineStr">
        <is>
          <t>N/M</t>
        </is>
      </c>
      <c r="Z148" t="inlineStr">
        <is>
          <t>0</t>
        </is>
      </c>
      <c r="AA148" t="inlineStr">
        <is>
          <t>N/M (commercial loans full underwriting)</t>
        </is>
      </c>
      <c r="AB148" t="inlineStr">
        <is>
          <t>None (Revolving/Non-Revolving LOC, Term, LCs, CRE - full-doc)</t>
        </is>
      </c>
      <c r="AC148" t="inlineStr">
        <is>
          <t>N/M</t>
        </is>
      </c>
      <c r="AD148" t="inlineStr">
        <is>
          <t>Not a card source</t>
        </is>
      </c>
      <c r="AE148" t="inlineStr">
        <is>
          <t>Business Debit Mastercard only ('Business Credit Card' is an unlinked heading)</t>
        </is>
      </c>
      <c r="AF148" t="inlineStr">
        <is>
          <t>NorCal / Sacramento</t>
        </is>
      </c>
      <c r="AG148" t="inlineStr">
        <is>
          <t>Sacramento</t>
        </is>
      </c>
      <c r="AH148" t="inlineStr">
        <is>
          <t>18</t>
        </is>
      </c>
      <c r="AI148" t="inlineStr">
        <is>
          <t>HIGH no-consumer-card. NOT rivercity.bank GA (ServisFirst cards) nor rivercitybankky.com. 2026-05-28</t>
        </is>
      </c>
      <c r="AJ148" t="inlineStr">
        <is>
          <t>rivercitybank.com home + /commercial-lending + /business-debit-card</t>
        </is>
      </c>
    </row>
    <row r="149">
      <c r="A149" t="inlineStr">
        <is>
          <t>148</t>
        </is>
      </c>
      <c r="B149" t="inlineStr"/>
      <c r="C149" s="22" t="inlineStr">
        <is>
          <t>Heritage Bank of Commerce</t>
        </is>
      </c>
      <c r="D149" s="8" t="inlineStr">
        <is>
          <t>Regional</t>
        </is>
      </c>
      <c r="E149" t="inlineStr">
        <is>
          <t>Other — NorCal</t>
        </is>
      </c>
      <c r="F149" s="23" t="inlineStr">
        <is>
          <t>0/4  ✗SUW ✗Onl ✗SoCal ✗Card</t>
        </is>
      </c>
      <c r="G149" t="inlineStr">
        <is>
          <t>N/M</t>
        </is>
      </c>
      <c r="H149" t="inlineStr">
        <is>
          <t>N/M</t>
        </is>
      </c>
      <c r="I149" t="inlineStr"/>
      <c r="J149" t="inlineStr">
        <is>
          <t>No card</t>
        </is>
      </c>
      <c r="K149" t="inlineStr">
        <is>
          <t>—</t>
        </is>
      </c>
      <c r="L149" t="inlineStr">
        <is>
          <t>~$5.6B (pre-merger)</t>
        </is>
      </c>
      <c r="M149" t="inlineStr">
        <is>
          <t>—</t>
        </is>
      </c>
      <c r="N149" t="inlineStr">
        <is>
          <t>HQ San Jose; merged into Citizens Business Bank Apr 17 2026; Bay Area business bank</t>
        </is>
      </c>
      <c r="O149" t="inlineStr">
        <is>
          <t>N/M</t>
        </is>
      </c>
      <c r="P149" t="inlineStr">
        <is>
          <t>—</t>
        </is>
      </c>
      <c r="Q149" t="inlineStr">
        <is>
          <t>⚠️ MERGED into Citizens Business Bank (Apr 2026); no standalone card; successor card = Elan (see Citizens Business Bank row)</t>
        </is>
      </c>
      <c r="R149" s="9" t="inlineStr">
        <is>
          <t>(merged -&gt; Citizens Business Bank, Elan)</t>
        </is>
      </c>
      <c r="S149" t="inlineStr">
        <is>
          <t>No</t>
        </is>
      </c>
      <c r="T149" t="inlineStr">
        <is>
          <t>— (no business card)</t>
        </is>
      </c>
      <c r="U149" t="inlineStr">
        <is>
          <t>https://heritagebankofcommerce.bank/</t>
        </is>
      </c>
      <c r="V149" t="inlineStr">
        <is>
          <t>—</t>
        </is>
      </c>
      <c r="W149" t="inlineStr">
        <is>
          <t>N/M</t>
        </is>
      </c>
      <c r="X149" t="inlineStr">
        <is>
          <t>N/M</t>
        </is>
      </c>
      <c r="Y149" t="inlineStr">
        <is>
          <t>Merged into Citizens Business Bank (CVB Financial) Apr 17 2026.</t>
        </is>
      </c>
      <c r="Z149" t="inlineStr">
        <is>
          <t>0</t>
        </is>
      </c>
      <c r="AA149" t="inlineStr">
        <is>
          <t>N/M</t>
        </is>
      </c>
      <c r="AB149" t="inlineStr">
        <is>
          <t>None</t>
        </is>
      </c>
      <c r="AC149" t="inlineStr">
        <is>
          <t>N/M</t>
        </is>
      </c>
      <c r="AD149" t="inlineStr">
        <is>
          <t>Not a card source</t>
        </is>
      </c>
      <c r="AE149" t="inlineStr">
        <is>
          <t>None standalone (now Citizens Business Bank, Elan)</t>
        </is>
      </c>
      <c r="AF149" t="inlineStr">
        <is>
          <t>NorCal / Silicon Valley (San Jose) — now Citizens Business Bank</t>
        </is>
      </c>
      <c r="AG149" t="inlineStr">
        <is>
          <t>San Jose, CA</t>
        </is>
      </c>
      <c r="AH149" t="inlineStr">
        <is>
          <t>Reg</t>
        </is>
      </c>
      <c r="AI149" t="inlineStr">
        <is>
          <t>HIGH merged into Citizens Business Bank (Elan). No standalone card. 2026-05-28</t>
        </is>
      </c>
      <c r="AJ149" t="inlineStr">
        <is>
          <t>heritagebankofcommerce.bank (now Citizens); cbbank.com/business-cards (Elan); SEC 10-K; CVB merger PR</t>
        </is>
      </c>
    </row>
    <row r="150">
      <c r="A150" t="inlineStr">
        <is>
          <t>149</t>
        </is>
      </c>
      <c r="B150" t="inlineStr"/>
      <c r="C150" s="22" t="inlineStr">
        <is>
          <t>CTBC Bank Corp. (USA)</t>
        </is>
      </c>
      <c r="D150" s="15" t="inlineStr">
        <is>
          <t>CA Bank</t>
        </is>
      </c>
      <c r="E150" t="inlineStr">
        <is>
          <t>★ Core SoCal</t>
        </is>
      </c>
      <c r="F150" s="23" t="inlineStr">
        <is>
          <t>1/4  ✗SUW ✗Onl ✓SoCal ✗Card</t>
        </is>
      </c>
      <c r="G150" t="inlineStr">
        <is>
          <t>N/M</t>
        </is>
      </c>
      <c r="H150" t="inlineStr">
        <is>
          <t>N/M</t>
        </is>
      </c>
      <c r="I150" t="inlineStr"/>
      <c r="J150" t="inlineStr">
        <is>
          <t>No card</t>
        </is>
      </c>
      <c r="K150" t="inlineStr">
        <is>
          <t>—</t>
        </is>
      </c>
      <c r="L150" t="inlineStr">
        <is>
          <t>$5.37B</t>
        </is>
      </c>
      <c r="M150" t="inlineStr">
        <is>
          <t>$4.55B</t>
        </is>
      </c>
      <c r="N150" t="inlineStr">
        <is>
          <t>17 of 20 branches in CA; LA, SF, Irvine, Cupertino, SGV; CTBC Taiwan subsidiary</t>
        </is>
      </c>
      <c r="O150" t="inlineStr">
        <is>
          <t>CA-HQ'd</t>
        </is>
      </c>
      <c r="P150" t="inlineStr">
        <is>
          <t>—</t>
        </is>
      </c>
      <c r="Q150" t="inlineStr">
        <is>
          <t>❌ No BUSINESS card (consumer-only via TCM)</t>
        </is>
      </c>
      <c r="R150" s="23" t="inlineStr">
        <is>
          <t>None for business (TCM issues its consumer cards)</t>
        </is>
      </c>
      <c r="S150" t="inlineStr">
        <is>
          <t>No</t>
        </is>
      </c>
      <c r="T150" t="inlineStr">
        <is>
          <t>— (no business card)</t>
        </is>
      </c>
      <c r="U150" t="inlineStr">
        <is>
          <t>https://www.ctbcbankusa.com</t>
        </is>
      </c>
      <c r="V150" t="inlineStr">
        <is>
          <t>—</t>
        </is>
      </c>
      <c r="W150" t="inlineStr">
        <is>
          <t>N/M</t>
        </is>
      </c>
      <c r="X150" t="inlineStr">
        <is>
          <t>N/M</t>
        </is>
      </c>
      <c r="Y150" t="inlineStr">
        <is>
          <t>N/M (no business card)</t>
        </is>
      </c>
      <c r="Z150" t="inlineStr">
        <is>
          <t>0</t>
        </is>
      </c>
      <c r="AA150" t="inlineStr">
        <is>
          <t>N/M</t>
        </is>
      </c>
      <c r="AB150" t="inlineStr">
        <is>
          <t>None (SBA/ABL/equipment/trade/CRE full-doc)</t>
        </is>
      </c>
      <c r="AC150" t="inlineStr">
        <is>
          <t>N/M</t>
        </is>
      </c>
      <c r="AD150" t="inlineStr">
        <is>
          <t>Not a card source</t>
        </is>
      </c>
      <c r="AE150" t="inlineStr">
        <is>
          <t>3 CONSUMER Visa cards (TCM); no business card</t>
        </is>
      </c>
      <c r="AF150" t="inlineStr">
        <is>
          <t>SoCal / LA</t>
        </is>
      </c>
      <c r="AG150" t="inlineStr">
        <is>
          <t>Los Angeles</t>
        </is>
      </c>
      <c r="AH150" t="inlineStr">
        <is>
          <t>22</t>
        </is>
      </c>
      <c r="AI150" t="inlineStr">
        <is>
          <t>HIGH no-business-card + TCM consumer issuer. 2026-05-28</t>
        </is>
      </c>
      <c r="AJ150" t="inlineStr">
        <is>
          <t>ctbcbankusa.com/Consumer-Credit-Cards + /Commercial-Banking; tcmbank.com</t>
        </is>
      </c>
    </row>
    <row r="151">
      <c r="A151" t="inlineStr">
        <is>
          <t>150</t>
        </is>
      </c>
      <c r="B151" t="inlineStr"/>
      <c r="C151" s="22" t="inlineStr">
        <is>
          <t>Technology Credit Union (Tech CU)</t>
        </is>
      </c>
      <c r="D151" s="11" t="inlineStr">
        <is>
          <t>Credit Union</t>
        </is>
      </c>
      <c r="E151" t="inlineStr">
        <is>
          <t>Other — NorCal</t>
        </is>
      </c>
      <c r="F151" s="23" t="inlineStr">
        <is>
          <t>0/4  ✗SUW ✗Onl ✗SoCal ✗Card</t>
        </is>
      </c>
      <c r="G151" t="inlineStr">
        <is>
          <t>N/M</t>
        </is>
      </c>
      <c r="H151" t="inlineStr">
        <is>
          <t>N/M</t>
        </is>
      </c>
      <c r="I151" t="inlineStr"/>
      <c r="J151" t="inlineStr">
        <is>
          <t>No card</t>
        </is>
      </c>
      <c r="K151" t="inlineStr">
        <is>
          <t>—</t>
        </is>
      </c>
      <c r="L151" t="inlineStr">
        <is>
          <t>~$4.8B</t>
        </is>
      </c>
      <c r="M151" t="inlineStr">
        <is>
          <t>—</t>
        </is>
      </c>
      <c r="N151" t="inlineStr">
        <is>
          <t>9 Bay Area branches + TX/ID; 15 CA counties FOM</t>
        </is>
      </c>
      <c r="O151" t="inlineStr">
        <is>
          <t>CA-HQ'd</t>
        </is>
      </c>
      <c r="P151" t="inlineStr">
        <is>
          <t>—</t>
        </is>
      </c>
      <c r="Q151" t="inlineStr">
        <is>
          <t>❌ No business card (business = LOC / term / SBA only)</t>
        </is>
      </c>
      <c r="R151" s="23" t="inlineStr">
        <is>
          <t>None (self-issues personal cards)</t>
        </is>
      </c>
      <c r="S151" t="inlineStr">
        <is>
          <t>No</t>
        </is>
      </c>
      <c r="T151" t="inlineStr">
        <is>
          <t>— (no business card)</t>
        </is>
      </c>
      <c r="U151" t="inlineStr">
        <is>
          <t>https://www.techcu.com/Business</t>
        </is>
      </c>
      <c r="V151" t="inlineStr">
        <is>
          <t>—</t>
        </is>
      </c>
      <c r="W151" t="inlineStr">
        <is>
          <t>N/M (Experian for personal)</t>
        </is>
      </c>
      <c r="X151" t="inlineStr">
        <is>
          <t>N/M</t>
        </is>
      </c>
      <c r="Y151" t="inlineStr">
        <is>
          <t>N/M (no business card)</t>
        </is>
      </c>
      <c r="Z151" t="inlineStr">
        <is>
          <t>0</t>
        </is>
      </c>
      <c r="AA151" t="inlineStr">
        <is>
          <t>N/M</t>
        </is>
      </c>
      <c r="AB151" t="inlineStr">
        <is>
          <t>Working Capital LOC / Term / SBA = underwritten, not no-doc</t>
        </is>
      </c>
      <c r="AC151" t="inlineStr">
        <is>
          <t>Membership required (15 CA counties + tech employers + family)</t>
        </is>
      </c>
      <c r="AD151" t="inlineStr">
        <is>
          <t>Not a card source</t>
        </is>
      </c>
      <c r="AE151" t="inlineStr">
        <is>
          <t>None (business = LOC/term/SBA; consumer Visa only)</t>
        </is>
      </c>
      <c r="AF151" t="inlineStr">
        <is>
          <t>NorCal / Silicon Valley</t>
        </is>
      </c>
      <c r="AG151" t="inlineStr">
        <is>
          <t>San Jose, CA</t>
        </is>
      </c>
      <c r="AH151" t="inlineStr">
        <is>
          <t>CU</t>
        </is>
      </c>
      <c r="AI151" t="inlineStr">
        <is>
          <t>HIGH no-business-card (sitemap + business pages confirm). 2026-05-28</t>
        </is>
      </c>
      <c r="AJ151" t="inlineStr">
        <is>
          <t>techcu.com/Business + /Small-Business-and-Commercial-Banking + /Sitemap; en.wikipedia.org</t>
        </is>
      </c>
    </row>
    <row r="152">
      <c r="A152" t="inlineStr">
        <is>
          <t>151</t>
        </is>
      </c>
      <c r="B152" t="inlineStr"/>
      <c r="C152" s="22" t="inlineStr">
        <is>
          <t>Commercial Bank of California</t>
        </is>
      </c>
      <c r="D152" s="15" t="inlineStr">
        <is>
          <t>CA Bank</t>
        </is>
      </c>
      <c r="E152" t="inlineStr">
        <is>
          <t>★ Core SoCal</t>
        </is>
      </c>
      <c r="F152" s="23" t="inlineStr">
        <is>
          <t>1/4  ✗SUW ✗Onl ✓SoCal ✗Card</t>
        </is>
      </c>
      <c r="G152" t="inlineStr">
        <is>
          <t>N/M</t>
        </is>
      </c>
      <c r="H152" t="inlineStr">
        <is>
          <t>N/M</t>
        </is>
      </c>
      <c r="I152" t="inlineStr"/>
      <c r="J152" t="inlineStr">
        <is>
          <t>No card</t>
        </is>
      </c>
      <c r="K152" t="inlineStr">
        <is>
          <t>—</t>
        </is>
      </c>
      <c r="L152" t="inlineStr">
        <is>
          <t>$3.90B</t>
        </is>
      </c>
      <c r="M152" t="inlineStr">
        <is>
          <t>$3.39B</t>
        </is>
      </c>
      <c r="N152" t="inlineStr">
        <is>
          <t>~6 offices Orange County + Greater LA (Irvine, Costa Mesa, Anaheim, Santa Monica, LA)</t>
        </is>
      </c>
      <c r="O152" t="inlineStr">
        <is>
          <t>CA-HQ'd</t>
        </is>
      </c>
      <c r="P152" t="inlineStr">
        <is>
          <t>—</t>
        </is>
      </c>
      <c r="Q152" t="inlineStr">
        <is>
          <t>❌ No card (merchant acquirer, not issuer)</t>
        </is>
      </c>
      <c r="R152" s="23" t="inlineStr">
        <is>
          <t>None (card acceptance, not issuance)</t>
        </is>
      </c>
      <c r="S152" t="inlineStr">
        <is>
          <t>No</t>
        </is>
      </c>
      <c r="T152" t="inlineStr">
        <is>
          <t>— (no business card)</t>
        </is>
      </c>
      <c r="U152" t="inlineStr">
        <is>
          <t>https://cbcal.com</t>
        </is>
      </c>
      <c r="V152" t="inlineStr">
        <is>
          <t>—</t>
        </is>
      </c>
      <c r="W152" t="inlineStr">
        <is>
          <t>N/M</t>
        </is>
      </c>
      <c r="X152" t="inlineStr">
        <is>
          <t>N/M</t>
        </is>
      </c>
      <c r="Y152" t="inlineStr">
        <is>
          <t>N/M</t>
        </is>
      </c>
      <c r="Z152" t="inlineStr">
        <is>
          <t>0</t>
        </is>
      </c>
      <c r="AA152" t="inlineStr">
        <is>
          <t>N/M</t>
        </is>
      </c>
      <c r="AB152" t="inlineStr">
        <is>
          <t>None (working-capital/ABL LOC, term, SBA PLP, USDA, equipment - underwritten)</t>
        </is>
      </c>
      <c r="AC152" t="inlineStr">
        <is>
          <t>N/M</t>
        </is>
      </c>
      <c r="AD152" t="inlineStr">
        <is>
          <t>Not a card source</t>
        </is>
      </c>
      <c r="AE152" t="inlineStr">
        <is>
          <t>None (merchant acquiring/processing only)</t>
        </is>
      </c>
      <c r="AF152" t="inlineStr">
        <is>
          <t>SoCal / Orange County</t>
        </is>
      </c>
      <c r="AG152" t="inlineStr">
        <is>
          <t>Irvine</t>
        </is>
      </c>
      <c r="AH152" t="inlineStr">
        <is>
          <t>29</t>
        </is>
      </c>
      <c r="AI152" t="inlineStr">
        <is>
          <t>HIGH no-card. Not Banc of California nor California Bank of Commerce. 2026-05-28</t>
        </is>
      </c>
      <c r="AJ152" t="inlineStr">
        <is>
          <t>cbcal.com/business-lending + /payment-processing + /locations; FDIC cert 57417</t>
        </is>
      </c>
    </row>
    <row r="153">
      <c r="A153" t="inlineStr">
        <is>
          <t>152</t>
        </is>
      </c>
      <c r="B153" t="inlineStr"/>
      <c r="C153" s="22" t="inlineStr">
        <is>
          <t>Credit Union of Southern California (CU SoCal)</t>
        </is>
      </c>
      <c r="D153" s="11" t="inlineStr">
        <is>
          <t>Credit Union</t>
        </is>
      </c>
      <c r="E153" t="inlineStr">
        <is>
          <t>★ Core SoCal</t>
        </is>
      </c>
      <c r="F153" s="23" t="inlineStr">
        <is>
          <t>1/4  ✗SUW ✗Onl ✓SoCal ✗Card</t>
        </is>
      </c>
      <c r="G153" t="inlineStr">
        <is>
          <t>N/M</t>
        </is>
      </c>
      <c r="H153" t="inlineStr">
        <is>
          <t>N/M</t>
        </is>
      </c>
      <c r="I153" t="inlineStr"/>
      <c r="J153" t="inlineStr">
        <is>
          <t>No card</t>
        </is>
      </c>
      <c r="K153" t="inlineStr">
        <is>
          <t>—</t>
        </is>
      </c>
      <c r="L153" t="inlineStr">
        <is>
          <t>~$3.7B</t>
        </is>
      </c>
      <c r="M153" t="inlineStr">
        <is>
          <t>—</t>
        </is>
      </c>
      <c r="N153" t="inlineStr">
        <is>
          <t>HQ Anaheim (OC); ~$3.7B; ~25 SoCal branches + Lake Havasu AZ; est 1954</t>
        </is>
      </c>
      <c r="O153" t="inlineStr">
        <is>
          <t>CA-HQ'd</t>
        </is>
      </c>
      <c r="P153" t="inlineStr">
        <is>
          <t>—</t>
        </is>
      </c>
      <c r="Q153" t="inlineStr">
        <is>
          <t>❌ No BUSINESS card (consumer Visa only; 'may not be used for business purposes'); SELF-issued</t>
        </is>
      </c>
      <c r="R153" s="7" t="inlineStr">
        <is>
          <t>Self (consumer cards; no business card)</t>
        </is>
      </c>
      <c r="S153" t="inlineStr">
        <is>
          <t>No</t>
        </is>
      </c>
      <c r="T153" t="inlineStr">
        <is>
          <t>— (no business card)</t>
        </is>
      </c>
      <c r="U153" t="inlineStr">
        <is>
          <t>https://www.cusocal.org/cards/credit-card/</t>
        </is>
      </c>
      <c r="V153" t="inlineStr">
        <is>
          <t>—</t>
        </is>
      </c>
      <c r="W153" t="inlineStr">
        <is>
          <t>N/M</t>
        </is>
      </c>
      <c r="X153" t="inlineStr">
        <is>
          <t>N/M (consumer cards report to personal bureaus)</t>
        </is>
      </c>
      <c r="Y153" t="inlineStr">
        <is>
          <t>Consumer-only: Platinum Rewards, Topaz (0% 9mo on BT only), Share Secured. No business card.</t>
        </is>
      </c>
      <c r="Z153" t="inlineStr">
        <is>
          <t>0</t>
        </is>
      </c>
      <c r="AA153" t="inlineStr">
        <is>
          <t>N/M (no business card)</t>
        </is>
      </c>
      <c r="AB153" t="inlineStr">
        <is>
          <t>None (business banking = deposits + business loans; no business card)</t>
        </is>
      </c>
      <c r="AC153" t="inlineStr">
        <is>
          <t>Membership required (LA/OC/IE + Lake Havasu AZ + 500 SEGs; OPEN nationwide via complimentary nonprofit association)</t>
        </is>
      </c>
      <c r="AD153" t="inlineStr">
        <is>
          <t>Not a card source</t>
        </is>
      </c>
      <c r="AE153" t="inlineStr">
        <is>
          <t>Consumer Visa only (Platinum Rewards, Topaz, Share Secured) — explicitly NOT for business use</t>
        </is>
      </c>
      <c r="AF153" t="inlineStr">
        <is>
          <t>SoCal / LA-OC-Inland Empire</t>
        </is>
      </c>
      <c r="AG153" t="inlineStr">
        <is>
          <t>Anaheim</t>
        </is>
      </c>
      <c r="AH153" t="inlineStr">
        <is>
          <t>CU</t>
        </is>
      </c>
      <c r="AI153" t="inlineStr">
        <is>
          <t>HIGH no business card (cards explicitly consumer-only). Easy nationwide membership path noted. 2026-05-29</t>
        </is>
      </c>
      <c r="AJ153" t="inlineStr">
        <is>
          <t>cusocal.org/cards/credit-card + cardholder agreement (consumer-only, self-issued); /business-banking (no card)</t>
        </is>
      </c>
    </row>
    <row r="154">
      <c r="A154" t="inlineStr">
        <is>
          <t>153</t>
        </is>
      </c>
      <c r="B154" t="inlineStr"/>
      <c r="C154" s="22" t="inlineStr">
        <is>
          <t>California Coast Credit Union</t>
        </is>
      </c>
      <c r="D154" s="11" t="inlineStr">
        <is>
          <t>Credit Union</t>
        </is>
      </c>
      <c r="E154" t="inlineStr">
        <is>
          <t>★ Core SoCal</t>
        </is>
      </c>
      <c r="F154" s="23" t="inlineStr">
        <is>
          <t>1/4  ✗SUW ✗Onl ✓SoCal ✗Card</t>
        </is>
      </c>
      <c r="G154" t="inlineStr">
        <is>
          <t>N/M</t>
        </is>
      </c>
      <c r="H154" t="inlineStr">
        <is>
          <t>N/M</t>
        </is>
      </c>
      <c r="I154" t="inlineStr"/>
      <c r="J154" t="inlineStr">
        <is>
          <t>No card</t>
        </is>
      </c>
      <c r="K154" t="inlineStr">
        <is>
          <t>—</t>
        </is>
      </c>
      <c r="L154" t="inlineStr">
        <is>
          <t>~$3.36B</t>
        </is>
      </c>
      <c r="M154" t="inlineStr">
        <is>
          <t>—</t>
        </is>
      </c>
      <c r="N154" t="inlineStr">
        <is>
          <t>7 SoCal counties; ~26 branches</t>
        </is>
      </c>
      <c r="O154" t="inlineStr">
        <is>
          <t>CA-HQ'd</t>
        </is>
      </c>
      <c r="P154" t="inlineStr">
        <is>
          <t>—</t>
        </is>
      </c>
      <c r="Q154" t="inlineStr">
        <is>
          <t>❌ No business card (consumer cards only; business = loans via NewtekOne)</t>
        </is>
      </c>
      <c r="R154" s="23" t="inlineStr">
        <is>
          <t>None (no business card)</t>
        </is>
      </c>
      <c r="S154" t="inlineStr">
        <is>
          <t>No</t>
        </is>
      </c>
      <c r="T154" t="inlineStr">
        <is>
          <t>— (no business card)</t>
        </is>
      </c>
      <c r="U154" t="inlineStr">
        <is>
          <t>https://www.calcoastcu.org/business-home-page/business-services/</t>
        </is>
      </c>
      <c r="V154" t="inlineStr">
        <is>
          <t>—</t>
        </is>
      </c>
      <c r="W154" t="inlineStr">
        <is>
          <t>N/M</t>
        </is>
      </c>
      <c r="X154" t="inlineStr">
        <is>
          <t>N/M</t>
        </is>
      </c>
      <c r="Y154" t="inlineStr">
        <is>
          <t>N/M (no business card)</t>
        </is>
      </c>
      <c r="Z154" t="inlineStr">
        <is>
          <t>0</t>
        </is>
      </c>
      <c r="AA154" t="inlineStr">
        <is>
          <t>N/M</t>
        </is>
      </c>
      <c r="AB154" t="inlineStr">
        <is>
          <t>Business loans via NewtekOne ($50K-$15M, LOC &lt;=$5M) — full-doc, not no-doc</t>
        </is>
      </c>
      <c r="AC154" t="inlineStr">
        <is>
          <t>Membership required (7 SoCal counties, $5)</t>
        </is>
      </c>
      <c r="AD154" t="inlineStr">
        <is>
          <t>Not a card source</t>
        </is>
      </c>
      <c r="AE154" t="inlineStr">
        <is>
          <t>None (business = NewtekOne loans; consumer cards only)</t>
        </is>
      </c>
      <c r="AF154" t="inlineStr">
        <is>
          <t>SoCal / San Diego (7-county FOM)</t>
        </is>
      </c>
      <c r="AG154" t="inlineStr">
        <is>
          <t>San Diego, CA</t>
        </is>
      </c>
      <c r="AH154" t="inlineStr">
        <is>
          <t>CU</t>
        </is>
      </c>
      <c r="AI154" t="inlineStr">
        <is>
          <t>HIGH no-business-card (3 product pages confirm). 2026-05-28</t>
        </is>
      </c>
      <c r="AJ154" t="inlineStr">
        <is>
          <t>calcoastcu.org/business-services + /loans/business-loans + /credit-cards; en.wikipedia.org</t>
        </is>
      </c>
    </row>
    <row r="155">
      <c r="A155" t="inlineStr">
        <is>
          <t>154</t>
        </is>
      </c>
      <c r="B155" t="inlineStr"/>
      <c r="C155" s="22" t="inlineStr">
        <is>
          <t>El Dorado Savings Bank, F.S.B.</t>
        </is>
      </c>
      <c r="D155" s="15" t="inlineStr">
        <is>
          <t>CA Bank</t>
        </is>
      </c>
      <c r="E155" t="inlineStr">
        <is>
          <t>Other — NorCal</t>
        </is>
      </c>
      <c r="F155" s="23" t="inlineStr">
        <is>
          <t>0/4  ✗SUW ✗Onl ✗SoCal ✗Card</t>
        </is>
      </c>
      <c r="G155" t="inlineStr">
        <is>
          <t>N/M</t>
        </is>
      </c>
      <c r="H155" t="inlineStr">
        <is>
          <t>N/M</t>
        </is>
      </c>
      <c r="I155" t="inlineStr"/>
      <c r="J155" t="inlineStr">
        <is>
          <t>No card</t>
        </is>
      </c>
      <c r="K155" t="inlineStr">
        <is>
          <t>—</t>
        </is>
      </c>
      <c r="L155" t="inlineStr">
        <is>
          <t>$2.47B</t>
        </is>
      </c>
      <c r="M155" t="inlineStr">
        <is>
          <t>$2.13B</t>
        </is>
      </c>
      <c r="N155" t="inlineStr">
        <is>
          <t>31 CA branches Greater Sacramento + Sierra/Eastern Sierra</t>
        </is>
      </c>
      <c r="O155" t="inlineStr">
        <is>
          <t>CA-HQ'd</t>
        </is>
      </c>
      <c r="P155" t="inlineStr">
        <is>
          <t>—</t>
        </is>
      </c>
      <c r="Q155" t="inlineStr">
        <is>
          <t>❌ No card (thrift; debit only)</t>
        </is>
      </c>
      <c r="R155" s="23" t="inlineStr">
        <is>
          <t>None</t>
        </is>
      </c>
      <c r="S155" t="inlineStr">
        <is>
          <t>No</t>
        </is>
      </c>
      <c r="T155" t="inlineStr">
        <is>
          <t>— (no business card)</t>
        </is>
      </c>
      <c r="U155" t="inlineStr">
        <is>
          <t>https://www.eldoradosavingsbank.com</t>
        </is>
      </c>
      <c r="V155" t="inlineStr">
        <is>
          <t>—</t>
        </is>
      </c>
      <c r="W155" t="inlineStr">
        <is>
          <t>N/M</t>
        </is>
      </c>
      <c r="X155" t="inlineStr">
        <is>
          <t>N/M</t>
        </is>
      </c>
      <c r="Y155" t="inlineStr">
        <is>
          <t>N/M</t>
        </is>
      </c>
      <c r="Z155" t="inlineStr">
        <is>
          <t>0</t>
        </is>
      </c>
      <c r="AA155" t="inlineStr">
        <is>
          <t>N/M</t>
        </is>
      </c>
      <c r="AB155" t="inlineStr">
        <is>
          <t>None (lending is exclusively residential: Home Loans, Refi, HELOC)</t>
        </is>
      </c>
      <c r="AC155" t="inlineStr">
        <is>
          <t>N/M</t>
        </is>
      </c>
      <c r="AD155" t="inlineStr">
        <is>
          <t>Not a card source</t>
        </is>
      </c>
      <c r="AE155" t="inlineStr">
        <is>
          <t>Business Visa DEBIT only</t>
        </is>
      </c>
      <c r="AF155" t="inlineStr">
        <is>
          <t>NorCal / Sacramento (foothills)</t>
        </is>
      </c>
      <c r="AG155" t="inlineStr">
        <is>
          <t>Placerville</t>
        </is>
      </c>
      <c r="AH155" t="inlineStr">
        <is>
          <t>39</t>
        </is>
      </c>
      <c r="AI155" t="inlineStr">
        <is>
          <t>HIGH no-card (thrift; residential-only lending). 2026-05-28</t>
        </is>
      </c>
      <c r="AJ155" t="inlineStr">
        <is>
          <t>eldoradosavingsbank.com/Business + /Lending; branchspot.com</t>
        </is>
      </c>
    </row>
    <row r="156">
      <c r="A156" t="inlineStr">
        <is>
          <t>155</t>
        </is>
      </c>
      <c r="B156" t="inlineStr"/>
      <c r="C156" s="22" t="inlineStr">
        <is>
          <t>Self-Help Federal Credit Union</t>
        </is>
      </c>
      <c r="D156" s="11" t="inlineStr">
        <is>
          <t>Credit Union</t>
        </is>
      </c>
      <c r="E156" t="inlineStr">
        <is>
          <t>★ Core SoCal</t>
        </is>
      </c>
      <c r="F156" s="23" t="inlineStr">
        <is>
          <t>1/4  ✗SUW ✗Onl ✓SoCal ✗Card</t>
        </is>
      </c>
      <c r="G156" t="inlineStr">
        <is>
          <t>N/M</t>
        </is>
      </c>
      <c r="H156" t="inlineStr">
        <is>
          <t>N/M</t>
        </is>
      </c>
      <c r="I156" t="inlineStr"/>
      <c r="J156" t="inlineStr">
        <is>
          <t>No card</t>
        </is>
      </c>
      <c r="K156" t="inlineStr">
        <is>
          <t>—</t>
        </is>
      </c>
      <c r="L156" t="inlineStr">
        <is>
          <t>~$2.41B</t>
        </is>
      </c>
      <c r="M156" t="inlineStr">
        <is>
          <t>—</t>
        </is>
      </c>
      <c r="N156" t="inlineStr">
        <is>
          <t>2 LA-County branches</t>
        </is>
      </c>
      <c r="O156" t="inlineStr">
        <is>
          <t>CA-HQ'd</t>
        </is>
      </c>
      <c r="P156" t="inlineStr">
        <is>
          <t>—</t>
        </is>
      </c>
      <c r="Q156" t="inlineStr">
        <is>
          <t>❌ No business credit card (CDFI lender: secured term loans 2+yr operating, SBA 7(a)/504, micro-loans; CA deals $500K+)</t>
        </is>
      </c>
      <c r="R156" s="23" t="inlineStr">
        <is>
          <t>None</t>
        </is>
      </c>
      <c r="S156" t="inlineStr">
        <is>
          <t>No</t>
        </is>
      </c>
      <c r="T156" t="inlineStr">
        <is>
          <t>— (no business card)</t>
        </is>
      </c>
      <c r="U156" t="inlineStr">
        <is>
          <t>https://www.self-helpfcu.org</t>
        </is>
      </c>
      <c r="V156" t="inlineStr">
        <is>
          <t>—</t>
        </is>
      </c>
      <c r="W156" t="inlineStr">
        <is>
          <t>N/M</t>
        </is>
      </c>
      <c r="X156" t="inlineStr">
        <is>
          <t>N/M</t>
        </is>
      </c>
      <c r="Y156" t="inlineStr">
        <is>
          <t>CA small-biz &lt;$500K not served (NC/Chicago only). Light census 2026-06-10.</t>
        </is>
      </c>
      <c r="Z156" t="inlineStr">
        <is>
          <t>0</t>
        </is>
      </c>
      <c r="AA156" t="inlineStr">
        <is>
          <t>N/M</t>
        </is>
      </c>
      <c r="AB156" t="inlineStr">
        <is>
          <t>None</t>
        </is>
      </c>
      <c r="AC156" t="inlineStr">
        <is>
          <t>Membership open: $5 Center for Community Self-Help path</t>
        </is>
      </c>
      <c r="AD156" t="inlineStr">
        <is>
          <t>Not a card source</t>
        </is>
      </c>
      <c r="AE156" t="inlineStr">
        <is>
          <t>None (commercial term/SBA)</t>
        </is>
      </c>
      <c r="AF156" t="inlineStr">
        <is>
          <t>SoCal / LA (2 branches: LA + Wilmington)</t>
        </is>
      </c>
      <c r="AG156" t="inlineStr">
        <is>
          <t>Modesto, CA</t>
        </is>
      </c>
      <c r="AH156" t="inlineStr">
        <is>
          <t>CU</t>
        </is>
      </c>
      <c r="AI156" t="inlineStr">
        <is>
          <t>HIGH no-card. Light census 2026-06-10</t>
        </is>
      </c>
      <c r="AJ156" t="inlineStr">
        <is>
          <t>self-helpfcu.org/business + join-our-credit-union</t>
        </is>
      </c>
    </row>
    <row r="157">
      <c r="A157" t="inlineStr">
        <is>
          <t>156</t>
        </is>
      </c>
      <c r="B157" t="inlineStr"/>
      <c r="C157" s="22" t="inlineStr">
        <is>
          <t>Financial Partners Credit Union</t>
        </is>
      </c>
      <c r="D157" s="11" t="inlineStr">
        <is>
          <t>Credit Union</t>
        </is>
      </c>
      <c r="E157" t="inlineStr">
        <is>
          <t>★ Core SoCal</t>
        </is>
      </c>
      <c r="F157" s="23" t="inlineStr">
        <is>
          <t>1/4  ✗SUW ✗Onl ✓SoCal ✗Card</t>
        </is>
      </c>
      <c r="G157" t="inlineStr">
        <is>
          <t>N/M</t>
        </is>
      </c>
      <c r="H157" t="inlineStr">
        <is>
          <t>N/M</t>
        </is>
      </c>
      <c r="I157" t="inlineStr"/>
      <c r="J157" t="inlineStr">
        <is>
          <t>No card</t>
        </is>
      </c>
      <c r="K157" t="inlineStr">
        <is>
          <t>—</t>
        </is>
      </c>
      <c r="L157" t="inlineStr">
        <is>
          <t>~$2.4B</t>
        </is>
      </c>
      <c r="M157" t="inlineStr">
        <is>
          <t>—</t>
        </is>
      </c>
      <c r="N157" t="inlineStr">
        <is>
          <t>HQ Downey (LA County); ~$2.3-2.5B; ~7 branches; LA/OC + Bay Area; Boeing-legacy SEGs</t>
        </is>
      </c>
      <c r="O157" t="inlineStr">
        <is>
          <t>CA-HQ'd</t>
        </is>
      </c>
      <c r="P157" t="inlineStr">
        <is>
          <t>—</t>
        </is>
      </c>
      <c r="Q157" t="inlineStr">
        <is>
          <t>❌ No BUSINESS card (consumer Visa only; business = deposit accounts only)</t>
        </is>
      </c>
      <c r="R157" s="7" t="inlineStr">
        <is>
          <t>Self (consumer cards; no business card)</t>
        </is>
      </c>
      <c r="S157" t="inlineStr">
        <is>
          <t>No</t>
        </is>
      </c>
      <c r="T157" t="inlineStr">
        <is>
          <t>— (no business card)</t>
        </is>
      </c>
      <c r="U157" t="inlineStr">
        <is>
          <t>https://fpcu.org/loans-credit/credit-cards</t>
        </is>
      </c>
      <c r="V157" t="inlineStr">
        <is>
          <t>—</t>
        </is>
      </c>
      <c r="W157" t="inlineStr">
        <is>
          <t>N/M</t>
        </is>
      </c>
      <c r="X157" t="inlineStr">
        <is>
          <t>N/M</t>
        </is>
      </c>
      <c r="Y157" t="inlineStr">
        <is>
          <t>Consumer-only (Visa Platinum Rewards 0% 12mo purch+BT, 12.74-30.49%, $0 AF; Platinum; Savings Secured). No business card.</t>
        </is>
      </c>
      <c r="Z157" t="inlineStr">
        <is>
          <t>0</t>
        </is>
      </c>
      <c r="AA157" t="inlineStr">
        <is>
          <t>N/M</t>
        </is>
      </c>
      <c r="AB157" t="inlineStr">
        <is>
          <t>None (business = checking/savings only)</t>
        </is>
      </c>
      <c r="AC157" t="inlineStr">
        <is>
          <t>Membership required (LA/Orange/San Diego/Riverside counties + S.SF/Alameda + ~700 SEGs + family + AARP; OPEN nationwide via American Consumer Council)</t>
        </is>
      </c>
      <c r="AD157" t="inlineStr">
        <is>
          <t>Not a card source</t>
        </is>
      </c>
      <c r="AE157" t="inlineStr">
        <is>
          <t>Consumer Visa only (Platinum Rewards, Platinum, Savings Secured)</t>
        </is>
      </c>
      <c r="AF157" t="inlineStr">
        <is>
          <t>SoCal / LA</t>
        </is>
      </c>
      <c r="AG157" t="inlineStr">
        <is>
          <t>Downey</t>
        </is>
      </c>
      <c r="AH157" t="inlineStr">
        <is>
          <t>CU</t>
        </is>
      </c>
      <c r="AI157" t="inlineStr">
        <is>
          <t>HIGH no business card (personal Visa only; business=deposits). ACC nationwide path noted. 2026-05-29</t>
        </is>
      </c>
      <c r="AJ157" t="inlineStr">
        <is>
          <t>fpcu.org/loans-credit/credit-cards + /checking-savings/business-accounts; depositaccounts.com</t>
        </is>
      </c>
    </row>
    <row r="158">
      <c r="A158" t="inlineStr">
        <is>
          <t>157</t>
        </is>
      </c>
      <c r="B158" t="inlineStr"/>
      <c r="C158" s="22" t="inlineStr">
        <is>
          <t>Arrowhead Credit Union</t>
        </is>
      </c>
      <c r="D158" s="11" t="inlineStr">
        <is>
          <t>Credit Union</t>
        </is>
      </c>
      <c r="E158" t="inlineStr">
        <is>
          <t>★ Core SoCal</t>
        </is>
      </c>
      <c r="F158" s="23" t="inlineStr">
        <is>
          <t>1/4  ✗SUW ✗Onl ✓SoCal ✗Card</t>
        </is>
      </c>
      <c r="G158" t="inlineStr">
        <is>
          <t>N/M</t>
        </is>
      </c>
      <c r="H158" t="inlineStr">
        <is>
          <t>N/M</t>
        </is>
      </c>
      <c r="I158" t="inlineStr"/>
      <c r="J158" t="inlineStr">
        <is>
          <t>No card</t>
        </is>
      </c>
      <c r="K158" t="inlineStr">
        <is>
          <t>—</t>
        </is>
      </c>
      <c r="L158" t="inlineStr">
        <is>
          <t>~$2.31B</t>
        </is>
      </c>
      <c r="M158" t="inlineStr">
        <is>
          <t>—</t>
        </is>
      </c>
      <c r="N158" t="inlineStr">
        <is>
          <t>HQ Rancho Cucamonga (IE); ~$2.3B; ~20 branches; core FOM San Bernardino + Riverside</t>
        </is>
      </c>
      <c r="O158" t="inlineStr">
        <is>
          <t>CA-HQ'd</t>
        </is>
      </c>
      <c r="P158" t="inlineStr">
        <is>
          <t>—</t>
        </is>
      </c>
      <c r="Q158" t="inlineStr">
        <is>
          <t>❌ No BUSINESS card (consumer Visa only; business = loans/SBA/CRE)</t>
        </is>
      </c>
      <c r="R158" s="7" t="inlineStr">
        <is>
          <t>Self (consumer cards; no business card)</t>
        </is>
      </c>
      <c r="S158" t="inlineStr">
        <is>
          <t>No</t>
        </is>
      </c>
      <c r="T158" t="inlineStr">
        <is>
          <t>— (no business card)</t>
        </is>
      </c>
      <c r="U158" t="inlineStr">
        <is>
          <t>https://www.arrowheadcu.org/arrowhead-visa</t>
        </is>
      </c>
      <c r="V158" t="inlineStr">
        <is>
          <t>—</t>
        </is>
      </c>
      <c r="W158" t="inlineStr">
        <is>
          <t>N/M (free Experian/FICO score to cardholders)</t>
        </is>
      </c>
      <c r="X158" t="inlineStr">
        <is>
          <t>N/M</t>
        </is>
      </c>
      <c r="Y158" t="inlineStr">
        <is>
          <t>Consumer-only Visa (no 0% intro; 13.49-17.25%; $0 AF; $0 BT/CA fees). No business card.</t>
        </is>
      </c>
      <c r="Z158" t="inlineStr">
        <is>
          <t>0</t>
        </is>
      </c>
      <c r="AA158" t="inlineStr">
        <is>
          <t>N/M</t>
        </is>
      </c>
      <c r="AB158" t="inlineStr">
        <is>
          <t>None (business = SBA/CRE up to ~$5M/equipment/investment-property full-doc)</t>
        </is>
      </c>
      <c r="AC158" t="inlineStr">
        <is>
          <t>Membership required (Riverside + San Bernardino counties, 17 S-LA-County cities, AZ/NV areas + family; association path via Surfrider/Community Impact Fund — Arrowhead pays fee)</t>
        </is>
      </c>
      <c r="AD158" t="inlineStr">
        <is>
          <t>Not a card source</t>
        </is>
      </c>
      <c r="AE158" t="inlineStr">
        <is>
          <t>Consumer Visa only (Arrowhead Visa, Share-Secured Visa)</t>
        </is>
      </c>
      <c r="AF158" t="inlineStr">
        <is>
          <t>SoCal / Inland Empire</t>
        </is>
      </c>
      <c r="AG158" t="inlineStr">
        <is>
          <t>Rancho Cucamonga</t>
        </is>
      </c>
      <c r="AH158" t="inlineStr">
        <is>
          <t>CU</t>
        </is>
      </c>
      <c r="AI158" t="inlineStr">
        <is>
          <t>HIGH no business card (consumer-only; business=loans). Association membership path noted. 2026-05-29</t>
        </is>
      </c>
      <c r="AJ158" t="inlineStr">
        <is>
          <t>arrowheadcu.org/arrowhead-visa + /loans/business + /eligibility (Surfrider/CIF path)</t>
        </is>
      </c>
    </row>
    <row r="159">
      <c r="A159" t="inlineStr">
        <is>
          <t>158</t>
        </is>
      </c>
      <c r="B159" t="inlineStr"/>
      <c r="C159" s="22" t="inlineStr">
        <is>
          <t>F&amp;A Federal Credit Union</t>
        </is>
      </c>
      <c r="D159" s="11" t="inlineStr">
        <is>
          <t>Credit Union</t>
        </is>
      </c>
      <c r="E159" t="inlineStr">
        <is>
          <t>★ Core SoCal</t>
        </is>
      </c>
      <c r="F159" s="23" t="inlineStr">
        <is>
          <t>1/4  ✗SUW ✗Onl ✓SoCal ✗Card</t>
        </is>
      </c>
      <c r="G159" t="inlineStr">
        <is>
          <t>N/M</t>
        </is>
      </c>
      <c r="H159" t="inlineStr">
        <is>
          <t>N/M</t>
        </is>
      </c>
      <c r="I159" t="inlineStr"/>
      <c r="J159" t="inlineStr">
        <is>
          <t>No card</t>
        </is>
      </c>
      <c r="K159" t="inlineStr">
        <is>
          <t>—</t>
        </is>
      </c>
      <c r="L159" t="inlineStr">
        <is>
          <t>~$2.3B</t>
        </is>
      </c>
      <c r="M159" t="inlineStr">
        <is>
          <t>—</t>
        </is>
      </c>
      <c r="N159" t="inlineStr">
        <is>
          <t>2 LA branches</t>
        </is>
      </c>
      <c r="O159" t="inlineStr">
        <is>
          <t>CA-HQ'd</t>
        </is>
      </c>
      <c r="P159" t="inlineStr">
        <is>
          <t>—</t>
        </is>
      </c>
      <c r="Q159" t="inlineStr">
        <is>
          <t>❌ No business products (consumer Visa $500–$25K only)</t>
        </is>
      </c>
      <c r="R159" s="23" t="inlineStr">
        <is>
          <t>None for business</t>
        </is>
      </c>
      <c r="S159" t="inlineStr">
        <is>
          <t>No</t>
        </is>
      </c>
      <c r="T159" t="inlineStr">
        <is>
          <t>— (no business card)</t>
        </is>
      </c>
      <c r="U159" t="inlineStr">
        <is>
          <t>https://www.fafcu.org</t>
        </is>
      </c>
      <c r="V159" t="inlineStr">
        <is>
          <t>—</t>
        </is>
      </c>
      <c r="W159" t="inlineStr">
        <is>
          <t>N/M</t>
        </is>
      </c>
      <c r="X159" t="inlineStr">
        <is>
          <t>N/M</t>
        </is>
      </c>
      <c r="Y159" t="inlineStr">
        <is>
          <t>Fire/county FOM; LA County Fire Museum = de-facto join path. Light census 2026-06-10.</t>
        </is>
      </c>
      <c r="Z159" t="inlineStr">
        <is>
          <t>0</t>
        </is>
      </c>
      <c r="AA159" t="inlineStr">
        <is>
          <t>N/M</t>
        </is>
      </c>
      <c r="AB159" t="inlineStr">
        <is>
          <t>None</t>
        </is>
      </c>
      <c r="AC159" t="inlineStr">
        <is>
          <t>Membership: LA Co Fire + city employees + family</t>
        </is>
      </c>
      <c r="AD159" t="inlineStr">
        <is>
          <t>Not a card source</t>
        </is>
      </c>
      <c r="AE159" t="inlineStr">
        <is>
          <t>None for business</t>
        </is>
      </c>
      <c r="AF159" t="inlineStr">
        <is>
          <t>SoCal / LA (Monterey Park + Whittier)</t>
        </is>
      </c>
      <c r="AG159" t="inlineStr">
        <is>
          <t>Monterey Park, CA</t>
        </is>
      </c>
      <c r="AH159" t="inlineStr">
        <is>
          <t>CU</t>
        </is>
      </c>
      <c r="AI159" t="inlineStr">
        <is>
          <t>HIGH no-biz. Light census 2026-06-10</t>
        </is>
      </c>
      <c r="AJ159" t="inlineStr">
        <is>
          <t>fafcu.org/join + /spend-and-save</t>
        </is>
      </c>
    </row>
    <row r="160">
      <c r="A160" t="inlineStr">
        <is>
          <t>159</t>
        </is>
      </c>
      <c r="B160" t="inlineStr"/>
      <c r="C160" s="22" t="inlineStr">
        <is>
          <t>LBS Financial Credit Union</t>
        </is>
      </c>
      <c r="D160" s="11" t="inlineStr">
        <is>
          <t>Credit Union</t>
        </is>
      </c>
      <c r="E160" t="inlineStr">
        <is>
          <t>★ Core SoCal</t>
        </is>
      </c>
      <c r="F160" s="23" t="inlineStr">
        <is>
          <t>1/4  ✗SUW ✗Onl ✓SoCal ✗Card</t>
        </is>
      </c>
      <c r="G160" t="inlineStr">
        <is>
          <t>N/M</t>
        </is>
      </c>
      <c r="H160" t="inlineStr">
        <is>
          <t>N/M</t>
        </is>
      </c>
      <c r="I160" t="inlineStr"/>
      <c r="J160" t="inlineStr">
        <is>
          <t>No card</t>
        </is>
      </c>
      <c r="K160" t="inlineStr">
        <is>
          <t>—</t>
        </is>
      </c>
      <c r="L160" t="inlineStr">
        <is>
          <t>~$2.1B</t>
        </is>
      </c>
      <c r="M160" t="inlineStr">
        <is>
          <t>—</t>
        </is>
      </c>
      <c r="N160" t="inlineStr">
        <is>
          <t>8 branches greater Long Beach</t>
        </is>
      </c>
      <c r="O160" t="inlineStr">
        <is>
          <t>CA-HQ'd</t>
        </is>
      </c>
      <c r="P160" t="inlineStr">
        <is>
          <t>—</t>
        </is>
      </c>
      <c r="Q160" t="inlineStr">
        <is>
          <t>❌ No business products at all (consumer Platinum Rewards Visa only) — the Long Beach gap CONFIRMED empty</t>
        </is>
      </c>
      <c r="R160" s="23" t="inlineStr">
        <is>
          <t>None for business</t>
        </is>
      </c>
      <c r="S160" t="inlineStr">
        <is>
          <t>No</t>
        </is>
      </c>
      <c r="T160" t="inlineStr">
        <is>
          <t>— (no business card)</t>
        </is>
      </c>
      <c r="U160" t="inlineStr">
        <is>
          <t>https://www.lbsfcu.org</t>
        </is>
      </c>
      <c r="V160" t="inlineStr">
        <is>
          <t>—</t>
        </is>
      </c>
      <c r="W160" t="inlineStr">
        <is>
          <t>N/M (reports to all 3; pull N/M)</t>
        </is>
      </c>
      <c r="X160" t="inlineStr">
        <is>
          <t>N/M</t>
        </is>
      </c>
      <c r="Y160" t="inlineStr">
        <is>
          <t>Checked for Long Beach opportunities: nothing business-side. Light census 2026-06-10.</t>
        </is>
      </c>
      <c r="Z160" t="inlineStr">
        <is>
          <t>0</t>
        </is>
      </c>
      <c r="AA160" t="inlineStr">
        <is>
          <t>N/M</t>
        </is>
      </c>
      <c r="AB160" t="inlineStr">
        <is>
          <t>None</t>
        </is>
      </c>
      <c r="AC160" t="inlineStr">
        <is>
          <t>Membership: 4 counties + ~51 LA cities; FFA $8 open path</t>
        </is>
      </c>
      <c r="AD160" t="inlineStr">
        <is>
          <t>No business products — Long Beach gap confirmed empty</t>
        </is>
      </c>
      <c r="AE160" t="inlineStr">
        <is>
          <t>None for business</t>
        </is>
      </c>
      <c r="AF160" t="inlineStr">
        <is>
          <t>SoCal / LA-Long Beach (8 branches)</t>
        </is>
      </c>
      <c r="AG160" t="inlineStr">
        <is>
          <t>Long Beach, CA</t>
        </is>
      </c>
      <c r="AH160" t="inlineStr">
        <is>
          <t>CU</t>
        </is>
      </c>
      <c r="AI160" t="inlineStr">
        <is>
          <t>HIGH no-biz-products. Light census 2026-06-10</t>
        </is>
      </c>
      <c r="AJ160" t="inlineStr">
        <is>
          <t>lbsfcu.org/accounts + /member</t>
        </is>
      </c>
    </row>
    <row r="161">
      <c r="A161" t="inlineStr">
        <is>
          <t>160</t>
        </is>
      </c>
      <c r="B161" t="inlineStr"/>
      <c r="C161" s="22" t="inlineStr">
        <is>
          <t>US Metro Bank</t>
        </is>
      </c>
      <c r="D161" s="15" t="inlineStr">
        <is>
          <t>CA Bank</t>
        </is>
      </c>
      <c r="E161" t="inlineStr">
        <is>
          <t>★ Core SoCal</t>
        </is>
      </c>
      <c r="F161" s="23" t="inlineStr">
        <is>
          <t>1/4  ✗SUW ✗Onl ✓SoCal ✗Card</t>
        </is>
      </c>
      <c r="G161" t="inlineStr">
        <is>
          <t>N/M</t>
        </is>
      </c>
      <c r="H161" t="inlineStr">
        <is>
          <t>N/M</t>
        </is>
      </c>
      <c r="I161" t="inlineStr"/>
      <c r="J161" t="inlineStr">
        <is>
          <t>No card</t>
        </is>
      </c>
      <c r="K161" t="inlineStr">
        <is>
          <t>—</t>
        </is>
      </c>
      <c r="L161" t="inlineStr">
        <is>
          <t>$1.56B</t>
        </is>
      </c>
      <c r="M161" t="inlineStr">
        <is>
          <t>$1.36B</t>
        </is>
      </c>
      <c r="N161" t="inlineStr">
        <is>
          <t>Garden Grove HQ; Anaheim, LA x3, Buena Park, Torrance; Korean-American</t>
        </is>
      </c>
      <c r="O161" t="inlineStr">
        <is>
          <t>CA-HQ'd</t>
        </is>
      </c>
      <c r="P161" t="inlineStr">
        <is>
          <t>—</t>
        </is>
      </c>
      <c r="Q161" t="inlineStr">
        <is>
          <t>❌ No card (debit only)</t>
        </is>
      </c>
      <c r="R161" s="23" t="inlineStr">
        <is>
          <t>None</t>
        </is>
      </c>
      <c r="S161" t="inlineStr">
        <is>
          <t>No</t>
        </is>
      </c>
      <c r="T161" t="inlineStr">
        <is>
          <t>— (no business card)</t>
        </is>
      </c>
      <c r="U161" t="inlineStr">
        <is>
          <t>https://www.usmetrobank.com</t>
        </is>
      </c>
      <c r="V161" t="inlineStr">
        <is>
          <t>—</t>
        </is>
      </c>
      <c r="W161" t="inlineStr">
        <is>
          <t>N/M</t>
        </is>
      </c>
      <c r="X161" t="inlineStr">
        <is>
          <t>N/M</t>
        </is>
      </c>
      <c r="Y161" t="inlineStr">
        <is>
          <t>N/M</t>
        </is>
      </c>
      <c r="Z161" t="inlineStr">
        <is>
          <t>0</t>
        </is>
      </c>
      <c r="AA161" t="inlineStr">
        <is>
          <t>N/M</t>
        </is>
      </c>
      <c r="AB161" t="inlineStr">
        <is>
          <t>Business LOC + Term Loans 'simple documentation' (no stated no-tax-return policy); SBA PLP full-doc</t>
        </is>
      </c>
      <c r="AC161" t="inlineStr">
        <is>
          <t>N/M</t>
        </is>
      </c>
      <c r="AD161" t="inlineStr">
        <is>
          <t>Not a card source</t>
        </is>
      </c>
      <c r="AE161" t="inlineStr">
        <is>
          <t>MasterCard DEBIT only (no credit card; no CFPB agreement)</t>
        </is>
      </c>
      <c r="AF161" t="inlineStr">
        <is>
          <t>SoCal / Orange County</t>
        </is>
      </c>
      <c r="AG161" t="inlineStr">
        <is>
          <t>Garden Grove</t>
        </is>
      </c>
      <c r="AH161" t="inlineStr">
        <is>
          <t>48</t>
        </is>
      </c>
      <c r="AI161" t="inlineStr">
        <is>
          <t>HIGH no-card (own nav, no CFPB agreement). 2026-05-28</t>
        </is>
      </c>
      <c r="AJ161" t="inlineStr">
        <is>
          <t>usmetrobank.com/banking-services + /business-loans; consumerfinance.gov (no agreement)</t>
        </is>
      </c>
    </row>
    <row r="162">
      <c r="A162" t="inlineStr">
        <is>
          <t>161</t>
        </is>
      </c>
      <c r="B162" t="inlineStr"/>
      <c r="C162" s="22" t="inlineStr">
        <is>
          <t>Frontwave Credit Union</t>
        </is>
      </c>
      <c r="D162" s="11" t="inlineStr">
        <is>
          <t>Credit Union</t>
        </is>
      </c>
      <c r="E162" t="inlineStr">
        <is>
          <t>★ Core SoCal</t>
        </is>
      </c>
      <c r="F162" s="23" t="inlineStr">
        <is>
          <t>1/4  ✗SUW ✗Onl ✓SoCal ✗Card</t>
        </is>
      </c>
      <c r="G162" t="inlineStr">
        <is>
          <t>N/M</t>
        </is>
      </c>
      <c r="H162" t="inlineStr">
        <is>
          <t>N/M</t>
        </is>
      </c>
      <c r="I162" t="inlineStr"/>
      <c r="J162" t="inlineStr">
        <is>
          <t>No card</t>
        </is>
      </c>
      <c r="K162" t="inlineStr">
        <is>
          <t>—</t>
        </is>
      </c>
      <c r="L162" t="inlineStr">
        <is>
          <t>~$1.5B</t>
        </is>
      </c>
      <c r="M162" t="inlineStr">
        <is>
          <t>—</t>
        </is>
      </c>
      <c r="N162" t="inlineStr">
        <is>
          <t>HQ Oceanside; ~$1.5B (post Community Valley Bank acq 2025); ~13 branches; North County SD + IE; ex-Pacific Marine CU</t>
        </is>
      </c>
      <c r="O162" t="inlineStr">
        <is>
          <t>CA-HQ'd</t>
        </is>
      </c>
      <c r="P162" t="inlineStr">
        <is>
          <t>—</t>
        </is>
      </c>
      <c r="Q162" t="inlineStr">
        <is>
          <t>❌ No BUSINESS card (consumer Visa only; business = loans/LOC)</t>
        </is>
      </c>
      <c r="R162" s="7" t="inlineStr">
        <is>
          <t>Self (consumer cards; no business card)</t>
        </is>
      </c>
      <c r="S162" t="inlineStr">
        <is>
          <t>No</t>
        </is>
      </c>
      <c r="T162" t="inlineStr">
        <is>
          <t>— (no business card)</t>
        </is>
      </c>
      <c r="U162" t="inlineStr">
        <is>
          <t>https://www.frontwavecu.com</t>
        </is>
      </c>
      <c r="V162" t="inlineStr">
        <is>
          <t>—</t>
        </is>
      </c>
      <c r="W162" t="inlineStr">
        <is>
          <t>N/M</t>
        </is>
      </c>
      <c r="X162" t="inlineStr">
        <is>
          <t>N/M</t>
        </is>
      </c>
      <c r="Y162" t="inlineStr">
        <is>
          <t>Consumer-only Visa (Classic/Platinum/Signature Rewards/Secured). No business credit card found.</t>
        </is>
      </c>
      <c r="Z162" t="inlineStr">
        <is>
          <t>0</t>
        </is>
      </c>
      <c r="AA162" t="inlineStr">
        <is>
          <t>N/M</t>
        </is>
      </c>
      <c r="AB162" t="inlineStr">
        <is>
          <t>Unsecured Business LOC $5K-$250K (collateral-free, but NOT no-doc) + secured BLOC/equipment/CRE</t>
        </is>
      </c>
      <c r="AC162" t="inlineStr">
        <is>
          <t>Membership required (San Diego/Riverside/San Bernardino[/Imperial] counties + family; military/community; NO nationwide path; business acct in-person, $1,500 min)</t>
        </is>
      </c>
      <c r="AD162" t="inlineStr">
        <is>
          <t>Not a card source</t>
        </is>
      </c>
      <c r="AE162" t="inlineStr">
        <is>
          <t>Consumer Visa only; business = loans/LOC (incl. unsecured BLOC $5K-$250K)</t>
        </is>
      </c>
      <c r="AF162" t="inlineStr">
        <is>
          <t>SoCal / San Diego (+ Inland Empire)</t>
        </is>
      </c>
      <c r="AG162" t="inlineStr">
        <is>
          <t>Oceanside</t>
        </is>
      </c>
      <c r="AH162" t="inlineStr">
        <is>
          <t>CU</t>
        </is>
      </c>
      <c r="AI162" t="inlineStr">
        <is>
          <t>MED-HIGH no business CARD (consumer-only; site PDFs Cloudflare-blocked); unsecured BLOC $5K-$250K noted. 2026-05-29</t>
        </is>
      </c>
      <c r="AJ162" t="inlineStr">
        <is>
          <t>frontwavecu.com/business-banking + /Business/Borrow/Business-Line-of-Credit; en.wikipedia.org</t>
        </is>
      </c>
    </row>
    <row r="163">
      <c r="A163" t="inlineStr">
        <is>
          <t>162</t>
        </is>
      </c>
      <c r="B163" t="inlineStr"/>
      <c r="C163" s="22" t="inlineStr">
        <is>
          <t>Malaga Bank F.S.B.</t>
        </is>
      </c>
      <c r="D163" s="15" t="inlineStr">
        <is>
          <t>CA Bank</t>
        </is>
      </c>
      <c r="E163" t="inlineStr">
        <is>
          <t>★ Core SoCal</t>
        </is>
      </c>
      <c r="F163" s="23" t="inlineStr">
        <is>
          <t>1/4  ✗SUW ✗Onl ✓SoCal ✗Card</t>
        </is>
      </c>
      <c r="G163" t="inlineStr">
        <is>
          <t>N/M</t>
        </is>
      </c>
      <c r="H163" t="inlineStr">
        <is>
          <t>N/M</t>
        </is>
      </c>
      <c r="I163" t="inlineStr"/>
      <c r="J163" t="inlineStr">
        <is>
          <t>No card</t>
        </is>
      </c>
      <c r="K163" t="inlineStr">
        <is>
          <t>—</t>
        </is>
      </c>
      <c r="L163" t="inlineStr">
        <is>
          <t>$1.44B</t>
        </is>
      </c>
      <c r="M163" t="inlineStr">
        <is>
          <t>$0.94B</t>
        </is>
      </c>
      <c r="N163" t="inlineStr">
        <is>
          <t>South Bay Los Angeles since 1985</t>
        </is>
      </c>
      <c r="O163" t="inlineStr">
        <is>
          <t>CA-HQ'd</t>
        </is>
      </c>
      <c r="P163" t="inlineStr">
        <is>
          <t>—</t>
        </is>
      </c>
      <c r="Q163" t="inlineStr">
        <is>
          <t>❌ No card (CRE thrift; debit only)</t>
        </is>
      </c>
      <c r="R163" s="23" t="inlineStr">
        <is>
          <t>None</t>
        </is>
      </c>
      <c r="S163" t="inlineStr">
        <is>
          <t>No</t>
        </is>
      </c>
      <c r="T163" t="inlineStr">
        <is>
          <t>— (no business card)</t>
        </is>
      </c>
      <c r="U163" t="inlineStr">
        <is>
          <t>https://www.malagabank.com</t>
        </is>
      </c>
      <c r="V163" t="inlineStr">
        <is>
          <t>—</t>
        </is>
      </c>
      <c r="W163" t="inlineStr">
        <is>
          <t>N/M</t>
        </is>
      </c>
      <c r="X163" t="inlineStr">
        <is>
          <t>N/M</t>
        </is>
      </c>
      <c r="Y163" t="inlineStr">
        <is>
          <t>N/M</t>
        </is>
      </c>
      <c r="Z163" t="inlineStr">
        <is>
          <t>0</t>
        </is>
      </c>
      <c r="AA163" t="inlineStr">
        <is>
          <t>N/M</t>
        </is>
      </c>
      <c r="AB163" t="inlineStr">
        <is>
          <t>Secured lending $10K-$2M+ (working capital/equipment/CRE); doc reqs undisclosed; no-doc not advertised</t>
        </is>
      </c>
      <c r="AC163" t="inlineStr">
        <is>
          <t>N/M</t>
        </is>
      </c>
      <c r="AD163" t="inlineStr">
        <is>
          <t>Not a card source</t>
        </is>
      </c>
      <c r="AE163" t="inlineStr">
        <is>
          <t>Business Visa DEBIT only</t>
        </is>
      </c>
      <c r="AF163" t="inlineStr">
        <is>
          <t>SoCal / LA (South Bay)</t>
        </is>
      </c>
      <c r="AG163" t="inlineStr">
        <is>
          <t>Palos Verdes Peninsula</t>
        </is>
      </c>
      <c r="AH163" t="inlineStr">
        <is>
          <t>49</t>
        </is>
      </c>
      <c r="AI163" t="inlineStr">
        <is>
          <t>HIGH no-card (CRE thrift, debit-only). 2026-05-28</t>
        </is>
      </c>
      <c r="AJ163" t="inlineStr">
        <is>
          <t>malagabank.com/business-banking-services + /business-loans</t>
        </is>
      </c>
    </row>
    <row r="164">
      <c r="A164" t="inlineStr">
        <is>
          <t>163</t>
        </is>
      </c>
      <c r="B164" t="inlineStr"/>
      <c r="C164" s="22" t="inlineStr">
        <is>
          <t>The Bank of New York Mellon Trust Company, N.A.</t>
        </is>
      </c>
      <c r="D164" s="15" t="inlineStr">
        <is>
          <t>CA Bank</t>
        </is>
      </c>
      <c r="E164" t="inlineStr">
        <is>
          <t>★ Core SoCal</t>
        </is>
      </c>
      <c r="F164" s="23" t="inlineStr">
        <is>
          <t>1/4  ✗SUW ✗Onl ✓SoCal ✗Card</t>
        </is>
      </c>
      <c r="G164" t="inlineStr">
        <is>
          <t>N/M</t>
        </is>
      </c>
      <c r="H164" t="inlineStr">
        <is>
          <t>N/M</t>
        </is>
      </c>
      <c r="I164" t="inlineStr"/>
      <c r="J164" t="inlineStr">
        <is>
          <t>No card</t>
        </is>
      </c>
      <c r="K164" t="inlineStr">
        <is>
          <t>—</t>
        </is>
      </c>
      <c r="L164" t="inlineStr">
        <is>
          <t>$1.39B</t>
        </is>
      </c>
      <c r="M164" t="inlineStr">
        <is>
          <t>N/M</t>
        </is>
      </c>
      <c r="N164" t="inlineStr">
        <is>
          <t>HQ 333 S Hope St, LA; OCC-chartered trust/custody bank; trust offices, not retail branches</t>
        </is>
      </c>
      <c r="O164" t="inlineStr">
        <is>
          <t>CA-HQ'd</t>
        </is>
      </c>
      <c r="P164" t="inlineStr">
        <is>
          <t>—</t>
        </is>
      </c>
      <c r="Q164" t="inlineStr">
        <is>
          <t>❌ No card (corporate trust/custody charter; no public lending)</t>
        </is>
      </c>
      <c r="R164" s="23" t="inlineStr">
        <is>
          <t>None</t>
        </is>
      </c>
      <c r="S164" t="inlineStr">
        <is>
          <t>No</t>
        </is>
      </c>
      <c r="T164" t="inlineStr">
        <is>
          <t>— (no business card)</t>
        </is>
      </c>
      <c r="U164" t="inlineStr">
        <is>
          <t>https://www.bnymellon.com</t>
        </is>
      </c>
      <c r="V164" t="inlineStr">
        <is>
          <t>—</t>
        </is>
      </c>
      <c r="W164" t="inlineStr">
        <is>
          <t>N/M</t>
        </is>
      </c>
      <c r="X164" t="inlineStr">
        <is>
          <t>N/M</t>
        </is>
      </c>
      <c r="Y164" t="inlineStr">
        <is>
          <t>N/M (fiduciary/securitization-trustee entity, not a card issuer)</t>
        </is>
      </c>
      <c r="Z164" t="inlineStr">
        <is>
          <t>0</t>
        </is>
      </c>
      <c r="AA164" t="inlineStr">
        <is>
          <t>N/M</t>
        </is>
      </c>
      <c r="AB164" t="inlineStr">
        <is>
          <t>None (no public-facing lending of any kind)</t>
        </is>
      </c>
      <c r="AC164" t="inlineStr">
        <is>
          <t>N/M</t>
        </is>
      </c>
      <c r="AD164" t="inlineStr">
        <is>
          <t>Not a card source</t>
        </is>
      </c>
      <c r="AE164" t="inlineStr">
        <is>
          <t>None (corporate trust / custody / indenture-trustee services)</t>
        </is>
      </c>
      <c r="AF164" t="inlineStr">
        <is>
          <t>SoCal / LA</t>
        </is>
      </c>
      <c r="AG164" t="inlineStr">
        <is>
          <t>Los Angeles</t>
        </is>
      </c>
      <c r="AH164" t="inlineStr">
        <is>
          <t>52</t>
        </is>
      </c>
      <c r="AI164" t="inlineStr">
        <is>
          <t>HIGH no-card (limited-purpose trust charter; LA HQ). 2026-05-29</t>
        </is>
      </c>
      <c r="AJ164" t="inlineStr">
        <is>
          <t>FDIC cert 23472; ffiec.gov NPW profile 398668; bankbranchlocator.com (LA office)</t>
        </is>
      </c>
    </row>
    <row r="165">
      <c r="A165" t="inlineStr">
        <is>
          <t>164</t>
        </is>
      </c>
      <c r="B165" t="inlineStr"/>
      <c r="C165" s="22" t="inlineStr">
        <is>
          <t>Column National Association</t>
        </is>
      </c>
      <c r="D165" s="15" t="inlineStr">
        <is>
          <t>CA Bank</t>
        </is>
      </c>
      <c r="E165" t="inlineStr">
        <is>
          <t>Other — NorCal</t>
        </is>
      </c>
      <c r="F165" s="23" t="inlineStr">
        <is>
          <t>0/4  ✗SUW ✗Onl ✗SoCal ✗Card</t>
        </is>
      </c>
      <c r="G165" t="inlineStr">
        <is>
          <t>N/M</t>
        </is>
      </c>
      <c r="H165" t="inlineStr">
        <is>
          <t>N/M</t>
        </is>
      </c>
      <c r="I165" t="inlineStr"/>
      <c r="J165" t="inlineStr">
        <is>
          <t>No card</t>
        </is>
      </c>
      <c r="K165" t="inlineStr">
        <is>
          <t>—</t>
        </is>
      </c>
      <c r="L165" t="inlineStr">
        <is>
          <t>$1.39B</t>
        </is>
      </c>
      <c r="M165" t="inlineStr">
        <is>
          <t>N/M</t>
        </is>
      </c>
      <c r="N165" t="inlineStr">
        <is>
          <t>HQ Chico; nationally-chartered BaaS bank (founded 2021 by Plaid co-founder); no retail branches</t>
        </is>
      </c>
      <c r="O165" t="inlineStr">
        <is>
          <t>CA-HQ'd</t>
        </is>
      </c>
      <c r="P165" t="inlineStr">
        <is>
          <t>—</t>
        </is>
      </c>
      <c r="Q165" t="inlineStr">
        <is>
          <t>❌ No card (BaaS sponsor bank; serves fintechs, not end-businesses)</t>
        </is>
      </c>
      <c r="R165" s="23" t="inlineStr">
        <is>
          <t>None (sponsors fintech card programs; not a direct issuer to businesses)</t>
        </is>
      </c>
      <c r="S165" t="inlineStr">
        <is>
          <t>No</t>
        </is>
      </c>
      <c r="T165" t="inlineStr">
        <is>
          <t>— (no business card)</t>
        </is>
      </c>
      <c r="U165" t="inlineStr">
        <is>
          <t>https://column.com</t>
        </is>
      </c>
      <c r="V165" t="inlineStr">
        <is>
          <t>—</t>
        </is>
      </c>
      <c r="W165" t="inlineStr">
        <is>
          <t>N/M</t>
        </is>
      </c>
      <c r="X165" t="inlineStr">
        <is>
          <t>N/M</t>
        </is>
      </c>
      <c r="Y165" t="inlineStr">
        <is>
          <t>N/M (developer-infrastructure / banking-as-a-service)</t>
        </is>
      </c>
      <c r="Z165" t="inlineStr">
        <is>
          <t>0</t>
        </is>
      </c>
      <c r="AA165" t="inlineStr">
        <is>
          <t>N/M</t>
        </is>
      </c>
      <c r="AB165" t="inlineStr">
        <is>
          <t>None direct (provides lending/issuing rails to fintech partners e.g. Mercury/Brex/Ramp — those are partner products)</t>
        </is>
      </c>
      <c r="AC165" t="inlineStr">
        <is>
          <t>N/M</t>
        </is>
      </c>
      <c r="AD165" t="inlineStr">
        <is>
          <t>Not a card source</t>
        </is>
      </c>
      <c r="AE165" t="inlineStr">
        <is>
          <t>None to end-businesses (BaaS rails: accounts, ACH/wire/FedNow, card-issuing infrastructure for fintechs)</t>
        </is>
      </c>
      <c r="AF165" t="inlineStr">
        <is>
          <t>NorCal / Sacramento (Chico)</t>
        </is>
      </c>
      <c r="AG165" t="inlineStr">
        <is>
          <t>Chico</t>
        </is>
      </c>
      <c r="AH165" t="inlineStr">
        <is>
          <t>53</t>
        </is>
      </c>
      <c r="AI165" t="inlineStr">
        <is>
          <t>HIGH no direct-to-business card (BaaS sponsor model). 2026-05-29</t>
        </is>
      </c>
      <c r="AJ165" t="inlineStr">
        <is>
          <t>column.com; FDIC cert 58224; sacra.com/c/column; bankingembedded.com</t>
        </is>
      </c>
    </row>
    <row r="166">
      <c r="A166" t="inlineStr">
        <is>
          <t>165</t>
        </is>
      </c>
      <c r="B166" t="inlineStr"/>
      <c r="C166" s="22" t="inlineStr">
        <is>
          <t>Bank of the Orient</t>
        </is>
      </c>
      <c r="D166" s="15" t="inlineStr">
        <is>
          <t>CA Bank</t>
        </is>
      </c>
      <c r="E166" t="inlineStr">
        <is>
          <t>Other — NorCal</t>
        </is>
      </c>
      <c r="F166" s="23" t="inlineStr">
        <is>
          <t>0/4  ✗SUW ✗Onl ✗SoCal ✗Card</t>
        </is>
      </c>
      <c r="G166" t="inlineStr">
        <is>
          <t>N/M</t>
        </is>
      </c>
      <c r="H166" t="inlineStr">
        <is>
          <t>N/M</t>
        </is>
      </c>
      <c r="I166" t="inlineStr"/>
      <c r="J166" t="inlineStr">
        <is>
          <t>No card</t>
        </is>
      </c>
      <c r="K166" t="inlineStr">
        <is>
          <t>—</t>
        </is>
      </c>
      <c r="L166" t="inlineStr">
        <is>
          <t>$1.16B</t>
        </is>
      </c>
      <c r="M166" t="inlineStr">
        <is>
          <t>N/M</t>
        </is>
      </c>
      <c r="N166" t="inlineStr">
        <is>
          <t>~6 CA branches (NorCal); SF HQ + Xiamen China; Asian-American/trade focus</t>
        </is>
      </c>
      <c r="O166" t="inlineStr">
        <is>
          <t>CA-HQ'd</t>
        </is>
      </c>
      <c r="P166" t="inlineStr">
        <is>
          <t>—</t>
        </is>
      </c>
      <c r="Q166" t="inlineStr">
        <is>
          <t>❌ No card (debit + commercial lending only)</t>
        </is>
      </c>
      <c r="R166" s="23" t="inlineStr">
        <is>
          <t>None</t>
        </is>
      </c>
      <c r="S166" t="inlineStr">
        <is>
          <t>No</t>
        </is>
      </c>
      <c r="T166" t="inlineStr">
        <is>
          <t>— (no business card)</t>
        </is>
      </c>
      <c r="U166" t="inlineStr">
        <is>
          <t>https://www.bankorient.com</t>
        </is>
      </c>
      <c r="V166" t="inlineStr">
        <is>
          <t>—</t>
        </is>
      </c>
      <c r="W166" t="inlineStr">
        <is>
          <t>N/M</t>
        </is>
      </c>
      <c r="X166" t="inlineStr">
        <is>
          <t>N/M</t>
        </is>
      </c>
      <c r="Y166" t="inlineStr">
        <is>
          <t>N/M</t>
        </is>
      </c>
      <c r="Z166" t="inlineStr">
        <is>
          <t>0</t>
        </is>
      </c>
      <c r="AA166" t="inlineStr">
        <is>
          <t>N/M</t>
        </is>
      </c>
      <c r="AB166" t="inlineStr">
        <is>
          <t>None (term/LOC/SBA conventional underwriting)</t>
        </is>
      </c>
      <c r="AC166" t="inlineStr">
        <is>
          <t>N/M</t>
        </is>
      </c>
      <c r="AD166" t="inlineStr">
        <is>
          <t>Not a card source</t>
        </is>
      </c>
      <c r="AE166" t="inlineStr">
        <is>
          <t>None (debit cards + commercial lending only)</t>
        </is>
      </c>
      <c r="AF166" t="inlineStr">
        <is>
          <t>NorCal / SF</t>
        </is>
      </c>
      <c r="AG166" t="inlineStr">
        <is>
          <t>San Francisco</t>
        </is>
      </c>
      <c r="AH166" t="inlineStr">
        <is>
          <t>57</t>
        </is>
      </c>
      <c r="AI166" t="inlineStr">
        <is>
          <t>HIGH no-card (own site nav; debit only). 2026-05-29</t>
        </is>
      </c>
      <c r="AJ166" t="inlineStr">
        <is>
          <t>bankorient.com (site nav, Business Solutions, Debit Cards); dfpi.ca.gov</t>
        </is>
      </c>
    </row>
    <row r="167">
      <c r="A167" t="inlineStr">
        <is>
          <t>166</t>
        </is>
      </c>
      <c r="B167" t="inlineStr"/>
      <c r="C167" s="22" t="inlineStr">
        <is>
          <t>Water and Power Community Credit Union</t>
        </is>
      </c>
      <c r="D167" s="11" t="inlineStr">
        <is>
          <t>Credit Union</t>
        </is>
      </c>
      <c r="E167" t="inlineStr">
        <is>
          <t>★ Core SoCal</t>
        </is>
      </c>
      <c r="F167" s="23" t="inlineStr">
        <is>
          <t>1/4  ✗SUW ✗Onl ✓SoCal ✗Card</t>
        </is>
      </c>
      <c r="G167" s="9" t="inlineStr">
        <is>
          <t>Reports overdrawn accts to Chex (own FAQ 2026-06-10); screening N/M</t>
        </is>
      </c>
      <c r="H167" t="inlineStr">
        <is>
          <t>N/M</t>
        </is>
      </c>
      <c r="I167" t="inlineStr"/>
      <c r="J167" t="inlineStr">
        <is>
          <t>No card</t>
        </is>
      </c>
      <c r="K167" t="inlineStr">
        <is>
          <t>—</t>
        </is>
      </c>
      <c r="L167" t="inlineStr">
        <is>
          <t>~$1.1B</t>
        </is>
      </c>
      <c r="M167" t="inlineStr">
        <is>
          <t>—</t>
        </is>
      </c>
      <c r="N167" t="inlineStr">
        <is>
          <t>3 LA branches</t>
        </is>
      </c>
      <c r="O167" t="inlineStr">
        <is>
          <t>CA-HQ'd</t>
        </is>
      </c>
      <c r="P167" t="inlineStr">
        <is>
          <t>—</t>
        </is>
      </c>
      <c r="Q167" t="inlineStr">
        <is>
          <t>❌ No business products (consumer Mastercard only)</t>
        </is>
      </c>
      <c r="R167" s="23" t="inlineStr">
        <is>
          <t>None for business</t>
        </is>
      </c>
      <c r="S167" t="inlineStr">
        <is>
          <t>No</t>
        </is>
      </c>
      <c r="T167" t="inlineStr">
        <is>
          <t>— (no business card)</t>
        </is>
      </c>
      <c r="U167" t="inlineStr">
        <is>
          <t>https://www.wpccu.org</t>
        </is>
      </c>
      <c r="V167" t="inlineStr">
        <is>
          <t>—</t>
        </is>
      </c>
      <c r="W167" t="inlineStr">
        <is>
          <t>N/M</t>
        </is>
      </c>
      <c r="X167" t="inlineStr">
        <is>
          <t>N/M</t>
        </is>
      </c>
      <c r="Y167" t="inlineStr">
        <is>
          <t>Chex: REPORTS overdrawn accounts (own FAQ); screening N/M. Light census 2026-06-10.</t>
        </is>
      </c>
      <c r="Z167" t="inlineStr">
        <is>
          <t>0</t>
        </is>
      </c>
      <c r="AA167" t="inlineStr">
        <is>
          <t>N/M</t>
        </is>
      </c>
      <c r="AB167" t="inlineStr">
        <is>
          <t>None</t>
        </is>
      </c>
      <c r="AC167" t="inlineStr">
        <is>
          <t>Membership OPEN: LA County community charter (live/work/worship/school)</t>
        </is>
      </c>
      <c r="AD167" t="inlineStr">
        <is>
          <t>Not a card source</t>
        </is>
      </c>
      <c r="AE167" t="inlineStr">
        <is>
          <t>None for business</t>
        </is>
      </c>
      <c r="AF167" t="inlineStr">
        <is>
          <t>SoCal / LA (Sunset HQ + Westchester + Granada Hills)</t>
        </is>
      </c>
      <c r="AG167" t="inlineStr">
        <is>
          <t>Los Angeles, CA</t>
        </is>
      </c>
      <c r="AH167" t="inlineStr">
        <is>
          <t>CU</t>
        </is>
      </c>
      <c r="AI167" t="inlineStr">
        <is>
          <t>HIGH no-biz. Light census 2026-06-10</t>
        </is>
      </c>
      <c r="AJ167" t="inlineStr">
        <is>
          <t>wpccu.org services + courtesy-pay FAQ + LA-county expansion blog</t>
        </is>
      </c>
    </row>
    <row r="168">
      <c r="A168" t="inlineStr">
        <is>
          <t>167</t>
        </is>
      </c>
      <c r="B168" t="inlineStr"/>
      <c r="C168" s="22" t="inlineStr">
        <is>
          <t>Pacific Coast Bankers' Bank (PCBB)</t>
        </is>
      </c>
      <c r="D168" s="15" t="inlineStr">
        <is>
          <t>CA Bank</t>
        </is>
      </c>
      <c r="E168" t="inlineStr">
        <is>
          <t>Other — NorCal</t>
        </is>
      </c>
      <c r="F168" s="23" t="inlineStr">
        <is>
          <t>0/4  ✗SUW ✗Onl ✗SoCal ✗Card</t>
        </is>
      </c>
      <c r="G168" t="inlineStr">
        <is>
          <t>N/M</t>
        </is>
      </c>
      <c r="H168" t="inlineStr">
        <is>
          <t>N/M</t>
        </is>
      </c>
      <c r="I168" t="inlineStr"/>
      <c r="J168" t="inlineStr">
        <is>
          <t>No card</t>
        </is>
      </c>
      <c r="K168" t="inlineStr">
        <is>
          <t>—</t>
        </is>
      </c>
      <c r="L168" t="inlineStr">
        <is>
          <t>$1.08B</t>
        </is>
      </c>
      <c r="M168" t="inlineStr">
        <is>
          <t>N/M</t>
        </is>
      </c>
      <c r="N168" t="inlineStr">
        <is>
          <t>Bankers'-bank (wholesale 'bank for banks'); national FI clientele; no retail/business channel</t>
        </is>
      </c>
      <c r="O168" t="inlineStr">
        <is>
          <t>CA-HQ'd</t>
        </is>
      </c>
      <c r="P168" t="inlineStr">
        <is>
          <t>—</t>
        </is>
      </c>
      <c r="Q168" t="inlineStr">
        <is>
          <t>❌ No card (bankers' bank — serves financial institutions, not businesses)</t>
        </is>
      </c>
      <c r="R168" s="23" t="inlineStr">
        <is>
          <t>None</t>
        </is>
      </c>
      <c r="S168" t="inlineStr">
        <is>
          <t>No</t>
        </is>
      </c>
      <c r="T168" t="inlineStr">
        <is>
          <t>— (no business card)</t>
        </is>
      </c>
      <c r="U168" t="inlineStr">
        <is>
          <t>https://www.pcbb.com</t>
        </is>
      </c>
      <c r="V168" t="inlineStr">
        <is>
          <t>—</t>
        </is>
      </c>
      <c r="W168" t="inlineStr">
        <is>
          <t>N/M</t>
        </is>
      </c>
      <c r="X168" t="inlineStr">
        <is>
          <t>N/M</t>
        </is>
      </c>
      <c r="Y168" t="inlineStr">
        <is>
          <t>N/M ('will never compete for your customers')</t>
        </is>
      </c>
      <c r="Z168" t="inlineStr">
        <is>
          <t>0</t>
        </is>
      </c>
      <c r="AA168" t="inlineStr">
        <is>
          <t>N/M</t>
        </is>
      </c>
      <c r="AB168" t="inlineStr">
        <is>
          <t>None (correspondent/inter-bank services only: loan hedging, participations, cash mgmt)</t>
        </is>
      </c>
      <c r="AC168" t="inlineStr">
        <is>
          <t>N/M</t>
        </is>
      </c>
      <c r="AD168" t="inlineStr">
        <is>
          <t>Not a card source</t>
        </is>
      </c>
      <c r="AE168" t="inlineStr">
        <is>
          <t>None (advisory, international banking, cash management, lending services — all inter-bank)</t>
        </is>
      </c>
      <c r="AF168" t="inlineStr">
        <is>
          <t>NorCal / SF-East Bay</t>
        </is>
      </c>
      <c r="AG168" t="inlineStr">
        <is>
          <t>Walnut Creek</t>
        </is>
      </c>
      <c r="AH168" t="inlineStr">
        <is>
          <t>60</t>
        </is>
      </c>
      <c r="AI168" t="inlineStr">
        <is>
          <t>HIGH no-card (bankers'-bank model; no public card product at all). 2026-05-29</t>
        </is>
      </c>
      <c r="AJ168" t="inlineStr">
        <is>
          <t>pcbb.com/products; pcbb.com/company; FDIC cert 34252</t>
        </is>
      </c>
    </row>
    <row r="169">
      <c r="A169" t="inlineStr">
        <is>
          <t>168</t>
        </is>
      </c>
      <c r="B169" t="inlineStr"/>
      <c r="C169" s="22" t="inlineStr">
        <is>
          <t>OneUnited Bank</t>
        </is>
      </c>
      <c r="D169" s="8" t="inlineStr">
        <is>
          <t>Regional</t>
        </is>
      </c>
      <c r="E169" t="inlineStr">
        <is>
          <t>★ Core SoCal</t>
        </is>
      </c>
      <c r="F169" s="23" t="inlineStr">
        <is>
          <t>1/4  ✗SUW ✗Onl ✓SoCal ✗Card</t>
        </is>
      </c>
      <c r="G169" s="6" t="inlineStr">
        <is>
          <t>Yes — own pages confirm; U2 second-chance available (2026-06-10)</t>
        </is>
      </c>
      <c r="H169" t="inlineStr">
        <is>
          <t>N/M</t>
        </is>
      </c>
      <c r="I169" t="inlineStr"/>
      <c r="J169" t="inlineStr">
        <is>
          <t>No card</t>
        </is>
      </c>
      <c r="K169" t="inlineStr">
        <is>
          <t>—</t>
        </is>
      </c>
      <c r="L169" t="inlineStr">
        <is>
          <t>N/M</t>
        </is>
      </c>
      <c r="M169" t="inlineStr">
        <is>
          <t>N/M</t>
        </is>
      </c>
      <c r="N169" t="inlineStr">
        <is>
          <t>2 LA branches: 3683 Crenshaw Blvd + 1495 N Wilmington Ave</t>
        </is>
      </c>
      <c r="O169" t="inlineStr">
        <is>
          <t>N/M</t>
        </is>
      </c>
      <c r="P169" t="inlineStr">
        <is>
          <t>—</t>
        </is>
      </c>
      <c r="Q169" t="inlineStr">
        <is>
          <t>❌ No business card (consumer UNITY Visa secured only; small-biz lending referred to Lendistry)</t>
        </is>
      </c>
      <c r="R169" s="23" t="inlineStr">
        <is>
          <t>None for business</t>
        </is>
      </c>
      <c r="S169" t="inlineStr">
        <is>
          <t>No</t>
        </is>
      </c>
      <c r="T169" t="inlineStr">
        <is>
          <t>— (no business card)</t>
        </is>
      </c>
      <c r="U169" t="inlineStr">
        <is>
          <t>https://www.oneunited.com</t>
        </is>
      </c>
      <c r="V169" t="inlineStr">
        <is>
          <t>—</t>
        </is>
      </c>
      <c r="W169" t="inlineStr">
        <is>
          <t>N/M</t>
        </is>
      </c>
      <c r="X169" t="inlineStr">
        <is>
          <t>N/M</t>
        </is>
      </c>
      <c r="Y169" t="inlineStr">
        <is>
          <t>Biz accounts branch-only. Chex: YES + U2 second-chance account. Light census 2026-06-10.</t>
        </is>
      </c>
      <c r="Z169" t="inlineStr">
        <is>
          <t>0</t>
        </is>
      </c>
      <c r="AA169" t="inlineStr">
        <is>
          <t>N/M</t>
        </is>
      </c>
      <c r="AB169" t="inlineStr">
        <is>
          <t>None (Lendistry referral)</t>
        </is>
      </c>
      <c r="AC169" t="inlineStr">
        <is>
          <t>N/M</t>
        </is>
      </c>
      <c r="AD169" t="inlineStr">
        <is>
          <t>Not a card source</t>
        </is>
      </c>
      <c r="AE169" t="inlineStr">
        <is>
          <t>None for business (consumer UNITY secured Visa)</t>
        </is>
      </c>
      <c r="AF169" t="inlineStr">
        <is>
          <t>SoCal / LA (Crenshaw + Compton; MA-HQ'd; Black-owned)</t>
        </is>
      </c>
      <c r="AG169" t="inlineStr">
        <is>
          <t>Boston, MA</t>
        </is>
      </c>
      <c r="AH169" t="inlineStr">
        <is>
          <t>Reg</t>
        </is>
      </c>
      <c r="AI169" t="inlineStr">
        <is>
          <t>HIGH no-biz-card. Light census 2026-06-10</t>
        </is>
      </c>
      <c r="AJ169" t="inlineStr">
        <is>
          <t>oneunited.com/business-banking; community.oneunited.com; unchex.com</t>
        </is>
      </c>
    </row>
    <row r="170">
      <c r="A170" t="inlineStr">
        <is>
          <t>169</t>
        </is>
      </c>
      <c r="B170" t="inlineStr"/>
      <c r="C170" s="22" t="inlineStr">
        <is>
          <t>ICBC USA, N.A.</t>
        </is>
      </c>
      <c r="D170" s="8" t="inlineStr">
        <is>
          <t>Regional</t>
        </is>
      </c>
      <c r="E170" t="inlineStr">
        <is>
          <t>★ Core SoCal</t>
        </is>
      </c>
      <c r="F170" s="23" t="inlineStr">
        <is>
          <t>1/4  ✗SUW ✗Onl ✓SoCal ✗Card</t>
        </is>
      </c>
      <c r="G170" t="inlineStr">
        <is>
          <t>N/M</t>
        </is>
      </c>
      <c r="H170" t="inlineStr">
        <is>
          <t>N/M</t>
        </is>
      </c>
      <c r="I170" t="inlineStr"/>
      <c r="J170" t="inlineStr">
        <is>
          <t>No card</t>
        </is>
      </c>
      <c r="K170" t="inlineStr">
        <is>
          <t>—</t>
        </is>
      </c>
      <c r="L170" t="inlineStr">
        <is>
          <t>N/M</t>
        </is>
      </c>
      <c r="M170" t="inlineStr">
        <is>
          <t>N/M</t>
        </is>
      </c>
      <c r="N170" t="inlineStr">
        <is>
          <t>Alhambra, San Gabriel, Hacienda Heights, Temple City, Torrance</t>
        </is>
      </c>
      <c r="O170" t="inlineStr">
        <is>
          <t>N/M</t>
        </is>
      </c>
      <c r="P170" t="inlineStr">
        <is>
          <t>—</t>
        </is>
      </c>
      <c r="Q170" t="inlineStr">
        <is>
          <t>❌ No business card (4 consumer UnionPay/Visa cards only; deposit relationship required)</t>
        </is>
      </c>
      <c r="R170" s="23" t="inlineStr">
        <is>
          <t>None for business</t>
        </is>
      </c>
      <c r="S170" t="inlineStr">
        <is>
          <t>No</t>
        </is>
      </c>
      <c r="T170" t="inlineStr">
        <is>
          <t>— (no business card)</t>
        </is>
      </c>
      <c r="U170" t="inlineStr">
        <is>
          <t>https://www.icbc-us.com</t>
        </is>
      </c>
      <c r="V170" t="inlineStr">
        <is>
          <t>—</t>
        </is>
      </c>
      <c r="W170" t="inlineStr">
        <is>
          <t>N/M</t>
        </is>
      </c>
      <c r="X170" t="inlineStr">
        <is>
          <t>N/M</t>
        </is>
      </c>
      <c r="Y170" t="inlineStr">
        <is>
          <t>Cards via email/branch. Commercial loans listed; LOC unspecified. Light census 2026-06-10.</t>
        </is>
      </c>
      <c r="Z170" t="inlineStr">
        <is>
          <t>0</t>
        </is>
      </c>
      <c r="AA170" t="inlineStr">
        <is>
          <t>N/M</t>
        </is>
      </c>
      <c r="AB170" t="inlineStr">
        <is>
          <t>None published</t>
        </is>
      </c>
      <c r="AC170" t="inlineStr">
        <is>
          <t>N/M</t>
        </is>
      </c>
      <c r="AD170" t="inlineStr">
        <is>
          <t>Not a card source</t>
        </is>
      </c>
      <c r="AE170" t="inlineStr">
        <is>
          <t>None for business (consumer cards only)</t>
        </is>
      </c>
      <c r="AF170" t="inlineStr">
        <is>
          <t>SoCal / LA (5 branches; NY-HQ'd)</t>
        </is>
      </c>
      <c r="AG170" t="inlineStr">
        <is>
          <t>New York, NY</t>
        </is>
      </c>
      <c r="AH170" t="inlineStr">
        <is>
          <t>Reg</t>
        </is>
      </c>
      <c r="AI170" t="inlineStr">
        <is>
          <t>HIGH no-biz-card. Light census 2026-06-10</t>
        </is>
      </c>
      <c r="AJ170" t="inlineStr">
        <is>
          <t>icbc-us.com credit-card pages; doctorofcredit.com 2016 review</t>
        </is>
      </c>
    </row>
    <row r="171">
      <c r="A171" t="inlineStr">
        <is>
          <t>170</t>
        </is>
      </c>
      <c r="B171" t="inlineStr"/>
      <c r="C171" s="22" t="inlineStr">
        <is>
          <t>American First National Bank</t>
        </is>
      </c>
      <c r="D171" s="8" t="inlineStr">
        <is>
          <t>Regional</t>
        </is>
      </c>
      <c r="E171" t="inlineStr">
        <is>
          <t>★ Core SoCal</t>
        </is>
      </c>
      <c r="F171" s="23" t="inlineStr">
        <is>
          <t>1/4  ✗SUW ✗Onl ✓SoCal ✗Card</t>
        </is>
      </c>
      <c r="G171" t="inlineStr">
        <is>
          <t>N/M</t>
        </is>
      </c>
      <c r="H171" t="inlineStr">
        <is>
          <t>N/M</t>
        </is>
      </c>
      <c r="I171" t="inlineStr"/>
      <c r="J171" t="inlineStr">
        <is>
          <t>No card</t>
        </is>
      </c>
      <c r="K171" t="inlineStr">
        <is>
          <t>—</t>
        </is>
      </c>
      <c r="L171" t="inlineStr">
        <is>
          <t>N/M</t>
        </is>
      </c>
      <c r="M171" t="inlineStr">
        <is>
          <t>N/M</t>
        </is>
      </c>
      <c r="N171" t="inlineStr">
        <is>
          <t>City of Industry, Alhambra, Arcadia</t>
        </is>
      </c>
      <c r="O171" t="inlineStr">
        <is>
          <t>N/M</t>
        </is>
      </c>
      <c r="P171" t="inlineStr">
        <is>
          <t>—</t>
        </is>
      </c>
      <c r="Q171" t="inlineStr">
        <is>
          <t>❌ No business card (debit only)</t>
        </is>
      </c>
      <c r="R171" s="23" t="inlineStr">
        <is>
          <t>None</t>
        </is>
      </c>
      <c r="S171" t="inlineStr">
        <is>
          <t>No</t>
        </is>
      </c>
      <c r="T171" t="inlineStr">
        <is>
          <t>— (no business card)</t>
        </is>
      </c>
      <c r="U171" t="inlineStr">
        <is>
          <t>https://www.afnb.com</t>
        </is>
      </c>
      <c r="V171" t="inlineStr">
        <is>
          <t>—</t>
        </is>
      </c>
      <c r="W171" t="inlineStr">
        <is>
          <t>N/M</t>
        </is>
      </c>
      <c r="X171" t="inlineStr">
        <is>
          <t>N/M</t>
        </is>
      </c>
      <c r="Y171" t="inlineStr">
        <is>
          <t>Commercial LOCs (working capital + LC) — amounts N/M, phone-driven. Light census 2026-06-10.</t>
        </is>
      </c>
      <c r="Z171" t="inlineStr">
        <is>
          <t>0</t>
        </is>
      </c>
      <c r="AA171" t="inlineStr">
        <is>
          <t>N/M</t>
        </is>
      </c>
      <c r="AB171" t="inlineStr">
        <is>
          <t>None published</t>
        </is>
      </c>
      <c r="AC171" t="inlineStr">
        <is>
          <t>N/M</t>
        </is>
      </c>
      <c r="AD171" t="inlineStr">
        <is>
          <t>Not a card source</t>
        </is>
      </c>
      <c r="AE171" t="inlineStr">
        <is>
          <t>None (commercial LOC only)</t>
        </is>
      </c>
      <c r="AF171" t="inlineStr">
        <is>
          <t>SoCal / LA (3 branches; TX-HQ'd; Asian-American)</t>
        </is>
      </c>
      <c r="AG171" t="inlineStr">
        <is>
          <t>Houston, TX</t>
        </is>
      </c>
      <c r="AH171" t="inlineStr">
        <is>
          <t>Reg</t>
        </is>
      </c>
      <c r="AI171" t="inlineStr">
        <is>
          <t>HIGH no-card. Light census 2026-06-10</t>
        </is>
      </c>
      <c r="AJ171" t="inlineStr">
        <is>
          <t>afnb.com/products/commercial/commercial-loans + /locations</t>
        </is>
      </c>
    </row>
    <row r="172">
      <c r="A172" t="inlineStr">
        <is>
          <t>171</t>
        </is>
      </c>
      <c r="B172" t="inlineStr"/>
      <c r="C172" s="22" t="inlineStr">
        <is>
          <t>Golden Bank, N.A.</t>
        </is>
      </c>
      <c r="D172" s="8" t="inlineStr">
        <is>
          <t>Regional</t>
        </is>
      </c>
      <c r="E172" t="inlineStr">
        <is>
          <t>★ Core SoCal</t>
        </is>
      </c>
      <c r="F172" s="23" t="inlineStr">
        <is>
          <t>1/4  ✗SUW ✗Onl ✓SoCal ✗Card</t>
        </is>
      </c>
      <c r="G172" t="inlineStr">
        <is>
          <t>N/M</t>
        </is>
      </c>
      <c r="H172" t="inlineStr">
        <is>
          <t>N/M</t>
        </is>
      </c>
      <c r="I172" t="inlineStr"/>
      <c r="J172" t="inlineStr">
        <is>
          <t>No card</t>
        </is>
      </c>
      <c r="K172" t="inlineStr">
        <is>
          <t>—</t>
        </is>
      </c>
      <c r="L172" t="inlineStr">
        <is>
          <t>N/M</t>
        </is>
      </c>
      <c r="M172" t="inlineStr">
        <is>
          <t>N/M</t>
        </is>
      </c>
      <c r="N172" t="inlineStr">
        <is>
          <t>3 branches + 1 LPO</t>
        </is>
      </c>
      <c r="O172" t="inlineStr">
        <is>
          <t>N/M</t>
        </is>
      </c>
      <c r="P172" t="inlineStr">
        <is>
          <t>—</t>
        </is>
      </c>
      <c r="Q172" t="inlineStr">
        <is>
          <t>❌ No business card found</t>
        </is>
      </c>
      <c r="R172" s="23" t="inlineStr">
        <is>
          <t>None</t>
        </is>
      </c>
      <c r="S172" t="inlineStr">
        <is>
          <t>No</t>
        </is>
      </c>
      <c r="T172" t="inlineStr">
        <is>
          <t>— (no business card)</t>
        </is>
      </c>
      <c r="U172" t="inlineStr">
        <is>
          <t>https://www.goldenbank-na.com</t>
        </is>
      </c>
      <c r="V172" t="inlineStr">
        <is>
          <t>—</t>
        </is>
      </c>
      <c r="W172" t="inlineStr">
        <is>
          <t>N/M</t>
        </is>
      </c>
      <c r="X172" t="inlineStr">
        <is>
          <t>N/M</t>
        </is>
      </c>
      <c r="Y172" t="inlineStr">
        <is>
          <t>Revolving working-capital LOC (amounts N/M); SBA PLP, in-house approval. Light census 2026-06-10.</t>
        </is>
      </c>
      <c r="Z172" t="inlineStr">
        <is>
          <t>0</t>
        </is>
      </c>
      <c r="AA172" t="inlineStr">
        <is>
          <t>N/M</t>
        </is>
      </c>
      <c r="AB172" t="inlineStr">
        <is>
          <t>None published</t>
        </is>
      </c>
      <c r="AC172" t="inlineStr">
        <is>
          <t>N/M</t>
        </is>
      </c>
      <c r="AD172" t="inlineStr">
        <is>
          <t>Not a card source</t>
        </is>
      </c>
      <c r="AE172" t="inlineStr">
        <is>
          <t>None (LOC + SBA)</t>
        </is>
      </c>
      <c r="AF172" t="inlineStr">
        <is>
          <t>SoCal / LA-OC (Tustin, Alhambra, Rowland Heights + Irvine LPO; TX-HQ'd; Taiwanese-American)</t>
        </is>
      </c>
      <c r="AG172" t="inlineStr">
        <is>
          <t>Houston, TX</t>
        </is>
      </c>
      <c r="AH172" t="inlineStr">
        <is>
          <t>Reg</t>
        </is>
      </c>
      <c r="AI172" t="inlineStr">
        <is>
          <t>HIGH no-card. Light census 2026-06-10</t>
        </is>
      </c>
      <c r="AJ172" t="inlineStr">
        <is>
          <t>goldenbank-na.com/lending/commerical/business-loans + locations</t>
        </is>
      </c>
    </row>
    <row r="173">
      <c r="A173" t="inlineStr">
        <is>
          <t>172</t>
        </is>
      </c>
      <c r="B173" t="inlineStr"/>
      <c r="C173" s="22" t="inlineStr">
        <is>
          <t>Southwestern National Bank</t>
        </is>
      </c>
      <c r="D173" s="8" t="inlineStr">
        <is>
          <t>Regional</t>
        </is>
      </c>
      <c r="E173" t="inlineStr">
        <is>
          <t>★ Core SoCal</t>
        </is>
      </c>
      <c r="F173" s="23" t="inlineStr">
        <is>
          <t>1/4  ✗SUW ✗Onl ✓SoCal ✗Card</t>
        </is>
      </c>
      <c r="G173" t="inlineStr">
        <is>
          <t>N/M</t>
        </is>
      </c>
      <c r="H173" t="inlineStr">
        <is>
          <t>N/M</t>
        </is>
      </c>
      <c r="I173" t="inlineStr"/>
      <c r="J173" t="inlineStr">
        <is>
          <t>No card</t>
        </is>
      </c>
      <c r="K173" t="inlineStr">
        <is>
          <t>—</t>
        </is>
      </c>
      <c r="L173" t="inlineStr">
        <is>
          <t>N/M</t>
        </is>
      </c>
      <c r="M173" t="inlineStr">
        <is>
          <t>N/M</t>
        </is>
      </c>
      <c r="N173" t="inlineStr">
        <is>
          <t>3530 Wilshire Blvd + 2951 W Ball Rd Anaheim</t>
        </is>
      </c>
      <c r="O173" t="inlineStr">
        <is>
          <t>N/M</t>
        </is>
      </c>
      <c r="P173" t="inlineStr">
        <is>
          <t>—</t>
        </is>
      </c>
      <c r="Q173" t="inlineStr">
        <is>
          <t>❌ No business credit card (Business VISA DEBIT only). NOT 'Southwest National Bank' Wichita KS</t>
        </is>
      </c>
      <c r="R173" s="23" t="inlineStr">
        <is>
          <t>None</t>
        </is>
      </c>
      <c r="S173" t="inlineStr">
        <is>
          <t>No</t>
        </is>
      </c>
      <c r="T173" t="inlineStr">
        <is>
          <t>— (no business card)</t>
        </is>
      </c>
      <c r="U173" t="inlineStr">
        <is>
          <t>https://www.swnbk.com</t>
        </is>
      </c>
      <c r="V173" t="inlineStr">
        <is>
          <t>—</t>
        </is>
      </c>
      <c r="W173" t="inlineStr">
        <is>
          <t>N/M</t>
        </is>
      </c>
      <c r="X173" t="inlineStr">
        <is>
          <t>N/M</t>
        </is>
      </c>
      <c r="Y173" t="inlineStr">
        <is>
          <t>BLOC page exists (amounts N/M, phone-driven). Light census 2026-06-10.</t>
        </is>
      </c>
      <c r="Z173" t="inlineStr">
        <is>
          <t>0</t>
        </is>
      </c>
      <c r="AA173" t="inlineStr">
        <is>
          <t>N/M</t>
        </is>
      </c>
      <c r="AB173" t="inlineStr">
        <is>
          <t>None published</t>
        </is>
      </c>
      <c r="AC173" t="inlineStr">
        <is>
          <t>N/M</t>
        </is>
      </c>
      <c r="AD173" t="inlineStr">
        <is>
          <t>Not a card source</t>
        </is>
      </c>
      <c r="AE173" t="inlineStr">
        <is>
          <t>None (debit only)</t>
        </is>
      </c>
      <c r="AF173" t="inlineStr">
        <is>
          <t>SoCal / LA-OC (Wilshire LA + Anaheim; TX-HQ'd; Asian-American)</t>
        </is>
      </c>
      <c r="AG173" t="inlineStr">
        <is>
          <t>Houston, TX</t>
        </is>
      </c>
      <c r="AH173" t="inlineStr">
        <is>
          <t>Reg</t>
        </is>
      </c>
      <c r="AI173" t="inlineStr">
        <is>
          <t>HIGH no-card. Light census 2026-06-10</t>
        </is>
      </c>
      <c r="AJ173" t="inlineStr">
        <is>
          <t>swnbk.com/Loans/Business-Line-of-Credit + /About-Us/Locations</t>
        </is>
      </c>
    </row>
    <row r="174">
      <c r="A174" t="inlineStr">
        <is>
          <t>173</t>
        </is>
      </c>
      <c r="B174" t="inlineStr"/>
      <c r="C174" s="22" t="inlineStr">
        <is>
          <t>First IC Bank</t>
        </is>
      </c>
      <c r="D174" s="8" t="inlineStr">
        <is>
          <t>Regional</t>
        </is>
      </c>
      <c r="E174" t="inlineStr">
        <is>
          <t>★ Core SoCal</t>
        </is>
      </c>
      <c r="F174" s="23" t="inlineStr">
        <is>
          <t>1/4  ✗SUW ✗Onl ✓SoCal ✗Card</t>
        </is>
      </c>
      <c r="G174" t="inlineStr">
        <is>
          <t>N/M</t>
        </is>
      </c>
      <c r="H174" t="inlineStr">
        <is>
          <t>N/M</t>
        </is>
      </c>
      <c r="I174" t="inlineStr"/>
      <c r="J174" t="inlineStr">
        <is>
          <t>No card</t>
        </is>
      </c>
      <c r="K174" t="inlineStr">
        <is>
          <t>—</t>
        </is>
      </c>
      <c r="L174" t="inlineStr">
        <is>
          <t>N/M</t>
        </is>
      </c>
      <c r="M174" t="inlineStr">
        <is>
          <t>N/M</t>
        </is>
      </c>
      <c r="N174" t="inlineStr">
        <is>
          <t>1 LA branch (10 total CA/GA/NJ/NY/TX/WA)</t>
        </is>
      </c>
      <c r="O174" t="inlineStr">
        <is>
          <t>N/M</t>
        </is>
      </c>
      <c r="P174" t="inlineStr">
        <is>
          <t>—</t>
        </is>
      </c>
      <c r="Q174" t="inlineStr">
        <is>
          <t>❌ No business card advertised ('Card Hub' = management only). MetroCity acquisition pending (~Q4 2025 close) — recheck post-merger</t>
        </is>
      </c>
      <c r="R174" s="23" t="inlineStr">
        <is>
          <t>None found</t>
        </is>
      </c>
      <c r="S174" t="inlineStr">
        <is>
          <t>No</t>
        </is>
      </c>
      <c r="T174" t="inlineStr">
        <is>
          <t>— (no business card)</t>
        </is>
      </c>
      <c r="U174" t="inlineStr">
        <is>
          <t>https://www.firsticbank.com</t>
        </is>
      </c>
      <c r="V174" t="inlineStr">
        <is>
          <t>—</t>
        </is>
      </c>
      <c r="W174" t="inlineStr">
        <is>
          <t>N/M</t>
        </is>
      </c>
      <c r="X174" t="inlineStr">
        <is>
          <t>N/M</t>
        </is>
      </c>
      <c r="Y174" t="inlineStr">
        <is>
          <t>SBA/commercial lending; LOC unspecified. Light census 2026-06-10.</t>
        </is>
      </c>
      <c r="Z174" t="inlineStr">
        <is>
          <t>0</t>
        </is>
      </c>
      <c r="AA174" t="inlineStr">
        <is>
          <t>N/M</t>
        </is>
      </c>
      <c r="AB174" t="inlineStr">
        <is>
          <t>None published</t>
        </is>
      </c>
      <c r="AC174" t="inlineStr">
        <is>
          <t>N/M</t>
        </is>
      </c>
      <c r="AD174" t="inlineStr">
        <is>
          <t>Not a card source</t>
        </is>
      </c>
      <c r="AE174" t="inlineStr">
        <is>
          <t>None advertised</t>
        </is>
      </c>
      <c r="AF174" t="inlineStr">
        <is>
          <t>SoCal / LA (1 branch; GA-HQ'd; Korean-American)</t>
        </is>
      </c>
      <c r="AG174" t="inlineStr">
        <is>
          <t>Doraville, GA</t>
        </is>
      </c>
      <c r="AH174" t="inlineStr">
        <is>
          <t>Reg</t>
        </is>
      </c>
      <c r="AI174" t="inlineStr">
        <is>
          <t>MED no-card (archived nav; merger in flux). Light census 2026-06-10</t>
        </is>
      </c>
      <c r="AJ174" t="inlineStr">
        <is>
          <t>firsticbank.com (Wayback 2025-12-21); americanbanker.com (MetroCity deal)</t>
        </is>
      </c>
    </row>
    <row r="175">
      <c r="A175" t="inlineStr">
        <is>
          <t>174</t>
        </is>
      </c>
      <c r="B175" t="inlineStr"/>
      <c r="C175" s="22" t="inlineStr">
        <is>
          <t>Wilmington Trust, N.A.</t>
        </is>
      </c>
      <c r="D175" s="8" t="inlineStr">
        <is>
          <t>Regional</t>
        </is>
      </c>
      <c r="E175" t="inlineStr">
        <is>
          <t>National (lends in CA)</t>
        </is>
      </c>
      <c r="F175" s="23" t="inlineStr">
        <is>
          <t>0/4  ✗SUW ✗Onl ✗SoCal ✗Card</t>
        </is>
      </c>
      <c r="G175" t="inlineStr">
        <is>
          <t>N/M</t>
        </is>
      </c>
      <c r="H175" t="inlineStr">
        <is>
          <t>N/M</t>
        </is>
      </c>
      <c r="I175" t="inlineStr"/>
      <c r="J175" t="inlineStr">
        <is>
          <t>No card</t>
        </is>
      </c>
      <c r="K175" t="inlineStr">
        <is>
          <t>—</t>
        </is>
      </c>
      <c r="L175" t="inlineStr">
        <is>
          <t>N/M</t>
        </is>
      </c>
      <c r="M175" t="inlineStr">
        <is>
          <t>$0</t>
        </is>
      </c>
      <c r="N175" t="inlineStr">
        <is>
          <t>3 LA/OC offices, $0 deposits (FDIC SOD 2025)</t>
        </is>
      </c>
      <c r="O175" t="inlineStr">
        <is>
          <t>N/M</t>
        </is>
      </c>
      <c r="P175" t="inlineStr">
        <is>
          <t>—</t>
        </is>
      </c>
      <c r="Q175" t="inlineStr">
        <is>
          <t>❌ No card (corporate trust/custody; $0 SoCal deposits)</t>
        </is>
      </c>
      <c r="R175" s="23" t="inlineStr">
        <is>
          <t>None</t>
        </is>
      </c>
      <c r="S175" t="inlineStr">
        <is>
          <t>No</t>
        </is>
      </c>
      <c r="T175" t="inlineStr">
        <is>
          <t>— (no business card)</t>
        </is>
      </c>
      <c r="U175" t="inlineStr">
        <is>
          <t>https://www.wilmingtontrust.com</t>
        </is>
      </c>
      <c r="V175" t="inlineStr">
        <is>
          <t>—</t>
        </is>
      </c>
      <c r="W175" t="inlineStr">
        <is>
          <t>N/M</t>
        </is>
      </c>
      <c r="X175" t="inlineStr">
        <is>
          <t>N/M</t>
        </is>
      </c>
      <c r="Y175" t="inlineStr">
        <is>
          <t>Trust charter (M&amp;T family). Census completeness row.</t>
        </is>
      </c>
      <c r="Z175" t="inlineStr">
        <is>
          <t>0</t>
        </is>
      </c>
      <c r="AA175" t="inlineStr">
        <is>
          <t>N/M</t>
        </is>
      </c>
      <c r="AB175" t="inlineStr">
        <is>
          <t>None</t>
        </is>
      </c>
      <c r="AC175" t="inlineStr">
        <is>
          <t>N/M</t>
        </is>
      </c>
      <c r="AD175" t="inlineStr">
        <is>
          <t>Not a card source</t>
        </is>
      </c>
      <c r="AE175" t="inlineStr">
        <is>
          <t>None (fiduciary)</t>
        </is>
      </c>
      <c r="AF175" t="inlineStr">
        <is>
          <t>National — LA/OC trust offices</t>
        </is>
      </c>
      <c r="AG175" t="inlineStr">
        <is>
          <t>Wilmington, DE</t>
        </is>
      </c>
      <c r="AH175" t="inlineStr">
        <is>
          <t>Reg</t>
        </is>
      </c>
      <c r="AI175" t="inlineStr">
        <is>
          <t>HIGH no-card (charter type). 2026-06-10</t>
        </is>
      </c>
      <c r="AJ175" t="inlineStr">
        <is>
          <t>FDIC SOD 2025 cert 34069</t>
        </is>
      </c>
    </row>
    <row r="176">
      <c r="A176" t="inlineStr">
        <is>
          <t>175</t>
        </is>
      </c>
      <c r="B176" t="inlineStr"/>
      <c r="C176" s="22" t="inlineStr">
        <is>
          <t>BNY Mellon, N.A.</t>
        </is>
      </c>
      <c r="D176" s="8" t="inlineStr">
        <is>
          <t>Regional</t>
        </is>
      </c>
      <c r="E176" t="inlineStr">
        <is>
          <t>National (lends in CA)</t>
        </is>
      </c>
      <c r="F176" s="23" t="inlineStr">
        <is>
          <t>0/4  ✗SUW ✗Onl ✗SoCal ✗Card</t>
        </is>
      </c>
      <c r="G176" t="inlineStr">
        <is>
          <t>N/M</t>
        </is>
      </c>
      <c r="H176" t="inlineStr">
        <is>
          <t>N/M</t>
        </is>
      </c>
      <c r="I176" t="inlineStr"/>
      <c r="J176" t="inlineStr">
        <is>
          <t>No card</t>
        </is>
      </c>
      <c r="K176" t="inlineStr">
        <is>
          <t>—</t>
        </is>
      </c>
      <c r="L176" t="inlineStr">
        <is>
          <t>N/M</t>
        </is>
      </c>
      <c r="M176" t="inlineStr">
        <is>
          <t>$0</t>
        </is>
      </c>
      <c r="N176" t="inlineStr">
        <is>
          <t>2 LA/OC offices, $0 deposits (FDIC SOD 2025)</t>
        </is>
      </c>
      <c r="O176" t="inlineStr">
        <is>
          <t>N/M</t>
        </is>
      </c>
      <c r="P176" t="inlineStr">
        <is>
          <t>—</t>
        </is>
      </c>
      <c r="Q176" t="inlineStr">
        <is>
          <t>❌ No card (trust/wealth charter — second BNY entity, cert 7946; sibling of BNY Mellon Trust Co row)</t>
        </is>
      </c>
      <c r="R176" s="23" t="inlineStr">
        <is>
          <t>None</t>
        </is>
      </c>
      <c r="S176" t="inlineStr">
        <is>
          <t>No</t>
        </is>
      </c>
      <c r="T176" t="inlineStr">
        <is>
          <t>— (no business card)</t>
        </is>
      </c>
      <c r="U176" t="inlineStr">
        <is>
          <t>https://www.bny.com</t>
        </is>
      </c>
      <c r="V176" t="inlineStr">
        <is>
          <t>—</t>
        </is>
      </c>
      <c r="W176" t="inlineStr">
        <is>
          <t>N/M</t>
        </is>
      </c>
      <c r="X176" t="inlineStr">
        <is>
          <t>N/M</t>
        </is>
      </c>
      <c r="Y176" t="inlineStr">
        <is>
          <t>Census completeness row.</t>
        </is>
      </c>
      <c r="Z176" t="inlineStr">
        <is>
          <t>0</t>
        </is>
      </c>
      <c r="AA176" t="inlineStr">
        <is>
          <t>N/M</t>
        </is>
      </c>
      <c r="AB176" t="inlineStr">
        <is>
          <t>None</t>
        </is>
      </c>
      <c r="AC176" t="inlineStr">
        <is>
          <t>N/M</t>
        </is>
      </c>
      <c r="AD176" t="inlineStr">
        <is>
          <t>Not a card source</t>
        </is>
      </c>
      <c r="AE176" t="inlineStr">
        <is>
          <t>None (wealth/trust)</t>
        </is>
      </c>
      <c r="AF176" t="inlineStr">
        <is>
          <t>National — LA/OC offices</t>
        </is>
      </c>
      <c r="AG176" t="inlineStr">
        <is>
          <t>New York, NY</t>
        </is>
      </c>
      <c r="AH176" t="inlineStr">
        <is>
          <t>Reg</t>
        </is>
      </c>
      <c r="AI176" t="inlineStr">
        <is>
          <t>HIGH no-card (charter type). 2026-06-10</t>
        </is>
      </c>
      <c r="AJ176" t="inlineStr">
        <is>
          <t>FDIC SOD 2025 cert 7946</t>
        </is>
      </c>
    </row>
    <row r="177">
      <c r="A177" t="inlineStr">
        <is>
          <t>176</t>
        </is>
      </c>
      <c r="B177" t="inlineStr"/>
      <c r="C177" s="22" t="inlineStr">
        <is>
          <t>CIBC National Trust Company</t>
        </is>
      </c>
      <c r="D177" s="8" t="inlineStr">
        <is>
          <t>Regional</t>
        </is>
      </c>
      <c r="E177" t="inlineStr">
        <is>
          <t>National (lends in CA)</t>
        </is>
      </c>
      <c r="F177" s="23" t="inlineStr">
        <is>
          <t>0/4  ✗SUW ✗Onl ✗SoCal ✗Card</t>
        </is>
      </c>
      <c r="G177" t="inlineStr">
        <is>
          <t>N/M</t>
        </is>
      </c>
      <c r="H177" t="inlineStr">
        <is>
          <t>N/M</t>
        </is>
      </c>
      <c r="I177" t="inlineStr"/>
      <c r="J177" t="inlineStr">
        <is>
          <t>No card</t>
        </is>
      </c>
      <c r="K177" t="inlineStr">
        <is>
          <t>—</t>
        </is>
      </c>
      <c r="L177" t="inlineStr">
        <is>
          <t>N/M</t>
        </is>
      </c>
      <c r="M177" t="inlineStr">
        <is>
          <t>$0</t>
        </is>
      </c>
      <c r="N177" t="inlineStr">
        <is>
          <t>1 OC office, $0 deposits (FDIC SOD 2025)</t>
        </is>
      </c>
      <c r="O177" t="inlineStr">
        <is>
          <t>N/M</t>
        </is>
      </c>
      <c r="P177" t="inlineStr">
        <is>
          <t>—</t>
        </is>
      </c>
      <c r="Q177" t="inlineStr">
        <is>
          <t>❌ No card (trust charter)</t>
        </is>
      </c>
      <c r="R177" s="23" t="inlineStr">
        <is>
          <t>None</t>
        </is>
      </c>
      <c r="S177" t="inlineStr">
        <is>
          <t>No</t>
        </is>
      </c>
      <c r="T177" t="inlineStr">
        <is>
          <t>— (no business card)</t>
        </is>
      </c>
      <c r="U177" t="inlineStr">
        <is>
          <t>https://us.cibc.com</t>
        </is>
      </c>
      <c r="V177" t="inlineStr">
        <is>
          <t>—</t>
        </is>
      </c>
      <c r="W177" t="inlineStr">
        <is>
          <t>N/M</t>
        </is>
      </c>
      <c r="X177" t="inlineStr">
        <is>
          <t>N/M</t>
        </is>
      </c>
      <c r="Y177" t="inlineStr">
        <is>
          <t>Census completeness row.</t>
        </is>
      </c>
      <c r="Z177" t="inlineStr">
        <is>
          <t>0</t>
        </is>
      </c>
      <c r="AA177" t="inlineStr">
        <is>
          <t>N/M</t>
        </is>
      </c>
      <c r="AB177" t="inlineStr">
        <is>
          <t>None</t>
        </is>
      </c>
      <c r="AC177" t="inlineStr">
        <is>
          <t>N/M</t>
        </is>
      </c>
      <c r="AD177" t="inlineStr">
        <is>
          <t>Not a card source</t>
        </is>
      </c>
      <c r="AE177" t="inlineStr">
        <is>
          <t>None (trust)</t>
        </is>
      </c>
      <c r="AF177" t="inlineStr">
        <is>
          <t>National — 1 OC trust office</t>
        </is>
      </c>
      <c r="AG177" t="inlineStr">
        <is>
          <t>Atlanta, GA</t>
        </is>
      </c>
      <c r="AH177" t="inlineStr">
        <is>
          <t>Reg</t>
        </is>
      </c>
      <c r="AI177" t="inlineStr">
        <is>
          <t>HIGH no-card (charter type). 2026-06-10</t>
        </is>
      </c>
      <c r="AJ177" t="inlineStr">
        <is>
          <t>FDIC SOD 2025 cert 91325</t>
        </is>
      </c>
    </row>
    <row r="178">
      <c r="A178" t="inlineStr">
        <is>
          <t>177</t>
        </is>
      </c>
      <c r="B178" t="inlineStr"/>
      <c r="C178" s="22" t="inlineStr">
        <is>
          <t>TIB, N.A. (The Independent BankersBank)</t>
        </is>
      </c>
      <c r="D178" s="8" t="inlineStr">
        <is>
          <t>Regional</t>
        </is>
      </c>
      <c r="E178" t="inlineStr">
        <is>
          <t>National (lends in CA)</t>
        </is>
      </c>
      <c r="F178" s="23" t="inlineStr">
        <is>
          <t>0/4  ✗SUW ✗Onl ✗SoCal ✗Card</t>
        </is>
      </c>
      <c r="G178" t="inlineStr">
        <is>
          <t>N/M</t>
        </is>
      </c>
      <c r="H178" t="inlineStr">
        <is>
          <t>N/M</t>
        </is>
      </c>
      <c r="I178" t="inlineStr"/>
      <c r="J178" t="inlineStr">
        <is>
          <t>No card</t>
        </is>
      </c>
      <c r="K178" t="inlineStr">
        <is>
          <t>—</t>
        </is>
      </c>
      <c r="L178" t="inlineStr">
        <is>
          <t>N/M</t>
        </is>
      </c>
      <c r="M178" t="inlineStr">
        <is>
          <t>N/M</t>
        </is>
      </c>
      <c r="N178" t="inlineStr">
        <is>
          <t>1 OC office (FDIC SOD 2025)</t>
        </is>
      </c>
      <c r="O178" t="inlineStr">
        <is>
          <t>N/M</t>
        </is>
      </c>
      <c r="P178" t="inlineStr">
        <is>
          <t>—</t>
        </is>
      </c>
      <c r="Q178" t="inlineStr">
        <is>
          <t>❌ No direct-to-business card — TIB is the bankers' bank AGENT ISSUER behind many community-bank cards in this table (cardaccount.net / mypreferredpoints.com programs)</t>
        </is>
      </c>
      <c r="R178" s="23" t="inlineStr">
        <is>
          <t>None direct (TIB IS an underwriter for partner banks)</t>
        </is>
      </c>
      <c r="S178" t="inlineStr">
        <is>
          <t>No</t>
        </is>
      </c>
      <c r="T178" t="inlineStr">
        <is>
          <t>— (no business card)</t>
        </is>
      </c>
      <c r="U178" t="inlineStr">
        <is>
          <t>https://www.tib.bank</t>
        </is>
      </c>
      <c r="V178" t="inlineStr">
        <is>
          <t>—</t>
        </is>
      </c>
      <c r="W178" t="inlineStr">
        <is>
          <t>N/M</t>
        </is>
      </c>
      <c r="X178" t="inlineStr">
        <is>
          <t>N/M</t>
        </is>
      </c>
      <c r="Y178" t="inlineStr">
        <is>
          <t>Census completeness row; 1 OC office. Apply via TIB partner banks instead.</t>
        </is>
      </c>
      <c r="Z178" t="inlineStr">
        <is>
          <t>0</t>
        </is>
      </c>
      <c r="AA178" t="inlineStr">
        <is>
          <t>N/M</t>
        </is>
      </c>
      <c r="AB178" t="inlineStr">
        <is>
          <t>None</t>
        </is>
      </c>
      <c r="AC178" t="inlineStr">
        <is>
          <t>N/M</t>
        </is>
      </c>
      <c r="AD178" t="inlineStr">
        <is>
          <t>Not a card source</t>
        </is>
      </c>
      <c r="AE178" t="inlineStr">
        <is>
          <t>None direct (white-label programs for banks)</t>
        </is>
      </c>
      <c r="AF178" t="inlineStr">
        <is>
          <t>National — 1 OC office (bankers' bank)</t>
        </is>
      </c>
      <c r="AG178" t="inlineStr">
        <is>
          <t>Farmers Branch, TX</t>
        </is>
      </c>
      <c r="AH178" t="inlineStr">
        <is>
          <t>Reg</t>
        </is>
      </c>
      <c r="AI178" t="inlineStr">
        <is>
          <t>HIGH bankers'-bank (PCBB precedent). 2026-06-10</t>
        </is>
      </c>
      <c r="AJ178" t="inlineStr">
        <is>
          <t>FDIC SOD 2025 cert 23647; tib.bank</t>
        </is>
      </c>
    </row>
    <row r="179">
      <c r="A179" t="inlineStr">
        <is>
          <t>178</t>
        </is>
      </c>
      <c r="B179" t="inlineStr"/>
      <c r="C179" s="22" t="inlineStr">
        <is>
          <t>Summit State Bank</t>
        </is>
      </c>
      <c r="D179" s="15" t="inlineStr">
        <is>
          <t>CA Bank</t>
        </is>
      </c>
      <c r="E179" t="inlineStr">
        <is>
          <t>Other — NorCal</t>
        </is>
      </c>
      <c r="F179" s="23" t="inlineStr">
        <is>
          <t>0/4  ✗SUW ✗Onl ✗SoCal ✗Card</t>
        </is>
      </c>
      <c r="G179" t="inlineStr">
        <is>
          <t>N/M</t>
        </is>
      </c>
      <c r="H179" t="inlineStr">
        <is>
          <t>N/M</t>
        </is>
      </c>
      <c r="I179" t="inlineStr"/>
      <c r="J179" t="inlineStr">
        <is>
          <t>No card</t>
        </is>
      </c>
      <c r="K179" t="inlineStr">
        <is>
          <t>—</t>
        </is>
      </c>
      <c r="L179" t="inlineStr">
        <is>
          <t>$1.00B</t>
        </is>
      </c>
      <c r="M179" t="inlineStr">
        <is>
          <t>$0.89B</t>
        </is>
      </c>
      <c r="N179" t="inlineStr">
        <is>
          <t>CA-only; Sonoma County (Santa Rosa, Healdsburg, Rohnert Park, Petaluma); Nasdaq: SSBI</t>
        </is>
      </c>
      <c r="O179" t="inlineStr">
        <is>
          <t>CA-HQ'd</t>
        </is>
      </c>
      <c r="P179" t="inlineStr">
        <is>
          <t>—</t>
        </is>
      </c>
      <c r="Q179" t="inlineStr">
        <is>
          <t>❌ No card (debit only; commercial lending)</t>
        </is>
      </c>
      <c r="R179" s="23" t="inlineStr">
        <is>
          <t>None</t>
        </is>
      </c>
      <c r="S179" t="inlineStr">
        <is>
          <t>No</t>
        </is>
      </c>
      <c r="T179" t="inlineStr">
        <is>
          <t>— (no business card)</t>
        </is>
      </c>
      <c r="U179" t="inlineStr">
        <is>
          <t>https://summitstatebank.com</t>
        </is>
      </c>
      <c r="V179" t="inlineStr">
        <is>
          <t>—</t>
        </is>
      </c>
      <c r="W179" t="inlineStr">
        <is>
          <t>N/M</t>
        </is>
      </c>
      <c r="X179" t="inlineStr">
        <is>
          <t>N/M</t>
        </is>
      </c>
      <c r="Y179" t="inlineStr">
        <is>
          <t>N/M</t>
        </is>
      </c>
      <c r="Z179" t="inlineStr">
        <is>
          <t>0</t>
        </is>
      </c>
      <c r="AA179" t="inlineStr">
        <is>
          <t>N/M</t>
        </is>
      </c>
      <c r="AB179" t="inlineStr">
        <is>
          <t>None (LOC/SBA/CRE/equipment full-doc; small-biz loans up to ~$150K)</t>
        </is>
      </c>
      <c r="AC179" t="inlineStr">
        <is>
          <t>N/M</t>
        </is>
      </c>
      <c r="AD179" t="inlineStr">
        <is>
          <t>Not a card source</t>
        </is>
      </c>
      <c r="AE179" t="inlineStr">
        <is>
          <t>Debit Mastercard only (no credit card)</t>
        </is>
      </c>
      <c r="AF179" t="inlineStr">
        <is>
          <t>NorCal / SF (Sonoma)</t>
        </is>
      </c>
      <c r="AG179" t="inlineStr">
        <is>
          <t>Santa Rosa</t>
        </is>
      </c>
      <c r="AH179" t="inlineStr">
        <is>
          <t>61</t>
        </is>
      </c>
      <c r="AI179" t="inlineStr">
        <is>
          <t>HIGH no-card (4 product pages confirm debit-only). 2026-05-29</t>
        </is>
      </c>
      <c r="AJ179" t="inlineStr">
        <is>
          <t>summitstatebank.com (business-banking, business-lending, merchant-services); FDIC cert 32203</t>
        </is>
      </c>
    </row>
    <row r="180">
      <c r="A180" t="inlineStr">
        <is>
          <t>179</t>
        </is>
      </c>
      <c r="B180" t="inlineStr"/>
      <c r="C180" s="22" t="inlineStr">
        <is>
          <t>Golden State Bank</t>
        </is>
      </c>
      <c r="D180" s="15" t="inlineStr">
        <is>
          <t>CA Bank</t>
        </is>
      </c>
      <c r="E180" t="inlineStr">
        <is>
          <t>★ Core SoCal</t>
        </is>
      </c>
      <c r="F180" s="23" t="inlineStr">
        <is>
          <t>1/4  ✗SUW ✗Onl ✓SoCal ✗Card</t>
        </is>
      </c>
      <c r="G180" t="inlineStr">
        <is>
          <t>N/M</t>
        </is>
      </c>
      <c r="H180" t="inlineStr">
        <is>
          <t>N/M</t>
        </is>
      </c>
      <c r="I180" t="inlineStr"/>
      <c r="J180" t="inlineStr">
        <is>
          <t>No card</t>
        </is>
      </c>
      <c r="K180" t="inlineStr">
        <is>
          <t>—</t>
        </is>
      </c>
      <c r="L180" t="inlineStr">
        <is>
          <t>$0.97B</t>
        </is>
      </c>
      <c r="M180" t="inlineStr">
        <is>
          <t>N/M</t>
        </is>
      </c>
      <c r="N180" t="inlineStr">
        <is>
          <t>CA-only; Glendale HQ + Upland; serves LA/OC/Riverside/SD/Ventura/San Bernardino; founded 2003</t>
        </is>
      </c>
      <c r="O180" t="inlineStr">
        <is>
          <t>CA-HQ'd</t>
        </is>
      </c>
      <c r="P180" t="inlineStr">
        <is>
          <t>—</t>
        </is>
      </c>
      <c r="Q180" t="inlineStr">
        <is>
          <t>❌ No card (business debit only; relationship commercial lending)</t>
        </is>
      </c>
      <c r="R180" s="23" t="inlineStr">
        <is>
          <t>None</t>
        </is>
      </c>
      <c r="S180" t="inlineStr">
        <is>
          <t>No</t>
        </is>
      </c>
      <c r="T180" t="inlineStr">
        <is>
          <t>— (no business card)</t>
        </is>
      </c>
      <c r="U180" t="inlineStr">
        <is>
          <t>https://www.goldenstatebank.com</t>
        </is>
      </c>
      <c r="V180" t="inlineStr">
        <is>
          <t>—</t>
        </is>
      </c>
      <c r="W180" t="inlineStr">
        <is>
          <t>N/M</t>
        </is>
      </c>
      <c r="X180" t="inlineStr">
        <is>
          <t>N/M</t>
        </is>
      </c>
      <c r="Y180" t="inlineStr">
        <is>
          <t>N/M</t>
        </is>
      </c>
      <c r="Z180" t="inlineStr">
        <is>
          <t>0</t>
        </is>
      </c>
      <c r="AA180" t="inlineStr">
        <is>
          <t>N/M</t>
        </is>
      </c>
      <c r="AB180" t="inlineStr">
        <is>
          <t>None (working capital/equipment/CRE/construction/bridge/LOC full-doc)</t>
        </is>
      </c>
      <c r="AC180" t="inlineStr">
        <is>
          <t>N/M</t>
        </is>
      </c>
      <c r="AD180" t="inlineStr">
        <is>
          <t>Not a card source</t>
        </is>
      </c>
      <c r="AE180" t="inlineStr">
        <is>
          <t>Mastercard Business DEBIT only (no credit card)</t>
        </is>
      </c>
      <c r="AF180" t="inlineStr">
        <is>
          <t>SoCal / LA (Glendale)</t>
        </is>
      </c>
      <c r="AG180" t="inlineStr">
        <is>
          <t>Glendale</t>
        </is>
      </c>
      <c r="AH180" t="inlineStr">
        <is>
          <t>62</t>
        </is>
      </c>
      <c r="AI180" t="inlineStr">
        <is>
          <t>HIGH no-card (full site nav; debit only). Latest verified assets ~$918M (6/30/25). 2026-05-29</t>
        </is>
      </c>
      <c r="AJ180" t="inlineStr">
        <is>
          <t>goldenstatebank.com (cash-management, debit-card, company-overview); FDIC cert 57585</t>
        </is>
      </c>
    </row>
    <row r="181">
      <c r="A181" t="inlineStr">
        <is>
          <t>180</t>
        </is>
      </c>
      <c r="B181" t="inlineStr"/>
      <c r="C181" s="22" t="inlineStr">
        <is>
          <t>First City Credit Union</t>
        </is>
      </c>
      <c r="D181" s="11" t="inlineStr">
        <is>
          <t>Credit Union</t>
        </is>
      </c>
      <c r="E181" t="inlineStr">
        <is>
          <t>★ Core SoCal</t>
        </is>
      </c>
      <c r="F181" s="23" t="inlineStr">
        <is>
          <t>1/4  ✗SUW ✗Onl ✓SoCal ✗Card</t>
        </is>
      </c>
      <c r="G181" t="inlineStr">
        <is>
          <t>N/M</t>
        </is>
      </c>
      <c r="H181" t="inlineStr">
        <is>
          <t>N/M</t>
        </is>
      </c>
      <c r="I181" t="inlineStr"/>
      <c r="J181" t="inlineStr">
        <is>
          <t>No card</t>
        </is>
      </c>
      <c r="K181" t="inlineStr">
        <is>
          <t>—</t>
        </is>
      </c>
      <c r="L181" t="inlineStr">
        <is>
          <t>~$0.90B</t>
        </is>
      </c>
      <c r="M181" t="inlineStr">
        <is>
          <t>—</t>
        </is>
      </c>
      <c r="N181" t="inlineStr">
        <is>
          <t>HQ Altadena (LA County); ~$0.90B; ~7 LA County branches; est 1937 (LA County employees)</t>
        </is>
      </c>
      <c r="O181" t="inlineStr">
        <is>
          <t>CA-HQ'd</t>
        </is>
      </c>
      <c r="P181" t="inlineStr">
        <is>
          <t>—</t>
        </is>
      </c>
      <c r="Q181" t="inlineStr">
        <is>
          <t>❌ No BUSINESS card (consumer Visa only)</t>
        </is>
      </c>
      <c r="R181" s="9" t="inlineStr">
        <is>
          <t>N/M (consumer card; issuer unverified; lone 'Elan' hit unconfirmed)</t>
        </is>
      </c>
      <c r="S181" t="inlineStr">
        <is>
          <t>No</t>
        </is>
      </c>
      <c r="T181" t="inlineStr">
        <is>
          <t>— (no business card)</t>
        </is>
      </c>
      <c r="U181" t="inlineStr">
        <is>
          <t>https://www.firstcitycu.org/loans-credit/credit-cards</t>
        </is>
      </c>
      <c r="V181" t="inlineStr">
        <is>
          <t>—</t>
        </is>
      </c>
      <c r="W181" t="inlineStr">
        <is>
          <t>N/M</t>
        </is>
      </c>
      <c r="X181" t="inlineStr">
        <is>
          <t>N/M</t>
        </is>
      </c>
      <c r="Y181" t="inlineStr">
        <is>
          <t>Consumer-only Visa (2.99% intro 6 cycles; $0 BT/CA fees). No business card; not in CFPB agreement DB.</t>
        </is>
      </c>
      <c r="Z181" t="inlineStr">
        <is>
          <t>0</t>
        </is>
      </c>
      <c r="AA181" t="inlineStr">
        <is>
          <t>N/M</t>
        </is>
      </c>
      <c r="AB181" t="inlineStr">
        <is>
          <t>None (business/commercial banking + merchant services referenced; no no-doc product)</t>
        </is>
      </c>
      <c r="AC181" t="inlineStr">
        <is>
          <t>Membership required (LA County depts/orgs + 72 LA + 9 San Bernardino + 3 Kern + 1 Ventura communities + family; NO nationwide path)</t>
        </is>
      </c>
      <c r="AD181" t="inlineStr">
        <is>
          <t>Not a card source</t>
        </is>
      </c>
      <c r="AE181" t="inlineStr">
        <is>
          <t>Consumer Visa only (no business card)</t>
        </is>
      </c>
      <c r="AF181" t="inlineStr">
        <is>
          <t>SoCal / LA</t>
        </is>
      </c>
      <c r="AG181" t="inlineStr">
        <is>
          <t>Altadena</t>
        </is>
      </c>
      <c r="AH181" t="inlineStr">
        <is>
          <t>CU</t>
        </is>
      </c>
      <c r="AI181" t="inlineStr">
        <is>
          <t>MED-HIGH no business card (consumer-only; CFPB DB 404; site Cloudflare-blocked). SoCal-restricted FOM. 2026-05-29</t>
        </is>
      </c>
      <c r="AJ181" t="inlineStr">
        <is>
          <t>firstcitycu.org/loans-credit/credit-cards + /about/how-to-join; ncuso.org; consumerfinance.gov (no agreement)</t>
        </is>
      </c>
    </row>
    <row r="182">
      <c r="A182" t="inlineStr">
        <is>
          <t>181</t>
        </is>
      </c>
      <c r="B182" t="inlineStr"/>
      <c r="C182" s="22" t="inlineStr">
        <is>
          <t>C3bank, N.A.</t>
        </is>
      </c>
      <c r="D182" s="15" t="inlineStr">
        <is>
          <t>CA Bank</t>
        </is>
      </c>
      <c r="E182" t="inlineStr">
        <is>
          <t>★ Core SoCal</t>
        </is>
      </c>
      <c r="F182" s="23" t="inlineStr">
        <is>
          <t>1/4  ✗SUW ✗Onl ✓SoCal ✗Card</t>
        </is>
      </c>
      <c r="G182" t="inlineStr">
        <is>
          <t>N/M</t>
        </is>
      </c>
      <c r="H182" t="inlineStr">
        <is>
          <t>N/M</t>
        </is>
      </c>
      <c r="I182" t="inlineStr"/>
      <c r="J182" t="inlineStr">
        <is>
          <t>No card</t>
        </is>
      </c>
      <c r="K182" t="inlineStr">
        <is>
          <t>—</t>
        </is>
      </c>
      <c r="L182" t="inlineStr">
        <is>
          <t>$0.88B</t>
        </is>
      </c>
      <c r="M182" t="inlineStr">
        <is>
          <t>N/M</t>
        </is>
      </c>
      <c r="N182" t="inlineStr">
        <is>
          <t>Encinitas HQ (San Diego County) + San Marcos, Riverside, Nashville TN; OCC national charter</t>
        </is>
      </c>
      <c r="O182" t="inlineStr">
        <is>
          <t>CA-HQ'd</t>
        </is>
      </c>
      <c r="P182" t="inlineStr">
        <is>
          <t>—</t>
        </is>
      </c>
      <c r="Q182" t="inlineStr">
        <is>
          <t>❌ No card (commercial/CRE/SBA bank; business debit only)</t>
        </is>
      </c>
      <c r="R182" s="23" t="inlineStr">
        <is>
          <t>None</t>
        </is>
      </c>
      <c r="S182" t="inlineStr">
        <is>
          <t>No</t>
        </is>
      </c>
      <c r="T182" t="inlineStr">
        <is>
          <t>— (no business card)</t>
        </is>
      </c>
      <c r="U182" t="inlineStr">
        <is>
          <t>https://www.c3bank.com</t>
        </is>
      </c>
      <c r="V182" t="inlineStr">
        <is>
          <t>—</t>
        </is>
      </c>
      <c r="W182" t="inlineStr">
        <is>
          <t>N/M</t>
        </is>
      </c>
      <c r="X182" t="inlineStr">
        <is>
          <t>N/M</t>
        </is>
      </c>
      <c r="Y182" t="inlineStr">
        <is>
          <t>N/M</t>
        </is>
      </c>
      <c r="Z182" t="inlineStr">
        <is>
          <t>0</t>
        </is>
      </c>
      <c r="AA182" t="inlineStr">
        <is>
          <t>N/M</t>
        </is>
      </c>
      <c r="AB182" t="inlineStr">
        <is>
          <t>None (commercial/CRE/SBA 504/7(a)/term/LOC full-doc)</t>
        </is>
      </c>
      <c r="AC182" t="inlineStr">
        <is>
          <t>N/M</t>
        </is>
      </c>
      <c r="AD182" t="inlineStr">
        <is>
          <t>Not a card source</t>
        </is>
      </c>
      <c r="AE182" t="inlineStr">
        <is>
          <t>Business debit card only (no credit card)</t>
        </is>
      </c>
      <c r="AF182" t="inlineStr">
        <is>
          <t>SoCal / San Diego</t>
        </is>
      </c>
      <c r="AG182" t="inlineStr">
        <is>
          <t>Encinitas</t>
        </is>
      </c>
      <c r="AH182" t="inlineStr">
        <is>
          <t>66</t>
        </is>
      </c>
      <c r="AI182" t="inlineStr">
        <is>
          <t>HIGH no-card (site product menu = deposits/loans/SBA only). 2026-05-29</t>
        </is>
      </c>
      <c r="AJ182" t="inlineStr">
        <is>
          <t>c3bank.com (business-loans, business-checking, locations); FDIC cert 25249</t>
        </is>
      </c>
    </row>
    <row r="183">
      <c r="A183" t="inlineStr">
        <is>
          <t>182</t>
        </is>
      </c>
      <c r="B183" t="inlineStr"/>
      <c r="C183" s="22" t="inlineStr">
        <is>
          <t>Nano Banc</t>
        </is>
      </c>
      <c r="D183" s="15" t="inlineStr">
        <is>
          <t>CA Bank</t>
        </is>
      </c>
      <c r="E183" t="inlineStr">
        <is>
          <t>★ Core SoCal</t>
        </is>
      </c>
      <c r="F183" s="23" t="inlineStr">
        <is>
          <t>1/4  ✗SUW ✗Onl ✓SoCal ✗Card</t>
        </is>
      </c>
      <c r="G183" t="inlineStr">
        <is>
          <t>N/M</t>
        </is>
      </c>
      <c r="H183" t="inlineStr">
        <is>
          <t>N/M</t>
        </is>
      </c>
      <c r="I183" t="inlineStr"/>
      <c r="J183" t="inlineStr">
        <is>
          <t>No card</t>
        </is>
      </c>
      <c r="K183" t="inlineStr">
        <is>
          <t>—</t>
        </is>
      </c>
      <c r="L183" t="inlineStr">
        <is>
          <t>$0.87B</t>
        </is>
      </c>
      <c r="M183" t="inlineStr">
        <is>
          <t>N/M</t>
        </is>
      </c>
      <c r="N183" t="inlineStr">
        <is>
          <t>Single-branch (Irvine, OC); historically Murrieta/Temecula (Riverside); SBA</t>
        </is>
      </c>
      <c r="O183" t="inlineStr">
        <is>
          <t>CA-HQ'd</t>
        </is>
      </c>
      <c r="P183" t="inlineStr">
        <is>
          <t>—</t>
        </is>
      </c>
      <c r="Q183" t="inlineStr">
        <is>
          <t>❌ No card (commercial lender + deposit/treasury; debit only)</t>
        </is>
      </c>
      <c r="R183" s="23" t="inlineStr">
        <is>
          <t>None</t>
        </is>
      </c>
      <c r="S183" t="inlineStr">
        <is>
          <t>No</t>
        </is>
      </c>
      <c r="T183" t="inlineStr">
        <is>
          <t>— (no business card)</t>
        </is>
      </c>
      <c r="U183" t="inlineStr">
        <is>
          <t>https://www.nanobanc.com</t>
        </is>
      </c>
      <c r="V183" t="inlineStr">
        <is>
          <t>—</t>
        </is>
      </c>
      <c r="W183" t="inlineStr">
        <is>
          <t>N/M</t>
        </is>
      </c>
      <c r="X183" t="inlineStr">
        <is>
          <t>N/M</t>
        </is>
      </c>
      <c r="Y183" t="inlineStr">
        <is>
          <t>N/M</t>
        </is>
      </c>
      <c r="Z183" t="inlineStr">
        <is>
          <t>0</t>
        </is>
      </c>
      <c r="AA183" t="inlineStr">
        <is>
          <t>N/M</t>
        </is>
      </c>
      <c r="AB183" t="inlineStr">
        <is>
          <t>None (C&amp;I/CRE/equipment/working-capital/LOC full-doc)</t>
        </is>
      </c>
      <c r="AC183" t="inlineStr">
        <is>
          <t>N/M</t>
        </is>
      </c>
      <c r="AD183" t="inlineStr">
        <is>
          <t>Not a card source</t>
        </is>
      </c>
      <c r="AE183" t="inlineStr">
        <is>
          <t>None (business deposits + treasury mgmt + commercial lending; debit cards only)</t>
        </is>
      </c>
      <c r="AF183" t="inlineStr">
        <is>
          <t>SoCal / Orange County</t>
        </is>
      </c>
      <c r="AG183" t="inlineStr">
        <is>
          <t>Irvine</t>
        </is>
      </c>
      <c r="AH183" t="inlineStr">
        <is>
          <t>68</t>
        </is>
      </c>
      <c r="AI183" t="inlineStr">
        <is>
          <t>HIGH no business card (homepage/business/treasury/lending pages all card-free). 2026-05-29</t>
        </is>
      </c>
      <c r="AJ183" t="inlineStr">
        <is>
          <t>nanobanc.com (business-accounts, lending, ci-lending); FDIC cert 58590</t>
        </is>
      </c>
    </row>
    <row r="184">
      <c r="A184" t="inlineStr">
        <is>
          <t>183</t>
        </is>
      </c>
      <c r="B184" t="inlineStr"/>
      <c r="C184" s="22" t="inlineStr">
        <is>
          <t>First Commercial Bank (USA)</t>
        </is>
      </c>
      <c r="D184" s="15" t="inlineStr">
        <is>
          <t>CA Bank</t>
        </is>
      </c>
      <c r="E184" t="inlineStr">
        <is>
          <t>★ Core SoCal</t>
        </is>
      </c>
      <c r="F184" s="23" t="inlineStr">
        <is>
          <t>1/4  ✗SUW ✗Onl ✓SoCal ✗Card</t>
        </is>
      </c>
      <c r="G184" t="inlineStr">
        <is>
          <t>N/M</t>
        </is>
      </c>
      <c r="H184" t="inlineStr">
        <is>
          <t>N/M</t>
        </is>
      </c>
      <c r="I184" t="inlineStr"/>
      <c r="J184" t="inlineStr">
        <is>
          <t>No card</t>
        </is>
      </c>
      <c r="K184" t="inlineStr">
        <is>
          <t>—</t>
        </is>
      </c>
      <c r="L184" t="inlineStr">
        <is>
          <t>$0.87B</t>
        </is>
      </c>
      <c r="M184" t="inlineStr">
        <is>
          <t>N/M</t>
        </is>
      </c>
      <c r="N184" t="inlineStr">
        <is>
          <t>8 branches; Alhambra HQ; subsidiary of First Commercial Bank (Taiwan); Taiwanese/Chinese-American (est 1997)</t>
        </is>
      </c>
      <c r="O184" t="inlineStr">
        <is>
          <t>CA-HQ'd</t>
        </is>
      </c>
      <c r="P184" t="inlineStr">
        <is>
          <t>—</t>
        </is>
      </c>
      <c r="Q184" t="inlineStr">
        <is>
          <t>❌ No card (deposit + commercial/SBA lending; debit likely)</t>
        </is>
      </c>
      <c r="R184" s="23" t="inlineStr">
        <is>
          <t>None (NOTE: an 'Elan' search hit is a MISATTRIBUTION to IL 'FCB Banks' — not this bank)</t>
        </is>
      </c>
      <c r="S184" t="inlineStr">
        <is>
          <t>No</t>
        </is>
      </c>
      <c r="T184" t="inlineStr">
        <is>
          <t>— (no business card)</t>
        </is>
      </c>
      <c r="U184" t="inlineStr">
        <is>
          <t>https://www.bankfcb.com</t>
        </is>
      </c>
      <c r="V184" t="inlineStr">
        <is>
          <t>—</t>
        </is>
      </c>
      <c r="W184" t="inlineStr">
        <is>
          <t>N/M</t>
        </is>
      </c>
      <c r="X184" t="inlineStr">
        <is>
          <t>N/M</t>
        </is>
      </c>
      <c r="Y184" t="inlineStr">
        <is>
          <t>N/M</t>
        </is>
      </c>
      <c r="Z184" t="inlineStr">
        <is>
          <t>0</t>
        </is>
      </c>
      <c r="AA184" t="inlineStr">
        <is>
          <t>N/M</t>
        </is>
      </c>
      <c r="AB184" t="inlineStr">
        <is>
          <t>None for business ('reduced-doc' program is RESIDENTIAL mortgage, not business; commercial/SBA/ABL full-doc)</t>
        </is>
      </c>
      <c r="AC184" t="inlineStr">
        <is>
          <t>N/M</t>
        </is>
      </c>
      <c r="AD184" t="inlineStr">
        <is>
          <t>Not a card source</t>
        </is>
      </c>
      <c r="AE184" t="inlineStr">
        <is>
          <t>None identified (deposit accounts + commercial/SBA/RE/mortgage loans; debit only)</t>
        </is>
      </c>
      <c r="AF184" t="inlineStr">
        <is>
          <t>SoCal / LA (San Gabriel Valley)</t>
        </is>
      </c>
      <c r="AG184" t="inlineStr">
        <is>
          <t>Alhambra</t>
        </is>
      </c>
      <c r="AH184" t="inlineStr">
        <is>
          <t>67</t>
        </is>
      </c>
      <c r="AI184" t="inlineStr">
        <is>
          <t>MED-HIGH no marketed credit card (all 3 product pages checked); Elan hit excluded as misattribution. 2026-05-29</t>
        </is>
      </c>
      <c r="AJ184" t="inlineStr">
        <is>
          <t>bankfcb.com (Commercial, Personal, Loans pages); FDIC cert 34496; dfpi.ca.gov</t>
        </is>
      </c>
    </row>
    <row r="185">
      <c r="A185" t="inlineStr">
        <is>
          <t>184</t>
        </is>
      </c>
      <c r="B185" t="inlineStr"/>
      <c r="C185" s="22" t="inlineStr">
        <is>
          <t>Pacific Valley Bank</t>
        </is>
      </c>
      <c r="D185" s="15" t="inlineStr">
        <is>
          <t>CA Bank</t>
        </is>
      </c>
      <c r="E185" t="inlineStr">
        <is>
          <t>Other — Central Coast</t>
        </is>
      </c>
      <c r="F185" s="23" t="inlineStr">
        <is>
          <t>0/4  ✗SUW ✗Onl ✗SoCal ✗Card</t>
        </is>
      </c>
      <c r="G185" t="inlineStr">
        <is>
          <t>N/M</t>
        </is>
      </c>
      <c r="H185" t="inlineStr">
        <is>
          <t>N/M</t>
        </is>
      </c>
      <c r="I185" t="inlineStr"/>
      <c r="J185" t="inlineStr">
        <is>
          <t>No card</t>
        </is>
      </c>
      <c r="K185" t="inlineStr">
        <is>
          <t>—</t>
        </is>
      </c>
      <c r="L185" t="inlineStr">
        <is>
          <t>$0.63B</t>
        </is>
      </c>
      <c r="M185" t="inlineStr">
        <is>
          <t>N/M</t>
        </is>
      </c>
      <c r="N185" t="inlineStr">
        <is>
          <t>Monterey County; Salinas, King City, Monterey + Santa Cruz expansion</t>
        </is>
      </c>
      <c r="O185" t="inlineStr">
        <is>
          <t>CA-HQ'd</t>
        </is>
      </c>
      <c r="P185" t="inlineStr">
        <is>
          <t>—</t>
        </is>
      </c>
      <c r="Q185" t="inlineStr">
        <is>
          <t>❌ No card (commercial/ag lender; debit Mastercard only)</t>
        </is>
      </c>
      <c r="R185" s="23" t="inlineStr">
        <is>
          <t>None</t>
        </is>
      </c>
      <c r="S185" t="inlineStr">
        <is>
          <t>No</t>
        </is>
      </c>
      <c r="T185" t="inlineStr">
        <is>
          <t>— (no business card)</t>
        </is>
      </c>
      <c r="U185" t="inlineStr">
        <is>
          <t>https://www.pacificvalleybank.com</t>
        </is>
      </c>
      <c r="V185" t="inlineStr">
        <is>
          <t>—</t>
        </is>
      </c>
      <c r="W185" t="inlineStr">
        <is>
          <t>N/M</t>
        </is>
      </c>
      <c r="X185" t="inlineStr">
        <is>
          <t>N/M</t>
        </is>
      </c>
      <c r="Y185" t="inlineStr">
        <is>
          <t>N/M</t>
        </is>
      </c>
      <c r="Z185" t="inlineStr">
        <is>
          <t>0</t>
        </is>
      </c>
      <c r="AA185" t="inlineStr">
        <is>
          <t>N/M</t>
        </is>
      </c>
      <c r="AB185" t="inlineStr">
        <is>
          <t>None (commercial/ag LOC/term/construction/SBA/USDA/FSA/Farmer Mac full-doc; PDF apply→branch)</t>
        </is>
      </c>
      <c r="AC185" t="inlineStr">
        <is>
          <t>N/M</t>
        </is>
      </c>
      <c r="AD185" t="inlineStr">
        <is>
          <t>Not a card source</t>
        </is>
      </c>
      <c r="AE185" t="inlineStr">
        <is>
          <t>Debit Mastercard only (no credit card)</t>
        </is>
      </c>
      <c r="AF185" t="inlineStr">
        <is>
          <t>Central Coast / Salinas Valley</t>
        </is>
      </c>
      <c r="AG185" t="inlineStr">
        <is>
          <t>Salinas</t>
        </is>
      </c>
      <c r="AH185" t="inlineStr">
        <is>
          <t>75</t>
        </is>
      </c>
      <c r="AI185" t="inlineStr">
        <is>
          <t>HIGH no-card (4 site pages confirm debit-only). 2026-05-29</t>
        </is>
      </c>
      <c r="AJ185" t="inlineStr">
        <is>
          <t>pacificvalleybank.com (business-banking, products-services, business-loans); FDIC cert 57740</t>
        </is>
      </c>
    </row>
    <row r="186">
      <c r="A186" t="inlineStr">
        <is>
          <t>185</t>
        </is>
      </c>
      <c r="B186" t="inlineStr"/>
      <c r="C186" s="22" t="inlineStr">
        <is>
          <t>Pacific Enterprise Bank</t>
        </is>
      </c>
      <c r="D186" s="8" t="inlineStr">
        <is>
          <t>Regional</t>
        </is>
      </c>
      <c r="E186" t="inlineStr">
        <is>
          <t>★ Core SoCal</t>
        </is>
      </c>
      <c r="F186" s="23" t="inlineStr">
        <is>
          <t>1/4  ✗SUW ✗Onl ✓SoCal ✗Card</t>
        </is>
      </c>
      <c r="G186" t="inlineStr">
        <is>
          <t>N/M</t>
        </is>
      </c>
      <c r="H186" t="inlineStr">
        <is>
          <t>N/M</t>
        </is>
      </c>
      <c r="I186" t="inlineStr"/>
      <c r="J186" t="inlineStr">
        <is>
          <t>No card</t>
        </is>
      </c>
      <c r="K186" t="inlineStr">
        <is>
          <t>—</t>
        </is>
      </c>
      <c r="L186" t="inlineStr">
        <is>
          <t>~$0.52B (at close)</t>
        </is>
      </c>
      <c r="M186" t="inlineStr">
        <is>
          <t>—</t>
        </is>
      </c>
      <c r="N186" t="inlineStr">
        <is>
          <t>HQ Irvine (OC); DEFUNCT 2022-02-02 (now United Business Bank); was SBA lender, no card</t>
        </is>
      </c>
      <c r="O186" t="inlineStr">
        <is>
          <t>N/M</t>
        </is>
      </c>
      <c r="P186" t="inlineStr">
        <is>
          <t>—</t>
        </is>
      </c>
      <c r="Q186" t="inlineStr">
        <is>
          <t>❌ DEFUNCT — merged into United Business Bank (Feb 2022); never issued a card (SBA lender + merchant processing only)</t>
        </is>
      </c>
      <c r="R186" s="23" t="inlineStr">
        <is>
          <t>None</t>
        </is>
      </c>
      <c r="S186" t="inlineStr">
        <is>
          <t>No</t>
        </is>
      </c>
      <c r="T186" t="inlineStr">
        <is>
          <t>— (no business card)</t>
        </is>
      </c>
      <c r="U186" t="inlineStr">
        <is>
          <t>https://www.pacificenterprisebank.com/home/business</t>
        </is>
      </c>
      <c r="V186" t="inlineStr">
        <is>
          <t>—</t>
        </is>
      </c>
      <c r="W186" t="inlineStr">
        <is>
          <t>N/M</t>
        </is>
      </c>
      <c r="X186" t="inlineStr">
        <is>
          <t>N/M</t>
        </is>
      </c>
      <c r="Y186" t="inlineStr">
        <is>
          <t>Defunct 2022-02-02; now United Business Bank. Was SBA lender; no card ever issued.</t>
        </is>
      </c>
      <c r="Z186" t="inlineStr">
        <is>
          <t>0</t>
        </is>
      </c>
      <c r="AA186" t="inlineStr">
        <is>
          <t>N/M</t>
        </is>
      </c>
      <c r="AB186" t="inlineStr">
        <is>
          <t>None (was SBA/CRE full-doc lender)</t>
        </is>
      </c>
      <c r="AC186" t="inlineStr">
        <is>
          <t>N/M</t>
        </is>
      </c>
      <c r="AD186" t="inlineStr">
        <is>
          <t>Not a card source</t>
        </is>
      </c>
      <c r="AE186" t="inlineStr">
        <is>
          <t>None (SBA loans + merchant card processing; no issued card)</t>
        </is>
      </c>
      <c r="AF186" t="inlineStr">
        <is>
          <t>SoCal / Orange County (Irvine) — DEFUNCT</t>
        </is>
      </c>
      <c r="AG186" t="inlineStr">
        <is>
          <t>Irvine, CA</t>
        </is>
      </c>
      <c r="AH186" t="inlineStr">
        <is>
          <t>Reg</t>
        </is>
      </c>
      <c r="AI186" t="inlineStr">
        <is>
          <t>HIGH defunct + never issued a card. Now United Business Bank. 2026-05-28</t>
        </is>
      </c>
      <c r="AJ186" t="inlineStr">
        <is>
          <t>FDIC cert 58415 (inactive); businesswire (BayCom merger); pacificenterprisebank.com loan/business pages</t>
        </is>
      </c>
    </row>
    <row r="187">
      <c r="A187" t="inlineStr">
        <is>
          <t>186</t>
        </is>
      </c>
      <c r="B187" t="inlineStr"/>
      <c r="C187" s="22" t="inlineStr">
        <is>
          <t>New OMNI Bank, N.A.</t>
        </is>
      </c>
      <c r="D187" s="15" t="inlineStr">
        <is>
          <t>CA Bank</t>
        </is>
      </c>
      <c r="E187" t="inlineStr">
        <is>
          <t>★ Core SoCal</t>
        </is>
      </c>
      <c r="F187" s="23" t="inlineStr">
        <is>
          <t>1/4  ✗SUW ✗Onl ✓SoCal ✗Card</t>
        </is>
      </c>
      <c r="G187" t="inlineStr">
        <is>
          <t>N/M</t>
        </is>
      </c>
      <c r="H187" t="inlineStr">
        <is>
          <t>N/M</t>
        </is>
      </c>
      <c r="I187" t="inlineStr"/>
      <c r="J187" t="inlineStr">
        <is>
          <t>No card</t>
        </is>
      </c>
      <c r="K187" t="inlineStr">
        <is>
          <t>—</t>
        </is>
      </c>
      <c r="L187" t="inlineStr">
        <is>
          <t>$0.52B</t>
        </is>
      </c>
      <c r="M187" t="inlineStr">
        <is>
          <t>N/M</t>
        </is>
      </c>
      <c r="N187" t="inlineStr">
        <is>
          <t>4 SoCal branches (Alhambra, Arcadia, Rowland Heights, Irvine); est 1979 Monterey Park; Asian-American</t>
        </is>
      </c>
      <c r="O187" t="inlineStr">
        <is>
          <t>CA-HQ'd</t>
        </is>
      </c>
      <c r="P187" t="inlineStr">
        <is>
          <t>—</t>
        </is>
      </c>
      <c r="Q187" t="inlineStr">
        <is>
          <t>❌ No card (commercial/SBA lender; debit only)</t>
        </is>
      </c>
      <c r="R187" s="23" t="inlineStr">
        <is>
          <t>None</t>
        </is>
      </c>
      <c r="S187" t="inlineStr">
        <is>
          <t>No</t>
        </is>
      </c>
      <c r="T187" t="inlineStr">
        <is>
          <t>— (no business card)</t>
        </is>
      </c>
      <c r="U187" t="inlineStr">
        <is>
          <t>https://newomnibank.com</t>
        </is>
      </c>
      <c r="V187" t="inlineStr">
        <is>
          <t>—</t>
        </is>
      </c>
      <c r="W187" t="inlineStr">
        <is>
          <t>N/M</t>
        </is>
      </c>
      <c r="X187" t="inlineStr">
        <is>
          <t>N/M</t>
        </is>
      </c>
      <c r="Y187" t="inlineStr">
        <is>
          <t>N/M</t>
        </is>
      </c>
      <c r="Z187" t="inlineStr">
        <is>
          <t>0</t>
        </is>
      </c>
      <c r="AA187" t="inlineStr">
        <is>
          <t>N/M</t>
        </is>
      </c>
      <c r="AB187" t="inlineStr">
        <is>
          <t>None (CRE/construction/C&amp;I/SBA/trade finance full-doc)</t>
        </is>
      </c>
      <c r="AC187" t="inlineStr">
        <is>
          <t>N/M</t>
        </is>
      </c>
      <c r="AD187" t="inlineStr">
        <is>
          <t>Not a card source</t>
        </is>
      </c>
      <c r="AE187" t="inlineStr">
        <is>
          <t>None (business deposits + commercial lending; no card)</t>
        </is>
      </c>
      <c r="AF187" t="inlineStr">
        <is>
          <t>SoCal / LA (San Gabriel Valley)</t>
        </is>
      </c>
      <c r="AG187" t="inlineStr">
        <is>
          <t>Alhambra</t>
        </is>
      </c>
      <c r="AH187" t="inlineStr">
        <is>
          <t>79</t>
        </is>
      </c>
      <c r="AI187" t="inlineStr">
        <is>
          <t>HIGH no business card (all product pages card-free). 2026-05-29</t>
        </is>
      </c>
      <c r="AJ187" t="inlineStr">
        <is>
          <t>newomnibank.com (business/deposit, locations); FDIC cert 23086</t>
        </is>
      </c>
    </row>
    <row r="188">
      <c r="A188" t="inlineStr">
        <is>
          <t>187</t>
        </is>
      </c>
      <c r="B188" t="inlineStr"/>
      <c r="C188" s="22" t="inlineStr">
        <is>
          <t>First Credit Bank</t>
        </is>
      </c>
      <c r="D188" s="15" t="inlineStr">
        <is>
          <t>CA Bank</t>
        </is>
      </c>
      <c r="E188" t="inlineStr">
        <is>
          <t>★ Core SoCal</t>
        </is>
      </c>
      <c r="F188" s="23" t="inlineStr">
        <is>
          <t>1/4  ✗SUW ✗Onl ✓SoCal ✗Card</t>
        </is>
      </c>
      <c r="G188" t="inlineStr">
        <is>
          <t>N/M</t>
        </is>
      </c>
      <c r="H188" t="inlineStr">
        <is>
          <t>N/M</t>
        </is>
      </c>
      <c r="I188" t="inlineStr"/>
      <c r="J188" t="inlineStr">
        <is>
          <t>No card</t>
        </is>
      </c>
      <c r="K188" t="inlineStr">
        <is>
          <t>—</t>
        </is>
      </c>
      <c r="L188" t="inlineStr">
        <is>
          <t>$0.51B</t>
        </is>
      </c>
      <c r="M188" t="inlineStr">
        <is>
          <t>N/M</t>
        </is>
      </c>
      <c r="N188" t="inlineStr">
        <is>
          <t>Single branch (9255 W Sunset Blvd, West Hollywood); est 1983; niche CRE lender. ⚠️ calfcb.com is a confirmed fraud site (DFPI alert)</t>
        </is>
      </c>
      <c r="O188" t="inlineStr">
        <is>
          <t>CA-HQ'd</t>
        </is>
      </c>
      <c r="P188" t="inlineStr">
        <is>
          <t>—</t>
        </is>
      </c>
      <c r="Q188" t="inlineStr">
        <is>
          <t>⚠️ No card (single-branch CRE/commercial lender; no website)</t>
        </is>
      </c>
      <c r="R188" s="23" t="inlineStr">
        <is>
          <t>None</t>
        </is>
      </c>
      <c r="S188" t="inlineStr">
        <is>
          <t>No</t>
        </is>
      </c>
      <c r="T188" t="inlineStr">
        <is>
          <t>— (no business card)</t>
        </is>
      </c>
      <c r="U188" t="inlineStr">
        <is>
          <t>N/M (bank does not operate a website; calfcb.com is a DFPI-flagged FRAUD imposter)</t>
        </is>
      </c>
      <c r="V188" t="inlineStr">
        <is>
          <t>—</t>
        </is>
      </c>
      <c r="W188" t="inlineStr">
        <is>
          <t>N/M</t>
        </is>
      </c>
      <c r="X188" t="inlineStr">
        <is>
          <t>N/M</t>
        </is>
      </c>
      <c r="Y188" t="inlineStr">
        <is>
          <t>N/M</t>
        </is>
      </c>
      <c r="Z188" t="inlineStr">
        <is>
          <t>0</t>
        </is>
      </c>
      <c r="AA188" t="inlineStr">
        <is>
          <t>N/M</t>
        </is>
      </c>
      <c r="AB188" t="inlineStr">
        <is>
          <t>None (CRE/construction/business term/LOC full-doc)</t>
        </is>
      </c>
      <c r="AC188" t="inlineStr">
        <is>
          <t>N/M</t>
        </is>
      </c>
      <c r="AD188" t="inlineStr">
        <is>
          <t>Not a card source</t>
        </is>
      </c>
      <c r="AE188" t="inlineStr">
        <is>
          <t>None (CRE/commercial lending; no card; no website)</t>
        </is>
      </c>
      <c r="AF188" t="inlineStr">
        <is>
          <t>SoCal / LA</t>
        </is>
      </c>
      <c r="AG188" t="inlineStr">
        <is>
          <t>Los Angeles (West Hollywood)</t>
        </is>
      </c>
      <c r="AH188" t="inlineStr">
        <is>
          <t>81</t>
        </is>
      </c>
      <c r="AI188" t="inlineStr">
        <is>
          <t>HIGH commercial-only/no-card/no-website (FDIC single-branch CRE + DFPI 'does not operate a website'). 2026-05-29</t>
        </is>
      </c>
      <c r="AJ188" t="inlineStr">
        <is>
          <t>FDIC cert 24332; dfpi.ca.gov (First Credit Bank + calfcb.com fraud alert)</t>
        </is>
      </c>
    </row>
    <row r="189">
      <c r="A189" t="inlineStr">
        <is>
          <t>188</t>
        </is>
      </c>
      <c r="B189" t="inlineStr"/>
      <c r="C189" s="22" t="inlineStr">
        <is>
          <t>Chino Commercial Bank, N.A.</t>
        </is>
      </c>
      <c r="D189" s="15" t="inlineStr">
        <is>
          <t>CA Bank</t>
        </is>
      </c>
      <c r="E189" t="inlineStr">
        <is>
          <t>★ Core SoCal</t>
        </is>
      </c>
      <c r="F189" s="23" t="inlineStr">
        <is>
          <t>1/4  ✗SUW ✗Onl ✓SoCal ✗Card</t>
        </is>
      </c>
      <c r="G189" t="inlineStr">
        <is>
          <t>N/M</t>
        </is>
      </c>
      <c r="H189" t="inlineStr">
        <is>
          <t>N/M</t>
        </is>
      </c>
      <c r="I189" t="inlineStr"/>
      <c r="J189" t="inlineStr">
        <is>
          <t>No card</t>
        </is>
      </c>
      <c r="K189" t="inlineStr">
        <is>
          <t>—</t>
        </is>
      </c>
      <c r="L189" t="inlineStr">
        <is>
          <t>$0.47B</t>
        </is>
      </c>
      <c r="M189" t="inlineStr">
        <is>
          <t>N/M</t>
        </is>
      </c>
      <c r="N189" t="inlineStr">
        <is>
          <t>3 branches Inland Empire (Chino, Upland, Ontario, Rancho Cucamonga, Corona); San Bernardino County</t>
        </is>
      </c>
      <c r="O189" t="inlineStr">
        <is>
          <t>CA-HQ'd</t>
        </is>
      </c>
      <c r="P189" t="inlineStr">
        <is>
          <t>—</t>
        </is>
      </c>
      <c r="Q189" t="inlineStr">
        <is>
          <t>❌ No BUSINESS card — the 'third-party' card is CONSUMER-framed ('manage your personal finances'); Unsecured Business LOC $10K-$100K instead</t>
        </is>
      </c>
      <c r="R189" s="23" t="inlineStr">
        <is>
          <t>None for business (consumer card via undisclosed third party)</t>
        </is>
      </c>
      <c r="S189" t="inlineStr">
        <is>
          <t>No</t>
        </is>
      </c>
      <c r="T189" t="inlineStr">
        <is>
          <t>— (no business card)</t>
        </is>
      </c>
      <c r="U189" t="inlineStr">
        <is>
          <t>https://www.chinocommercialbank.com</t>
        </is>
      </c>
      <c r="V189" t="inlineStr">
        <is>
          <t>—</t>
        </is>
      </c>
      <c r="W189" t="inlineStr">
        <is>
          <t>N/M</t>
        </is>
      </c>
      <c r="X189" t="inlineStr">
        <is>
          <t>N/M</t>
        </is>
      </c>
      <c r="Y189" t="inlineStr">
        <is>
          <t>Re-verified 2026-05-29: card copy is consumer ('manage your personal finances'); no online app, no issuer disclosed. Not a business card.</t>
        </is>
      </c>
      <c r="Z189" t="inlineStr">
        <is>
          <t>0</t>
        </is>
      </c>
      <c r="AA189" t="inlineStr">
        <is>
          <t>N/M</t>
        </is>
      </c>
      <c r="AB189" t="inlineStr">
        <is>
          <t>Unsecured Business LOC $10K-$100K ('quick decisions' marketing; no stated no-doc; PG + financials likely)</t>
        </is>
      </c>
      <c r="AC189" t="inlineStr">
        <is>
          <t>N/M</t>
        </is>
      </c>
      <c r="AD189" t="inlineStr">
        <is>
          <t>Not a card source</t>
        </is>
      </c>
      <c r="AE189" t="inlineStr">
        <is>
          <t>Consumer third-party card (NOT business); Unsecured Business LOC $10K-$100K</t>
        </is>
      </c>
      <c r="AF189" t="inlineStr">
        <is>
          <t>SoCal / Inland Empire</t>
        </is>
      </c>
      <c r="AG189" t="inlineStr">
        <is>
          <t>Chino</t>
        </is>
      </c>
      <c r="AH189" t="inlineStr">
        <is>
          <t>83</t>
        </is>
      </c>
      <c r="AI189" t="inlineStr">
        <is>
          <t>HIGH re-verify: no BUSINESS card (consumer copy); the $10K-$100K LOC is the only business funding. 2026-05-29</t>
        </is>
      </c>
      <c r="AJ189" t="inlineStr">
        <is>
          <t>chinocommercialbank.com/business-banking/business-services (consumer copy) + /business-loans (LOC); FDIC cert 35366</t>
        </is>
      </c>
    </row>
    <row r="190">
      <c r="A190" t="inlineStr">
        <is>
          <t>189</t>
        </is>
      </c>
      <c r="B190" t="inlineStr"/>
      <c r="C190" s="22" t="inlineStr">
        <is>
          <t>Pacific Alliance Bank</t>
        </is>
      </c>
      <c r="D190" s="15" t="inlineStr">
        <is>
          <t>CA Bank</t>
        </is>
      </c>
      <c r="E190" t="inlineStr">
        <is>
          <t>★ Core SoCal</t>
        </is>
      </c>
      <c r="F190" s="23" t="inlineStr">
        <is>
          <t>1/4  ✗SUW ✗Onl ✓SoCal ✗Card</t>
        </is>
      </c>
      <c r="G190" t="inlineStr">
        <is>
          <t>N/M</t>
        </is>
      </c>
      <c r="H190" t="inlineStr">
        <is>
          <t>N/M</t>
        </is>
      </c>
      <c r="I190" t="inlineStr"/>
      <c r="J190" t="inlineStr">
        <is>
          <t>No card</t>
        </is>
      </c>
      <c r="K190" t="inlineStr">
        <is>
          <t>—</t>
        </is>
      </c>
      <c r="L190" t="inlineStr">
        <is>
          <t>$0.45B</t>
        </is>
      </c>
      <c r="M190" t="inlineStr">
        <is>
          <t>N/M</t>
        </is>
      </c>
      <c r="N190" t="inlineStr">
        <is>
          <t>SoCal community bank; San Gabriel/LA; Asian-American; est 2006; ticker PFBN</t>
        </is>
      </c>
      <c r="O190" t="inlineStr">
        <is>
          <t>CA-HQ'd</t>
        </is>
      </c>
      <c r="P190" t="inlineStr">
        <is>
          <t>—</t>
        </is>
      </c>
      <c r="Q190" t="inlineStr">
        <is>
          <t>❌ No card (commercial/SBA lender; Visa debit only)</t>
        </is>
      </c>
      <c r="R190" s="23" t="inlineStr">
        <is>
          <t>None</t>
        </is>
      </c>
      <c r="S190" t="inlineStr">
        <is>
          <t>No</t>
        </is>
      </c>
      <c r="T190" t="inlineStr">
        <is>
          <t>— (no business card)</t>
        </is>
      </c>
      <c r="U190" t="inlineStr">
        <is>
          <t>https://www.pacificalliancebank.com</t>
        </is>
      </c>
      <c r="V190" t="inlineStr">
        <is>
          <t>—</t>
        </is>
      </c>
      <c r="W190" t="inlineStr">
        <is>
          <t>N/M</t>
        </is>
      </c>
      <c r="X190" t="inlineStr">
        <is>
          <t>N/M</t>
        </is>
      </c>
      <c r="Y190" t="inlineStr">
        <is>
          <t>N/M</t>
        </is>
      </c>
      <c r="Z190" t="inlineStr">
        <is>
          <t>0</t>
        </is>
      </c>
      <c r="AA190" t="inlineStr">
        <is>
          <t>N/M</t>
        </is>
      </c>
      <c r="AB190" t="inlineStr">
        <is>
          <t>None (SBA 7(a)/504/CRE/construction/term/LOC full-doc)</t>
        </is>
      </c>
      <c r="AC190" t="inlineStr">
        <is>
          <t>N/M</t>
        </is>
      </c>
      <c r="AD190" t="inlineStr">
        <is>
          <t>Not a card source</t>
        </is>
      </c>
      <c r="AE190" t="inlineStr">
        <is>
          <t>Visa DEBIT only (no credit card)</t>
        </is>
      </c>
      <c r="AF190" t="inlineStr">
        <is>
          <t>SoCal / LA (San Gabriel Valley)</t>
        </is>
      </c>
      <c r="AG190" t="inlineStr">
        <is>
          <t>San Gabriel</t>
        </is>
      </c>
      <c r="AH190" t="inlineStr">
        <is>
          <t>84</t>
        </is>
      </c>
      <c r="AI190" t="inlineStr">
        <is>
          <t>HIGH no-card (homepage + commercial-loans confirm debit-only). 2026-05-29</t>
        </is>
      </c>
      <c r="AJ190" t="inlineStr">
        <is>
          <t>pacificalliancebank.com (Commercial-Loans, Other-Services); FDIC cert 58234</t>
        </is>
      </c>
    </row>
    <row r="191">
      <c r="A191" t="inlineStr">
        <is>
          <t>190</t>
        </is>
      </c>
      <c r="B191" t="inlineStr"/>
      <c r="C191" s="22" t="inlineStr">
        <is>
          <t>Community Commerce Bank</t>
        </is>
      </c>
      <c r="D191" s="15" t="inlineStr">
        <is>
          <t>CA Bank</t>
        </is>
      </c>
      <c r="E191" t="inlineStr">
        <is>
          <t>★ Core SoCal</t>
        </is>
      </c>
      <c r="F191" s="23" t="inlineStr">
        <is>
          <t>1/4  ✗SUW ✗Onl ✓SoCal ✗Card</t>
        </is>
      </c>
      <c r="G191" t="inlineStr">
        <is>
          <t>N/M</t>
        </is>
      </c>
      <c r="H191" t="inlineStr">
        <is>
          <t>N/M</t>
        </is>
      </c>
      <c r="I191" t="inlineStr"/>
      <c r="J191" t="inlineStr">
        <is>
          <t>No card</t>
        </is>
      </c>
      <c r="K191" t="inlineStr">
        <is>
          <t>—</t>
        </is>
      </c>
      <c r="L191" t="inlineStr">
        <is>
          <t>$0.41B</t>
        </is>
      </c>
      <c r="M191" t="inlineStr">
        <is>
          <t>N/M</t>
        </is>
      </c>
      <c r="N191" t="inlineStr">
        <is>
          <t>3 LA-County branches (Claremont, Monterey Park, Tarzana); TELACU family; est 1976</t>
        </is>
      </c>
      <c r="O191" t="inlineStr">
        <is>
          <t>CA-HQ'd</t>
        </is>
      </c>
      <c r="P191" t="inlineStr">
        <is>
          <t>—</t>
        </is>
      </c>
      <c r="Q191" t="inlineStr">
        <is>
          <t>❌ No card (CRE/SBA lender; explicitly 'no unsecured products')</t>
        </is>
      </c>
      <c r="R191" s="23" t="inlineStr">
        <is>
          <t>None</t>
        </is>
      </c>
      <c r="S191" t="inlineStr">
        <is>
          <t>No</t>
        </is>
      </c>
      <c r="T191" t="inlineStr">
        <is>
          <t>— (no business card)</t>
        </is>
      </c>
      <c r="U191" t="inlineStr">
        <is>
          <t>https://ccombank.com</t>
        </is>
      </c>
      <c r="V191" t="inlineStr">
        <is>
          <t>—</t>
        </is>
      </c>
      <c r="W191" t="inlineStr">
        <is>
          <t>N/M</t>
        </is>
      </c>
      <c r="X191" t="inlineStr">
        <is>
          <t>N/M</t>
        </is>
      </c>
      <c r="Y191" t="inlineStr">
        <is>
          <t>N/M (FAQ: 'we do not have any checking or unsecured line of credit products')</t>
        </is>
      </c>
      <c r="Z191" t="inlineStr">
        <is>
          <t>0</t>
        </is>
      </c>
      <c r="AA191" t="inlineStr">
        <is>
          <t>N/M</t>
        </is>
      </c>
      <c r="AB191" t="inlineStr">
        <is>
          <t>None (CRE/SBA 7(a)/house-of-worship/non-owner-occ residential full-doc)</t>
        </is>
      </c>
      <c r="AC191" t="inlineStr">
        <is>
          <t>N/M</t>
        </is>
      </c>
      <c r="AD191" t="inlineStr">
        <is>
          <t>Not a card source</t>
        </is>
      </c>
      <c r="AE191" t="inlineStr">
        <is>
          <t>None (CRE + SBA lending; no unsecured/card products by own statement)</t>
        </is>
      </c>
      <c r="AF191" t="inlineStr">
        <is>
          <t>SoCal / LA (Claremont)</t>
        </is>
      </c>
      <c r="AG191" t="inlineStr">
        <is>
          <t>Claremont</t>
        </is>
      </c>
      <c r="AH191" t="inlineStr">
        <is>
          <t>85</t>
        </is>
      </c>
      <c r="AI191" t="inlineStr">
        <is>
          <t>HIGH no-card (own FAQ disclaims unsecured/card products). 2026-05-29</t>
        </is>
      </c>
      <c r="AJ191" t="inlineStr">
        <is>
          <t>ccombank.com/faq + /loans + /about; FDIC cert 26363</t>
        </is>
      </c>
    </row>
    <row r="192">
      <c r="A192" t="inlineStr">
        <is>
          <t>191</t>
        </is>
      </c>
      <c r="B192" t="inlineStr"/>
      <c r="C192" s="22" t="inlineStr">
        <is>
          <t>Balboa Thrift and Loan Association</t>
        </is>
      </c>
      <c r="D192" s="15" t="inlineStr">
        <is>
          <t>CA Bank</t>
        </is>
      </c>
      <c r="E192" t="inlineStr">
        <is>
          <t>★ Core SoCal</t>
        </is>
      </c>
      <c r="F192" s="23" t="inlineStr">
        <is>
          <t>1/4  ✗SUW ✗Onl ✓SoCal ✗Card</t>
        </is>
      </c>
      <c r="G192" t="inlineStr">
        <is>
          <t>N/M</t>
        </is>
      </c>
      <c r="H192" t="inlineStr">
        <is>
          <t>N/M</t>
        </is>
      </c>
      <c r="I192" t="inlineStr"/>
      <c r="J192" t="inlineStr">
        <is>
          <t>No card</t>
        </is>
      </c>
      <c r="K192" t="inlineStr">
        <is>
          <t>—</t>
        </is>
      </c>
      <c r="L192" t="inlineStr">
        <is>
          <t>$0.41B</t>
        </is>
      </c>
      <c r="M192" t="inlineStr">
        <is>
          <t>N/M</t>
        </is>
      </c>
      <c r="N192" t="inlineStr">
        <is>
          <t>San Diego (Chula Vista HQ) + Claremont, La Quinta, Fresno; industrial loan co. (est 1980)</t>
        </is>
      </c>
      <c r="O192" t="inlineStr">
        <is>
          <t>CA-HQ'd</t>
        </is>
      </c>
      <c r="P192" t="inlineStr">
        <is>
          <t>—</t>
        </is>
      </c>
      <c r="Q192" t="inlineStr">
        <is>
          <t>❌ No card (auto + CRE thrift &amp; loan; FDIC-insured deposits)</t>
        </is>
      </c>
      <c r="R192" s="23" t="inlineStr">
        <is>
          <t>None</t>
        </is>
      </c>
      <c r="S192" t="inlineStr">
        <is>
          <t>No</t>
        </is>
      </c>
      <c r="T192" t="inlineStr">
        <is>
          <t>— (no business card)</t>
        </is>
      </c>
      <c r="U192" t="inlineStr">
        <is>
          <t>https://www.balboathrift.com</t>
        </is>
      </c>
      <c r="V192" t="inlineStr">
        <is>
          <t>—</t>
        </is>
      </c>
      <c r="W192" t="inlineStr">
        <is>
          <t>N/M</t>
        </is>
      </c>
      <c r="X192" t="inlineStr">
        <is>
          <t>N/M</t>
        </is>
      </c>
      <c r="Y192" t="inlineStr">
        <is>
          <t>N/M (auto via dealers/RouteOne; CRE via brokers)</t>
        </is>
      </c>
      <c r="Z192" t="inlineStr">
        <is>
          <t>0</t>
        </is>
      </c>
      <c r="AA192" t="inlineStr">
        <is>
          <t>N/M</t>
        </is>
      </c>
      <c r="AB192" t="inlineStr">
        <is>
          <t>None (auto ~75% + CRE ~25%, collateral/full-doc)</t>
        </is>
      </c>
      <c r="AC192" t="inlineStr">
        <is>
          <t>N/M</t>
        </is>
      </c>
      <c r="AD192" t="inlineStr">
        <is>
          <t>Not a card source</t>
        </is>
      </c>
      <c r="AE192" t="inlineStr">
        <is>
          <t>None (auto finance + CRE lending; deposits/CDs; no card)</t>
        </is>
      </c>
      <c r="AF192" t="inlineStr">
        <is>
          <t>SoCal / San Diego</t>
        </is>
      </c>
      <c r="AG192" t="inlineStr">
        <is>
          <t>Chula Vista</t>
        </is>
      </c>
      <c r="AH192" t="inlineStr">
        <is>
          <t>86</t>
        </is>
      </c>
      <c r="AI192" t="inlineStr">
        <is>
          <t>MED-HIGH no-card (auto+CRE lender; own site stale, third-party-corroborated). 2026-05-29</t>
        </is>
      </c>
      <c r="AJ192" t="inlineStr">
        <is>
          <t>sdbj.com (auto/CRE focus); dfpi.ca.gov; FDIC cert 26704</t>
        </is>
      </c>
    </row>
    <row r="193">
      <c r="A193" t="inlineStr">
        <is>
          <t>192</t>
        </is>
      </c>
      <c r="B193" t="inlineStr"/>
      <c r="C193" s="22" t="inlineStr">
        <is>
          <t>Liberty Bank, N.A. (Irvine, CA)</t>
        </is>
      </c>
      <c r="D193" s="15" t="inlineStr">
        <is>
          <t>CA Bank</t>
        </is>
      </c>
      <c r="E193" t="inlineStr">
        <is>
          <t>★ Core SoCal</t>
        </is>
      </c>
      <c r="F193" s="23" t="inlineStr">
        <is>
          <t>1/4  ✗SUW ✗Onl ✓SoCal ✗Card</t>
        </is>
      </c>
      <c r="G193" t="inlineStr">
        <is>
          <t>N/M</t>
        </is>
      </c>
      <c r="H193" t="inlineStr">
        <is>
          <t>N/M</t>
        </is>
      </c>
      <c r="I193" t="inlineStr"/>
      <c r="J193" t="inlineStr">
        <is>
          <t>No card</t>
        </is>
      </c>
      <c r="K193" t="inlineStr">
        <is>
          <t>—</t>
        </is>
      </c>
      <c r="L193" t="inlineStr">
        <is>
          <t>$0.40B</t>
        </is>
      </c>
      <c r="M193" t="inlineStr">
        <is>
          <t>N/M</t>
        </is>
      </c>
      <c r="N193" t="inlineStr">
        <is>
          <t>4 CA branches; Irvine HQ (OC) + LA + SF Bay Area (Millbrae/Boulder Creek/Felton/S.SF); DMG Bancshares; est 2001</t>
        </is>
      </c>
      <c r="O193" t="inlineStr">
        <is>
          <t>CA-HQ'd</t>
        </is>
      </c>
      <c r="P193" t="inlineStr">
        <is>
          <t>—</t>
        </is>
      </c>
      <c r="Q193" t="inlineStr">
        <is>
          <t>❌ No card (commercial bank; deposits + relationship lending)</t>
        </is>
      </c>
      <c r="R193" s="23" t="inlineStr">
        <is>
          <t>None (NOTE: Elan card data online belongs to Liberty Bank of CT — different entity)</t>
        </is>
      </c>
      <c r="S193" t="inlineStr">
        <is>
          <t>No</t>
        </is>
      </c>
      <c r="T193" t="inlineStr">
        <is>
          <t>— (no business card)</t>
        </is>
      </c>
      <c r="U193" t="inlineStr">
        <is>
          <t>https://www.libertybk.com</t>
        </is>
      </c>
      <c r="V193" t="inlineStr">
        <is>
          <t>—</t>
        </is>
      </c>
      <c r="W193" t="inlineStr">
        <is>
          <t>N/M</t>
        </is>
      </c>
      <c r="X193" t="inlineStr">
        <is>
          <t>N/M</t>
        </is>
      </c>
      <c r="Y193" t="inlineStr">
        <is>
          <t>N/M</t>
        </is>
      </c>
      <c r="Z193" t="inlineStr">
        <is>
          <t>0</t>
        </is>
      </c>
      <c r="AA193" t="inlineStr">
        <is>
          <t>N/M</t>
        </is>
      </c>
      <c r="AB193" t="inlineStr">
        <is>
          <t>None (term/LOC/commercial credit/CRE construction-to-perm full-doc)</t>
        </is>
      </c>
      <c r="AC193" t="inlineStr">
        <is>
          <t>N/M</t>
        </is>
      </c>
      <c r="AD193" t="inlineStr">
        <is>
          <t>Not a card source</t>
        </is>
      </c>
      <c r="AE193" t="inlineStr">
        <is>
          <t>None (deposits + commercial lending; no card)</t>
        </is>
      </c>
      <c r="AF193" t="inlineStr">
        <is>
          <t>SoCal / Orange County</t>
        </is>
      </c>
      <c r="AG193" t="inlineStr">
        <is>
          <t>Irvine</t>
        </is>
      </c>
      <c r="AH193" t="inlineStr">
        <is>
          <t>89</t>
        </is>
      </c>
      <c r="AI193" t="inlineStr">
        <is>
          <t>HIGH no-card for cert 35331 (own site; NOT Liberty Bank of CT which uses Elan). 2026-05-29</t>
        </is>
      </c>
      <c r="AJ193" t="inlineStr">
        <is>
          <t>libertybk.com (businessbanking, lending); FDIC cert 35331</t>
        </is>
      </c>
    </row>
    <row r="194">
      <c r="A194" t="inlineStr">
        <is>
          <t>193</t>
        </is>
      </c>
      <c r="B194" t="inlineStr"/>
      <c r="C194" s="22" t="inlineStr">
        <is>
          <t>American Continental Bank</t>
        </is>
      </c>
      <c r="D194" s="15" t="inlineStr">
        <is>
          <t>CA Bank</t>
        </is>
      </c>
      <c r="E194" t="inlineStr">
        <is>
          <t>★ Core SoCal</t>
        </is>
      </c>
      <c r="F194" s="23" t="inlineStr">
        <is>
          <t>1/4  ✗SUW ✗Onl ✓SoCal ✗Card</t>
        </is>
      </c>
      <c r="G194" t="inlineStr">
        <is>
          <t>N/M</t>
        </is>
      </c>
      <c r="H194" t="inlineStr">
        <is>
          <t>N/M</t>
        </is>
      </c>
      <c r="I194" t="inlineStr"/>
      <c r="J194" t="inlineStr">
        <is>
          <t>No card</t>
        </is>
      </c>
      <c r="K194" t="inlineStr">
        <is>
          <t>—</t>
        </is>
      </c>
      <c r="L194" t="inlineStr">
        <is>
          <t>$0.38B</t>
        </is>
      </c>
      <c r="M194" t="inlineStr">
        <is>
          <t>N/M</t>
        </is>
      </c>
      <c r="N194" t="inlineStr">
        <is>
          <t>~7 branches (CA + WA); City of Industry HQ; Chinese-American; pending Taichung Bank (Taiwan) acquisition</t>
        </is>
      </c>
      <c r="O194" t="inlineStr">
        <is>
          <t>CA-HQ'd</t>
        </is>
      </c>
      <c r="P194" t="inlineStr">
        <is>
          <t>—</t>
        </is>
      </c>
      <c r="Q194" t="inlineStr">
        <is>
          <t>❌ No card (commercial/SBA lender; debit/ATM only)</t>
        </is>
      </c>
      <c r="R194" s="23" t="inlineStr">
        <is>
          <t>None</t>
        </is>
      </c>
      <c r="S194" t="inlineStr">
        <is>
          <t>No</t>
        </is>
      </c>
      <c r="T194" t="inlineStr">
        <is>
          <t>— (no business card)</t>
        </is>
      </c>
      <c r="U194" t="inlineStr">
        <is>
          <t>https://www.americancontinentalbank.com</t>
        </is>
      </c>
      <c r="V194" t="inlineStr">
        <is>
          <t>—</t>
        </is>
      </c>
      <c r="W194" t="inlineStr">
        <is>
          <t>N/M</t>
        </is>
      </c>
      <c r="X194" t="inlineStr">
        <is>
          <t>N/M</t>
        </is>
      </c>
      <c r="Y194" t="inlineStr">
        <is>
          <t>N/M</t>
        </is>
      </c>
      <c r="Z194" t="inlineStr">
        <is>
          <t>0</t>
        </is>
      </c>
      <c r="AA194" t="inlineStr">
        <is>
          <t>N/M</t>
        </is>
      </c>
      <c r="AB194" t="inlineStr">
        <is>
          <t>None (CRE/apartment/construction/land/equipment/C&amp;I/SBA 7(a)/504 full-doc)</t>
        </is>
      </c>
      <c r="AC194" t="inlineStr">
        <is>
          <t>N/M</t>
        </is>
      </c>
      <c r="AD194" t="inlineStr">
        <is>
          <t>Not a card source</t>
        </is>
      </c>
      <c r="AE194" t="inlineStr">
        <is>
          <t>None (commercial/SBA lending; debit/ATM cards only)</t>
        </is>
      </c>
      <c r="AF194" t="inlineStr">
        <is>
          <t>SoCal / LA (San Gabriel Valley)</t>
        </is>
      </c>
      <c r="AG194" t="inlineStr">
        <is>
          <t>City of Industry</t>
        </is>
      </c>
      <c r="AH194" t="inlineStr">
        <is>
          <t>91</t>
        </is>
      </c>
      <c r="AI194" t="inlineStr">
        <is>
          <t>HIGH no-card (own Products &amp; Services = debit + commercial/SBA only). 2026-05-29</t>
        </is>
      </c>
      <c r="AJ194" t="inlineStr">
        <is>
          <t>americancontinentalbank.com/Products-Services; FDIC cert 57444; en.wikipedia.org</t>
        </is>
      </c>
    </row>
    <row r="195">
      <c r="A195" t="inlineStr">
        <is>
          <t>194</t>
        </is>
      </c>
      <c r="B195" t="inlineStr"/>
      <c r="C195" s="22" t="inlineStr">
        <is>
          <t>Universal Bank</t>
        </is>
      </c>
      <c r="D195" s="15" t="inlineStr">
        <is>
          <t>CA Bank</t>
        </is>
      </c>
      <c r="E195" t="inlineStr">
        <is>
          <t>★ Core SoCal</t>
        </is>
      </c>
      <c r="F195" s="23" t="inlineStr">
        <is>
          <t>1/4  ✗SUW ✗Onl ✓SoCal ✗Card</t>
        </is>
      </c>
      <c r="G195" t="inlineStr">
        <is>
          <t>N/M</t>
        </is>
      </c>
      <c r="H195" t="inlineStr">
        <is>
          <t>N/M</t>
        </is>
      </c>
      <c r="I195" t="inlineStr"/>
      <c r="J195" t="inlineStr">
        <is>
          <t>No card</t>
        </is>
      </c>
      <c r="K195" t="inlineStr">
        <is>
          <t>—</t>
        </is>
      </c>
      <c r="L195" t="inlineStr">
        <is>
          <t>$0.37B</t>
        </is>
      </c>
      <c r="M195" t="inlineStr">
        <is>
          <t>N/M</t>
        </is>
      </c>
      <c r="N195" t="inlineStr">
        <is>
          <t>5 CA branches; West Covina HQ; SGV/LA thrift (est 1954)</t>
        </is>
      </c>
      <c r="O195" t="inlineStr">
        <is>
          <t>CA-HQ'd</t>
        </is>
      </c>
      <c r="P195" t="inlineStr">
        <is>
          <t>—</t>
        </is>
      </c>
      <c r="Q195" t="inlineStr">
        <is>
          <t>❌ No BUSINESS card (Elan PERSONAL card only; business = deposits + commercial lending)</t>
        </is>
      </c>
      <c r="R195" s="23" t="inlineStr">
        <is>
          <t>None for business (Elan issues its personal card)</t>
        </is>
      </c>
      <c r="S195" t="inlineStr">
        <is>
          <t>No</t>
        </is>
      </c>
      <c r="T195" t="inlineStr">
        <is>
          <t>— (no business card)</t>
        </is>
      </c>
      <c r="U195" t="inlineStr">
        <is>
          <t>https://www.universalbank.com</t>
        </is>
      </c>
      <c r="V195" t="inlineStr">
        <is>
          <t>—</t>
        </is>
      </c>
      <c r="W195" t="inlineStr">
        <is>
          <t>N/M</t>
        </is>
      </c>
      <c r="X195" t="inlineStr">
        <is>
          <t>N/M</t>
        </is>
      </c>
      <c r="Y195" t="inlineStr">
        <is>
          <t>N/M (no business card; personal Elan card exists)</t>
        </is>
      </c>
      <c r="Z195" t="inlineStr">
        <is>
          <t>0</t>
        </is>
      </c>
      <c r="AA195" t="inlineStr">
        <is>
          <t>N/M</t>
        </is>
      </c>
      <c r="AB195" t="inlineStr">
        <is>
          <t>None (commercial lending relationship-underwritten)</t>
        </is>
      </c>
      <c r="AC195" t="inlineStr">
        <is>
          <t>N/M</t>
        </is>
      </c>
      <c r="AD195" t="inlineStr">
        <is>
          <t>Not a card source</t>
        </is>
      </c>
      <c r="AE195" t="inlineStr">
        <is>
          <t>Personal credit card (Elan) only; business = checking/savings/CD/Solutions + commercial lending</t>
        </is>
      </c>
      <c r="AF195" t="inlineStr">
        <is>
          <t>SoCal / LA (San Gabriel Valley)</t>
        </is>
      </c>
      <c r="AG195" t="inlineStr">
        <is>
          <t>West Covina</t>
        </is>
      </c>
      <c r="AH195" t="inlineStr">
        <is>
          <t>92</t>
        </is>
      </c>
      <c r="AI195" t="inlineStr">
        <is>
          <t>HIGH no business card (own site; personal-only Elan card; business is deposit+commercial-loan). 2026-05-29</t>
        </is>
      </c>
      <c r="AJ195" t="inlineStr">
        <is>
          <t>universalbank.com/Resources/All-Services (personal card 'through Elan'); FDIC cert 30722</t>
        </is>
      </c>
    </row>
    <row r="196">
      <c r="A196" t="inlineStr">
        <is>
          <t>195</t>
        </is>
      </c>
      <c r="B196" t="inlineStr"/>
      <c r="C196" s="22" t="inlineStr">
        <is>
          <t>Murphy Bank</t>
        </is>
      </c>
      <c r="D196" s="15" t="inlineStr">
        <is>
          <t>CA Bank</t>
        </is>
      </c>
      <c r="E196" t="inlineStr">
        <is>
          <t>Other — Central Valley (Fresno)</t>
        </is>
      </c>
      <c r="F196" s="23" t="inlineStr">
        <is>
          <t>0/4  ✗SUW ✗Onl ✗SoCal ✗Card</t>
        </is>
      </c>
      <c r="G196" t="inlineStr">
        <is>
          <t>N/M</t>
        </is>
      </c>
      <c r="H196" t="inlineStr">
        <is>
          <t>N/M</t>
        </is>
      </c>
      <c r="I196" t="inlineStr"/>
      <c r="J196" t="inlineStr">
        <is>
          <t>No card</t>
        </is>
      </c>
      <c r="K196" t="inlineStr">
        <is>
          <t>—</t>
        </is>
      </c>
      <c r="L196" t="inlineStr">
        <is>
          <t>$0.36B</t>
        </is>
      </c>
      <c r="M196" t="inlineStr">
        <is>
          <t>N/M</t>
        </is>
      </c>
      <c r="N196" t="inlineStr">
        <is>
          <t>~2 Fresno locations; specialty secured lender; est 1984 (branded 'since 1976')</t>
        </is>
      </c>
      <c r="O196" t="inlineStr">
        <is>
          <t>CA-HQ'd</t>
        </is>
      </c>
      <c r="P196" t="inlineStr">
        <is>
          <t>—</t>
        </is>
      </c>
      <c r="Q196" t="inlineStr">
        <is>
          <t>❌ No card (specialty secured lender; deposits)</t>
        </is>
      </c>
      <c r="R196" s="23" t="inlineStr">
        <is>
          <t>None</t>
        </is>
      </c>
      <c r="S196" t="inlineStr">
        <is>
          <t>No</t>
        </is>
      </c>
      <c r="T196" t="inlineStr">
        <is>
          <t>— (no business card)</t>
        </is>
      </c>
      <c r="U196" t="inlineStr">
        <is>
          <t>https://www.murphybank.com</t>
        </is>
      </c>
      <c r="V196" t="inlineStr">
        <is>
          <t>—</t>
        </is>
      </c>
      <c r="W196" t="inlineStr">
        <is>
          <t>N/M</t>
        </is>
      </c>
      <c r="X196" t="inlineStr">
        <is>
          <t>N/M</t>
        </is>
      </c>
      <c r="Y196" t="inlineStr">
        <is>
          <t>N/M (Murphy USA Visa = unrelated FNBO entity)</t>
        </is>
      </c>
      <c r="Z196" t="inlineStr">
        <is>
          <t>0</t>
        </is>
      </c>
      <c r="AA196" t="inlineStr">
        <is>
          <t>N/M</t>
        </is>
      </c>
      <c r="AB196" t="inlineStr">
        <is>
          <t>None (collateral-based: mobile homes, farm/commercial equipment, semi-trucks, vehicles)</t>
        </is>
      </c>
      <c r="AC196" t="inlineStr">
        <is>
          <t>N/M</t>
        </is>
      </c>
      <c r="AD196" t="inlineStr">
        <is>
          <t>Not a card source</t>
        </is>
      </c>
      <c r="AE196" t="inlineStr">
        <is>
          <t>None (deposits + specialty secured financing; no card)</t>
        </is>
      </c>
      <c r="AF196" t="inlineStr">
        <is>
          <t>Central Valley (Fresno)</t>
        </is>
      </c>
      <c r="AG196" t="inlineStr">
        <is>
          <t>Fresno</t>
        </is>
      </c>
      <c r="AH196" t="inlineStr">
        <is>
          <t>93</t>
        </is>
      </c>
      <c r="AI196" t="inlineStr">
        <is>
          <t>HIGH no-card (own product nav = deposits + secured loans only). 2026-05-29</t>
        </is>
      </c>
      <c r="AJ196" t="inlineStr">
        <is>
          <t>murphybank.com; FDIC cert 25726; bestcashcow.com</t>
        </is>
      </c>
    </row>
    <row r="197">
      <c r="A197" t="inlineStr">
        <is>
          <t>196</t>
        </is>
      </c>
      <c r="B197" t="inlineStr"/>
      <c r="C197" s="22" t="inlineStr">
        <is>
          <t>Bank Irvine</t>
        </is>
      </c>
      <c r="D197" s="15" t="inlineStr">
        <is>
          <t>CA Bank</t>
        </is>
      </c>
      <c r="E197" t="inlineStr">
        <is>
          <t>★ Core SoCal</t>
        </is>
      </c>
      <c r="F197" s="23" t="inlineStr">
        <is>
          <t>1/4  ✗SUW ✗Onl ✓SoCal ✗Card</t>
        </is>
      </c>
      <c r="G197" t="inlineStr">
        <is>
          <t>N/M</t>
        </is>
      </c>
      <c r="H197" t="inlineStr">
        <is>
          <t>N/M</t>
        </is>
      </c>
      <c r="I197" t="inlineStr"/>
      <c r="J197" t="inlineStr">
        <is>
          <t>No card</t>
        </is>
      </c>
      <c r="K197" t="inlineStr">
        <is>
          <t>—</t>
        </is>
      </c>
      <c r="L197" t="inlineStr">
        <is>
          <t>$0.31B</t>
        </is>
      </c>
      <c r="M197" t="inlineStr">
        <is>
          <t>N/M</t>
        </is>
      </c>
      <c r="N197" t="inlineStr">
        <is>
          <t>Single office (Irvine, OC); target OC + LA County; de novo est Oct 2022. NOT a Commercial Bank of CA rebrand</t>
        </is>
      </c>
      <c r="O197" t="inlineStr">
        <is>
          <t>CA-HQ'd</t>
        </is>
      </c>
      <c r="P197" t="inlineStr">
        <is>
          <t>—</t>
        </is>
      </c>
      <c r="Q197" t="inlineStr">
        <is>
          <t>❌ No card (de novo commercial bank; Mastercard debit only)</t>
        </is>
      </c>
      <c r="R197" s="23" t="inlineStr">
        <is>
          <t>None</t>
        </is>
      </c>
      <c r="S197" t="inlineStr">
        <is>
          <t>No</t>
        </is>
      </c>
      <c r="T197" t="inlineStr">
        <is>
          <t>— (no business card)</t>
        </is>
      </c>
      <c r="U197" t="inlineStr">
        <is>
          <t>https://www.bankirvine.com</t>
        </is>
      </c>
      <c r="V197" t="inlineStr">
        <is>
          <t>—</t>
        </is>
      </c>
      <c r="W197" t="inlineStr">
        <is>
          <t>N/M</t>
        </is>
      </c>
      <c r="X197" t="inlineStr">
        <is>
          <t>N/M</t>
        </is>
      </c>
      <c r="Y197" t="inlineStr">
        <is>
          <t>N/M</t>
        </is>
      </c>
      <c r="Z197" t="inlineStr">
        <is>
          <t>0</t>
        </is>
      </c>
      <c r="AA197" t="inlineStr">
        <is>
          <t>N/M</t>
        </is>
      </c>
      <c r="AB197" t="inlineStr">
        <is>
          <t>None (C&amp;I/CRE/multifamily/SBA full-doc)</t>
        </is>
      </c>
      <c r="AC197" t="inlineStr">
        <is>
          <t>N/M</t>
        </is>
      </c>
      <c r="AD197" t="inlineStr">
        <is>
          <t>Not a card source</t>
        </is>
      </c>
      <c r="AE197" t="inlineStr">
        <is>
          <t>Mastercard business/personal DEBIT only (no credit card)</t>
        </is>
      </c>
      <c r="AF197" t="inlineStr">
        <is>
          <t>SoCal / Orange County</t>
        </is>
      </c>
      <c r="AG197" t="inlineStr">
        <is>
          <t>Irvine</t>
        </is>
      </c>
      <c r="AH197" t="inlineStr">
        <is>
          <t>94</t>
        </is>
      </c>
      <c r="AI197" t="inlineStr">
        <is>
          <t>HIGH no-card (own business pages = C&amp;I/CRE/SBA + debit only). 2026-05-29</t>
        </is>
      </c>
      <c r="AJ197" t="inlineStr">
        <is>
          <t>bankirvine.com/business-banking + /debit-card; FDIC cert 59296</t>
        </is>
      </c>
    </row>
    <row r="198">
      <c r="A198" t="inlineStr">
        <is>
          <t>197</t>
        </is>
      </c>
      <c r="B198" t="inlineStr"/>
      <c r="C198" s="22" t="inlineStr">
        <is>
          <t>Community Valley Bank</t>
        </is>
      </c>
      <c r="D198" s="8" t="inlineStr">
        <is>
          <t>Regional</t>
        </is>
      </c>
      <c r="E198" t="inlineStr">
        <is>
          <t>Coachella (low)</t>
        </is>
      </c>
      <c r="F198" s="23" t="inlineStr">
        <is>
          <t>0/4  ✗SUW ✗Onl ✗SoCal ✗Card</t>
        </is>
      </c>
      <c r="G198" t="inlineStr">
        <is>
          <t>N/M</t>
        </is>
      </c>
      <c r="H198" t="inlineStr">
        <is>
          <t>N/M</t>
        </is>
      </c>
      <c r="I198" t="inlineStr"/>
      <c r="J198" t="inlineStr">
        <is>
          <t>No card</t>
        </is>
      </c>
      <c r="K198" t="inlineStr">
        <is>
          <t>—</t>
        </is>
      </c>
      <c r="L198" t="inlineStr">
        <is>
          <t>N/M</t>
        </is>
      </c>
      <c r="M198" t="inlineStr">
        <is>
          <t>N/M</t>
        </is>
      </c>
      <c r="N198" t="inlineStr">
        <is>
          <t>Indio (Riverside Co) + El Centro HQ, Brawley, Julian, Borrego Springs</t>
        </is>
      </c>
      <c r="O198" t="inlineStr">
        <is>
          <t>N/M</t>
        </is>
      </c>
      <c r="P198" t="inlineStr">
        <is>
          <t>—</t>
        </is>
      </c>
      <c r="Q198" t="inlineStr">
        <is>
          <t>⚠️ Unknown card status — ACQUIRED by Frontwave Credit Union eff. 2025-10-01 ('no changes... until Frontwave business suite transition late 2026'); Coachella Valley presence (Indio)</t>
        </is>
      </c>
      <c r="R198" s="9" t="inlineStr">
        <is>
          <t>(→ Frontwave CU post-merger)</t>
        </is>
      </c>
      <c r="S198" t="inlineStr">
        <is>
          <t>No</t>
        </is>
      </c>
      <c r="T198" t="inlineStr">
        <is>
          <t>— (no business card)</t>
        </is>
      </c>
      <c r="U198" t="inlineStr">
        <is>
          <t>https://www.yourcvb.com</t>
        </is>
      </c>
      <c r="V198" t="inlineStr">
        <is>
          <t>—</t>
        </is>
      </c>
      <c r="W198" t="inlineStr">
        <is>
          <t>N/M</t>
        </is>
      </c>
      <c r="X198" t="inlineStr">
        <is>
          <t>N/M</t>
        </is>
      </c>
      <c r="Y198" t="inlineStr">
        <is>
          <t>Business lending continues post-merger; terms N/M. Recheck after Frontwave transition. Light census 2026-06-10.</t>
        </is>
      </c>
      <c r="Z198" t="inlineStr">
        <is>
          <t>0</t>
        </is>
      </c>
      <c r="AA198" t="inlineStr">
        <is>
          <t>N/M</t>
        </is>
      </c>
      <c r="AB198" t="inlineStr">
        <is>
          <t>None published</t>
        </is>
      </c>
      <c r="AC198" t="inlineStr">
        <is>
          <t>N/M</t>
        </is>
      </c>
      <c r="AD198" t="inlineStr">
        <is>
          <t>Not a card source</t>
        </is>
      </c>
      <c r="AE198" t="inlineStr">
        <is>
          <t>(transitioning to Frontwave CU)</t>
        </is>
      </c>
      <c r="AF198" t="inlineStr">
        <is>
          <t>Coachella Valley / Riverside (Indio branch) + Imperial County</t>
        </is>
      </c>
      <c r="AG198" t="inlineStr">
        <is>
          <t>El Centro, CA</t>
        </is>
      </c>
      <c r="AH198" t="inlineStr">
        <is>
          <t>Reg</t>
        </is>
      </c>
      <c r="AI198" t="inlineStr">
        <is>
          <t>MED merger-transition. Light census 2026-06-10</t>
        </is>
      </c>
      <c r="AJ198" t="inlineStr">
        <is>
          <t>frontwavecu.com/cvb (PR 2025-01-22); yourcvb.com (Wayback 2020)</t>
        </is>
      </c>
    </row>
    <row r="199">
      <c r="A199" t="inlineStr">
        <is>
          <t>198</t>
        </is>
      </c>
      <c r="B199" t="inlineStr"/>
      <c r="C199" s="22" t="inlineStr">
        <is>
          <t>Monterey County Bank</t>
        </is>
      </c>
      <c r="D199" s="15" t="inlineStr">
        <is>
          <t>CA Bank</t>
        </is>
      </c>
      <c r="E199" t="inlineStr">
        <is>
          <t>Other — Central Coast (Monterey County)</t>
        </is>
      </c>
      <c r="F199" s="23" t="inlineStr">
        <is>
          <t>0/4  ✗SUW ✗Onl ✗SoCal ✗Card</t>
        </is>
      </c>
      <c r="G199" t="inlineStr">
        <is>
          <t>N/M</t>
        </is>
      </c>
      <c r="H199" t="inlineStr">
        <is>
          <t>N/M</t>
        </is>
      </c>
      <c r="I199" t="inlineStr"/>
      <c r="J199" t="inlineStr">
        <is>
          <t>No card</t>
        </is>
      </c>
      <c r="K199" t="inlineStr">
        <is>
          <t>—</t>
        </is>
      </c>
      <c r="L199" t="inlineStr">
        <is>
          <t>$0.30B</t>
        </is>
      </c>
      <c r="M199" t="inlineStr">
        <is>
          <t>N/M</t>
        </is>
      </c>
      <c r="N199" t="inlineStr">
        <is>
          <t>Monterey/Carmel/Pacific Grove/Salinas; est 1977; 2023 recap reported</t>
        </is>
      </c>
      <c r="O199" t="inlineStr">
        <is>
          <t>CA-HQ'd</t>
        </is>
      </c>
      <c r="P199" t="inlineStr">
        <is>
          <t>—</t>
        </is>
      </c>
      <c r="Q199" t="inlineStr">
        <is>
          <t>❌ No BUSINESS card (legacy consumer subprime 'Emblem' MC only; SBA/commercial lender)</t>
        </is>
      </c>
      <c r="R199" s="23" t="inlineStr">
        <is>
          <t>None for business (legacy Emblem run by Jefferson Capital)</t>
        </is>
      </c>
      <c r="S199" t="inlineStr">
        <is>
          <t>No</t>
        </is>
      </c>
      <c r="T199" t="inlineStr">
        <is>
          <t>— (no business card)</t>
        </is>
      </c>
      <c r="U199" t="inlineStr">
        <is>
          <t>https://montereycountybank.com</t>
        </is>
      </c>
      <c r="V199" t="inlineStr">
        <is>
          <t>—</t>
        </is>
      </c>
      <c r="W199" t="inlineStr">
        <is>
          <t>N/M</t>
        </is>
      </c>
      <c r="X199" t="inlineStr">
        <is>
          <t>N/M</t>
        </is>
      </c>
      <c r="Y199" t="inlineStr">
        <is>
          <t>N/M (Emblem = consumer subprime credit-builder, not business; not on bank site)</t>
        </is>
      </c>
      <c r="Z199" t="inlineStr">
        <is>
          <t>0</t>
        </is>
      </c>
      <c r="AA199" t="inlineStr">
        <is>
          <t>N/M</t>
        </is>
      </c>
      <c r="AB199" t="inlineStr">
        <is>
          <t>None (SBA 7(a)/CRE/C&amp;I full-doc; #1 SBA 7(a) lender in Monterey County)</t>
        </is>
      </c>
      <c r="AC199" t="inlineStr">
        <is>
          <t>N/M</t>
        </is>
      </c>
      <c r="AD199" t="inlineStr">
        <is>
          <t>Not a card source</t>
        </is>
      </c>
      <c r="AE199" t="inlineStr">
        <is>
          <t>None for business (debit + Elavon merchant; legacy consumer Emblem MC via Jefferson Capital)</t>
        </is>
      </c>
      <c r="AF199" t="inlineStr">
        <is>
          <t>Central Coast (Monterey County)</t>
        </is>
      </c>
      <c r="AG199" t="inlineStr">
        <is>
          <t>Monterey</t>
        </is>
      </c>
      <c r="AH199" t="inlineStr">
        <is>
          <t>95</t>
        </is>
      </c>
      <c r="AI199" t="inlineStr">
        <is>
          <t>HIGH no business card (site = debit + merchant only; Emblem is consumer-only legacy). 2026-05-29</t>
        </is>
      </c>
      <c r="AJ199" t="inlineStr">
        <is>
          <t>montereycountybank.com (Debit-Card, Merchant-Services); FDIC cert 22460; creditcardchaser.com (legacy Emblem)</t>
        </is>
      </c>
    </row>
    <row r="200">
      <c r="A200" t="inlineStr">
        <is>
          <t>199</t>
        </is>
      </c>
      <c r="B200" t="inlineStr"/>
      <c r="C200" s="22" t="inlineStr">
        <is>
          <t>Gateway Bank, F.S.B.</t>
        </is>
      </c>
      <c r="D200" s="15" t="inlineStr">
        <is>
          <t>CA Bank</t>
        </is>
      </c>
      <c r="E200" t="inlineStr">
        <is>
          <t>Other — NorCal</t>
        </is>
      </c>
      <c r="F200" s="23" t="inlineStr">
        <is>
          <t>0/4  ✗SUW ✗Onl ✗SoCal ✗Card</t>
        </is>
      </c>
      <c r="G200" t="inlineStr">
        <is>
          <t>N/M</t>
        </is>
      </c>
      <c r="H200" t="inlineStr">
        <is>
          <t>N/M</t>
        </is>
      </c>
      <c r="I200" t="inlineStr"/>
      <c r="J200" t="inlineStr">
        <is>
          <t>No card</t>
        </is>
      </c>
      <c r="K200" t="inlineStr">
        <is>
          <t>—</t>
        </is>
      </c>
      <c r="L200" t="inlineStr">
        <is>
          <t>$0.29B</t>
        </is>
      </c>
      <c r="M200" t="inlineStr">
        <is>
          <t>N/M</t>
        </is>
      </c>
      <c r="N200" t="inlineStr">
        <is>
          <t>Oakland + Walnut Creek; federal savings bank (thrift); est 1990. NOT AZ/AR same-name banks</t>
        </is>
      </c>
      <c r="O200" t="inlineStr">
        <is>
          <t>CA-HQ'd</t>
        </is>
      </c>
      <c r="P200" t="inlineStr">
        <is>
          <t>—</t>
        </is>
      </c>
      <c r="Q200" t="inlineStr">
        <is>
          <t>❌ No card (thrift; MoneyPass debit; collateral-based CRE lending)</t>
        </is>
      </c>
      <c r="R200" s="23" t="inlineStr">
        <is>
          <t>None</t>
        </is>
      </c>
      <c r="S200" t="inlineStr">
        <is>
          <t>No</t>
        </is>
      </c>
      <c r="T200" t="inlineStr">
        <is>
          <t>— (no business card)</t>
        </is>
      </c>
      <c r="U200" t="inlineStr">
        <is>
          <t>https://www.gatewayfsb.com</t>
        </is>
      </c>
      <c r="V200" t="inlineStr">
        <is>
          <t>—</t>
        </is>
      </c>
      <c r="W200" t="inlineStr">
        <is>
          <t>N/M</t>
        </is>
      </c>
      <c r="X200" t="inlineStr">
        <is>
          <t>N/M</t>
        </is>
      </c>
      <c r="Y200" t="inlineStr">
        <is>
          <t>N/M</t>
        </is>
      </c>
      <c r="Z200" t="inlineStr">
        <is>
          <t>0</t>
        </is>
      </c>
      <c r="AA200" t="inlineStr">
        <is>
          <t>N/M</t>
        </is>
      </c>
      <c r="AB200" t="inlineStr">
        <is>
          <t>None (real-estate-collateral CRE/LOC/term full-doc)</t>
        </is>
      </c>
      <c r="AC200" t="inlineStr">
        <is>
          <t>N/M</t>
        </is>
      </c>
      <c r="AD200" t="inlineStr">
        <is>
          <t>Not a card source</t>
        </is>
      </c>
      <c r="AE200" t="inlineStr">
        <is>
          <t>None (deposits + treasury + collateral CRE loans; MoneyPass debit only)</t>
        </is>
      </c>
      <c r="AF200" t="inlineStr">
        <is>
          <t>NorCal / SF-East Bay</t>
        </is>
      </c>
      <c r="AG200" t="inlineStr">
        <is>
          <t>Oakland</t>
        </is>
      </c>
      <c r="AH200" t="inlineStr">
        <is>
          <t>96</t>
        </is>
      </c>
      <c r="AI200" t="inlineStr">
        <is>
          <t>HIGH no-card (own home + commercial-loans pages; debit only; assets verified $286.5M). 2026-05-29</t>
        </is>
      </c>
      <c r="AJ200" t="inlineStr">
        <is>
          <t>gatewayfsb.com + /commercial-loans; FDIC cert 33103 ($286.53M)</t>
        </is>
      </c>
    </row>
    <row r="201">
      <c r="A201" t="inlineStr">
        <is>
          <t>200</t>
        </is>
      </c>
      <c r="B201" t="inlineStr"/>
      <c r="C201" s="22" t="inlineStr">
        <is>
          <t>Mission National Bank</t>
        </is>
      </c>
      <c r="D201" s="15" t="inlineStr">
        <is>
          <t>CA Bank</t>
        </is>
      </c>
      <c r="E201" t="inlineStr">
        <is>
          <t>Other — NorCal</t>
        </is>
      </c>
      <c r="F201" s="23" t="inlineStr">
        <is>
          <t>0/4  ✗SUW ✗Onl ✗SoCal ✗Card</t>
        </is>
      </c>
      <c r="G201" t="inlineStr">
        <is>
          <t>N/M</t>
        </is>
      </c>
      <c r="H201" t="inlineStr">
        <is>
          <t>N/M</t>
        </is>
      </c>
      <c r="I201" t="inlineStr"/>
      <c r="J201" t="inlineStr">
        <is>
          <t>No card</t>
        </is>
      </c>
      <c r="K201" t="inlineStr">
        <is>
          <t>—</t>
        </is>
      </c>
      <c r="L201" t="inlineStr">
        <is>
          <t>$0.25B</t>
        </is>
      </c>
      <c r="M201" t="inlineStr">
        <is>
          <t>N/M</t>
        </is>
      </c>
      <c r="N201" t="inlineStr">
        <is>
          <t>Single SF office (Mission District); ~42 yrs; CA-only</t>
        </is>
      </c>
      <c r="O201" t="inlineStr">
        <is>
          <t>CA-HQ'd</t>
        </is>
      </c>
      <c r="P201" t="inlineStr">
        <is>
          <t>—</t>
        </is>
      </c>
      <c r="Q201" t="inlineStr">
        <is>
          <t>❌ No card (community bank; Visa debit only)</t>
        </is>
      </c>
      <c r="R201" s="23" t="inlineStr">
        <is>
          <t>None</t>
        </is>
      </c>
      <c r="S201" t="inlineStr">
        <is>
          <t>No</t>
        </is>
      </c>
      <c r="T201" t="inlineStr">
        <is>
          <t>— (no business card)</t>
        </is>
      </c>
      <c r="U201" t="inlineStr">
        <is>
          <t>https://mnbsf.com</t>
        </is>
      </c>
      <c r="V201" t="inlineStr">
        <is>
          <t>—</t>
        </is>
      </c>
      <c r="W201" t="inlineStr">
        <is>
          <t>N/M</t>
        </is>
      </c>
      <c r="X201" t="inlineStr">
        <is>
          <t>N/M</t>
        </is>
      </c>
      <c r="Y201" t="inlineStr">
        <is>
          <t>N/M (Prelim portal = deposit account opening, not cards)</t>
        </is>
      </c>
      <c r="Z201" t="inlineStr">
        <is>
          <t>0</t>
        </is>
      </c>
      <c r="AA201" t="inlineStr">
        <is>
          <t>N/M</t>
        </is>
      </c>
      <c r="AB201" t="inlineStr">
        <is>
          <t>None (term/LOC/CRE/letters-of-credit full-doc)</t>
        </is>
      </c>
      <c r="AC201" t="inlineStr">
        <is>
          <t>N/M</t>
        </is>
      </c>
      <c r="AD201" t="inlineStr">
        <is>
          <t>Not a card source</t>
        </is>
      </c>
      <c r="AE201" t="inlineStr">
        <is>
          <t>Visa DEBIT only (no credit card)</t>
        </is>
      </c>
      <c r="AF201" t="inlineStr">
        <is>
          <t>NorCal / SF</t>
        </is>
      </c>
      <c r="AG201" t="inlineStr">
        <is>
          <t>San Francisco</t>
        </is>
      </c>
      <c r="AH201" t="inlineStr">
        <is>
          <t>99</t>
        </is>
      </c>
      <c r="AI201" t="inlineStr">
        <is>
          <t>HIGH no-card (site nav = debit + commercial lending only). 2026-05-29</t>
        </is>
      </c>
      <c r="AJ201" t="inlineStr">
        <is>
          <t>mnbsf.com (home, Contact-Us); FDIC cert 23749</t>
        </is>
      </c>
    </row>
    <row r="202">
      <c r="A202" t="inlineStr">
        <is>
          <t>201</t>
        </is>
      </c>
      <c r="B202" t="inlineStr"/>
      <c r="C202" s="22" t="inlineStr">
        <is>
          <t>Neighborhood National Bank</t>
        </is>
      </c>
      <c r="D202" s="15" t="inlineStr">
        <is>
          <t>CA Bank</t>
        </is>
      </c>
      <c r="E202" t="inlineStr">
        <is>
          <t>★ Core SoCal</t>
        </is>
      </c>
      <c r="F202" s="23" t="inlineStr">
        <is>
          <t>1/4  ✗SUW ✗Onl ✓SoCal ✗Card</t>
        </is>
      </c>
      <c r="G202" t="inlineStr">
        <is>
          <t>N/M</t>
        </is>
      </c>
      <c r="H202" t="inlineStr">
        <is>
          <t>N/M</t>
        </is>
      </c>
      <c r="I202" t="inlineStr"/>
      <c r="J202" t="inlineStr">
        <is>
          <t>No card</t>
        </is>
      </c>
      <c r="K202" t="inlineStr">
        <is>
          <t>—</t>
        </is>
      </c>
      <c r="L202" t="inlineStr">
        <is>
          <t>$0.23B</t>
        </is>
      </c>
      <c r="M202" t="inlineStr">
        <is>
          <t>N/M</t>
        </is>
      </c>
      <c r="N202" t="inlineStr">
        <is>
          <t>San Diego County (El Cajon HQ, National City); first national bank designated a CDFI; est 1997</t>
        </is>
      </c>
      <c r="O202" t="inlineStr">
        <is>
          <t>CA-HQ'd</t>
        </is>
      </c>
      <c r="P202" t="inlineStr">
        <is>
          <t>—</t>
        </is>
      </c>
      <c r="Q202" t="inlineStr">
        <is>
          <t>❌ No card (CDFI community bank; business debit + merchant services only)</t>
        </is>
      </c>
      <c r="R202" s="23" t="inlineStr">
        <is>
          <t>None</t>
        </is>
      </c>
      <c r="S202" t="inlineStr">
        <is>
          <t>No</t>
        </is>
      </c>
      <c r="T202" t="inlineStr">
        <is>
          <t>— (no business card)</t>
        </is>
      </c>
      <c r="U202" t="inlineStr">
        <is>
          <t>https://www.mynnb.com</t>
        </is>
      </c>
      <c r="V202" t="inlineStr">
        <is>
          <t>—</t>
        </is>
      </c>
      <c r="W202" t="inlineStr">
        <is>
          <t>N/M</t>
        </is>
      </c>
      <c r="X202" t="inlineStr">
        <is>
          <t>N/M</t>
        </is>
      </c>
      <c r="Y202" t="inlineStr">
        <is>
          <t>N/M</t>
        </is>
      </c>
      <c r="Z202" t="inlineStr">
        <is>
          <t>0</t>
        </is>
      </c>
      <c r="AA202" t="inlineStr">
        <is>
          <t>N/M</t>
        </is>
      </c>
      <c r="AB202" t="inlineStr">
        <is>
          <t>None (term/revolving LOC/CRE/SBA 7(a)/504/Express/construction full-doc)</t>
        </is>
      </c>
      <c r="AC202" t="inlineStr">
        <is>
          <t>N/M</t>
        </is>
      </c>
      <c r="AD202" t="inlineStr">
        <is>
          <t>Not a card source</t>
        </is>
      </c>
      <c r="AE202" t="inlineStr">
        <is>
          <t>Business DEBIT + merchant card services only (no issued credit card)</t>
        </is>
      </c>
      <c r="AF202" t="inlineStr">
        <is>
          <t>SoCal / San Diego</t>
        </is>
      </c>
      <c r="AG202" t="inlineStr">
        <is>
          <t>El Cajon</t>
        </is>
      </c>
      <c r="AH202" t="inlineStr">
        <is>
          <t>101</t>
        </is>
      </c>
      <c r="AI202" t="inlineStr">
        <is>
          <t>HIGH no-card (home/lending/nav = debit + merchant + commercial lending only). 2026-05-29</t>
        </is>
      </c>
      <c r="AJ202" t="inlineStr">
        <is>
          <t>mynnb.com (lending/business-loans, merchant-card-services); FDIC cert 34548</t>
        </is>
      </c>
    </row>
    <row r="203">
      <c r="A203" t="inlineStr">
        <is>
          <t>202</t>
        </is>
      </c>
      <c r="B203" t="inlineStr"/>
      <c r="C203" s="22" t="inlineStr">
        <is>
          <t>Capital Bank and Trust Company</t>
        </is>
      </c>
      <c r="D203" s="15" t="inlineStr">
        <is>
          <t>CA Bank</t>
        </is>
      </c>
      <c r="E203" t="inlineStr">
        <is>
          <t>★ Core SoCal</t>
        </is>
      </c>
      <c r="F203" s="23" t="inlineStr">
        <is>
          <t>1/4  ✗SUW ✗Onl ✓SoCal ✗Card</t>
        </is>
      </c>
      <c r="G203" t="inlineStr">
        <is>
          <t>N/M</t>
        </is>
      </c>
      <c r="H203" t="inlineStr">
        <is>
          <t>N/M</t>
        </is>
      </c>
      <c r="I203" t="inlineStr"/>
      <c r="J203" t="inlineStr">
        <is>
          <t>No card</t>
        </is>
      </c>
      <c r="K203" t="inlineStr">
        <is>
          <t>—</t>
        </is>
      </c>
      <c r="L203" t="inlineStr">
        <is>
          <t>$0.23B</t>
        </is>
      </c>
      <c r="M203" t="inlineStr">
        <is>
          <t>N/M</t>
        </is>
      </c>
      <c r="N203" t="inlineStr">
        <is>
          <t>Captive trust bank of Capital Group (American Funds); Irvine HQ; savings-bank charter; 2 offices</t>
        </is>
      </c>
      <c r="O203" t="inlineStr">
        <is>
          <t>CA-HQ'd</t>
        </is>
      </c>
      <c r="P203" t="inlineStr">
        <is>
          <t>—</t>
        </is>
      </c>
      <c r="Q203" t="inlineStr">
        <is>
          <t>❌ No card (Capital Group / American Funds captive trust &amp; custody bank)</t>
        </is>
      </c>
      <c r="R203" s="23" t="inlineStr">
        <is>
          <t>None</t>
        </is>
      </c>
      <c r="S203" t="inlineStr">
        <is>
          <t>No</t>
        </is>
      </c>
      <c r="T203" t="inlineStr">
        <is>
          <t>— (no business card)</t>
        </is>
      </c>
      <c r="U203" t="inlineStr">
        <is>
          <t>https://www.americanfunds.com</t>
        </is>
      </c>
      <c r="V203" t="inlineStr">
        <is>
          <t>—</t>
        </is>
      </c>
      <c r="W203" t="inlineStr">
        <is>
          <t>N/M</t>
        </is>
      </c>
      <c r="X203" t="inlineStr">
        <is>
          <t>N/M</t>
        </is>
      </c>
      <c r="Y203" t="inlineStr">
        <is>
          <t>N/M (directed-trustee/custodial for American Funds retirement plans + IRAs)</t>
        </is>
      </c>
      <c r="Z203" t="inlineStr">
        <is>
          <t>0</t>
        </is>
      </c>
      <c r="AA203" t="inlineStr">
        <is>
          <t>N/M</t>
        </is>
      </c>
      <c r="AB203" t="inlineStr">
        <is>
          <t>None (no commercial lending or card; retirement custody only)</t>
        </is>
      </c>
      <c r="AC203" t="inlineStr">
        <is>
          <t>N/M</t>
        </is>
      </c>
      <c r="AD203" t="inlineStr">
        <is>
          <t>Not a card source</t>
        </is>
      </c>
      <c r="AE203" t="inlineStr">
        <is>
          <t>None (directed trustee + custodial services for retirement plans/IRAs)</t>
        </is>
      </c>
      <c r="AF203" t="inlineStr">
        <is>
          <t>SoCal / Orange County</t>
        </is>
      </c>
      <c r="AG203" t="inlineStr">
        <is>
          <t>Irvine</t>
        </is>
      </c>
      <c r="AH203" t="inlineStr">
        <is>
          <t>102</t>
        </is>
      </c>
      <c r="AI203" t="inlineStr">
        <is>
          <t>HIGH no-card (captive American Funds trust/custody bank; FDIC WEBADDR=americanfunds.com). 2026-05-29</t>
        </is>
      </c>
      <c r="AJ203" t="inlineStr">
        <is>
          <t>FDIC cert 35164 (WEBADDR americanfunds.com); en.wikipedia.org/wiki/Capital_Group</t>
        </is>
      </c>
    </row>
    <row r="204">
      <c r="A204" t="inlineStr">
        <is>
          <t>203</t>
        </is>
      </c>
      <c r="B204" t="inlineStr"/>
      <c r="C204" s="22" t="inlineStr">
        <is>
          <t>United Pacific Bank</t>
        </is>
      </c>
      <c r="D204" s="15" t="inlineStr">
        <is>
          <t>CA Bank</t>
        </is>
      </c>
      <c r="E204" t="inlineStr">
        <is>
          <t>★ Core SoCal</t>
        </is>
      </c>
      <c r="F204" s="23" t="inlineStr">
        <is>
          <t>1/4  ✗SUW ✗Onl ✓SoCal ✗Card</t>
        </is>
      </c>
      <c r="G204" t="inlineStr">
        <is>
          <t>N/M</t>
        </is>
      </c>
      <c r="H204" t="inlineStr">
        <is>
          <t>N/M</t>
        </is>
      </c>
      <c r="I204" t="inlineStr"/>
      <c r="J204" t="inlineStr">
        <is>
          <t>No card</t>
        </is>
      </c>
      <c r="K204" t="inlineStr">
        <is>
          <t>—</t>
        </is>
      </c>
      <c r="L204" t="inlineStr">
        <is>
          <t>$0.19B</t>
        </is>
      </c>
      <c r="M204" t="inlineStr">
        <is>
          <t>N/M</t>
        </is>
      </c>
      <c r="N204" t="inlineStr">
        <is>
          <t>City of Industry HQ + Monterey Park; Asian-American; est 1982</t>
        </is>
      </c>
      <c r="O204" t="inlineStr">
        <is>
          <t>CA-HQ'd</t>
        </is>
      </c>
      <c r="P204" t="inlineStr">
        <is>
          <t>—</t>
        </is>
      </c>
      <c r="Q204" t="inlineStr">
        <is>
          <t>⚠️ TCM CONSUMER card only; NO business card marketed</t>
        </is>
      </c>
      <c r="R204" s="20" t="inlineStr">
        <is>
          <t>TCM Bank, N.A. (consumer card)</t>
        </is>
      </c>
      <c r="S204" t="inlineStr">
        <is>
          <t>No</t>
        </is>
      </c>
      <c r="T204" t="inlineStr">
        <is>
          <t>— (no business card)</t>
        </is>
      </c>
      <c r="U204" t="inlineStr">
        <is>
          <t>https://www.upbnet.com</t>
        </is>
      </c>
      <c r="V204" t="inlineStr">
        <is>
          <t>—</t>
        </is>
      </c>
      <c r="W204" t="inlineStr">
        <is>
          <t>N/M (TCM)</t>
        </is>
      </c>
      <c r="X204" t="inlineStr">
        <is>
          <t>N/M</t>
        </is>
      </c>
      <c r="Y204" t="inlineStr">
        <is>
          <t>N/M (only a 'Consumer Credit Card' page; no business card published)</t>
        </is>
      </c>
      <c r="Z204" t="inlineStr">
        <is>
          <t>0</t>
        </is>
      </c>
      <c r="AA204" t="inlineStr">
        <is>
          <t>N/M</t>
        </is>
      </c>
      <c r="AB204" t="inlineStr">
        <is>
          <t>None (business loans/LOC/SBA/CRE/truck full-doc)</t>
        </is>
      </c>
      <c r="AC204" t="inlineStr">
        <is>
          <t>N/M</t>
        </is>
      </c>
      <c r="AD204" t="inlineStr">
        <is>
          <t>Not a card source</t>
        </is>
      </c>
      <c r="AE204" t="inlineStr">
        <is>
          <t>Consumer Credit Card (TCM) only; no business credit card</t>
        </is>
      </c>
      <c r="AF204" t="inlineStr">
        <is>
          <t>SoCal / LA (San Gabriel Valley)</t>
        </is>
      </c>
      <c r="AG204" t="inlineStr">
        <is>
          <t>City of Industry</t>
        </is>
      </c>
      <c r="AH204" t="inlineStr">
        <is>
          <t>104</t>
        </is>
      </c>
      <c r="AI204" t="inlineStr">
        <is>
          <t>MED-HIGH no BUSINESS card (only TCM consumer card published); issuer=TCM. 2026-05-29</t>
        </is>
      </c>
      <c r="AJ204" t="inlineStr">
        <is>
          <t>upbnet.com/Consumer-Credit-Card (TCM); FDIC cert 23805</t>
        </is>
      </c>
    </row>
    <row r="205">
      <c r="A205" t="inlineStr">
        <is>
          <t>204</t>
        </is>
      </c>
      <c r="B205" t="inlineStr"/>
      <c r="C205" s="22" t="inlineStr">
        <is>
          <t>Hatch Bank</t>
        </is>
      </c>
      <c r="D205" s="15" t="inlineStr">
        <is>
          <t>CA Bank</t>
        </is>
      </c>
      <c r="E205" t="inlineStr">
        <is>
          <t>★ Core SoCal</t>
        </is>
      </c>
      <c r="F205" s="23" t="inlineStr">
        <is>
          <t>1/4  ✗SUW ✗Onl ✓SoCal ✗Card</t>
        </is>
      </c>
      <c r="G205" t="inlineStr">
        <is>
          <t>N/M</t>
        </is>
      </c>
      <c r="H205" t="inlineStr">
        <is>
          <t>N/M</t>
        </is>
      </c>
      <c r="I205" t="inlineStr"/>
      <c r="J205" t="inlineStr">
        <is>
          <t>No card</t>
        </is>
      </c>
      <c r="K205" t="inlineStr">
        <is>
          <t>—</t>
        </is>
      </c>
      <c r="L205" t="inlineStr">
        <is>
          <t>$0.19B</t>
        </is>
      </c>
      <c r="M205" t="inlineStr">
        <is>
          <t>N/M</t>
        </is>
      </c>
      <c r="N205" t="inlineStr">
        <is>
          <t>San Marcos (SD County); BaaS/sponsor bank (ex-Rancho Santa Fe Thrift, renamed 2019); 1 branch</t>
        </is>
      </c>
      <c r="O205" t="inlineStr">
        <is>
          <t>CA-HQ'd</t>
        </is>
      </c>
      <c r="P205" t="inlineStr">
        <is>
          <t>—</t>
        </is>
      </c>
      <c r="Q205" t="inlineStr">
        <is>
          <t>❌ No direct-to-business card (BaaS/fintech-sponsor bank)</t>
        </is>
      </c>
      <c r="R205" s="23" t="inlineStr">
        <is>
          <t>None (sponsor bank for fintech card programs; not direct issuer to businesses)</t>
        </is>
      </c>
      <c r="S205" t="inlineStr">
        <is>
          <t>No</t>
        </is>
      </c>
      <c r="T205" t="inlineStr">
        <is>
          <t>— (no business card)</t>
        </is>
      </c>
      <c r="U205" t="inlineStr">
        <is>
          <t>https://www.hatchbank.com</t>
        </is>
      </c>
      <c r="V205" t="inlineStr">
        <is>
          <t>—</t>
        </is>
      </c>
      <c r="W205" t="inlineStr">
        <is>
          <t>N/M</t>
        </is>
      </c>
      <c r="X205" t="inlineStr">
        <is>
          <t>N/M</t>
        </is>
      </c>
      <c r="Y205" t="inlineStr">
        <is>
          <t>N/M (B2B partner onboarding only; 'Talk to Hatch')</t>
        </is>
      </c>
      <c r="Z205" t="inlineStr">
        <is>
          <t>0</t>
        </is>
      </c>
      <c r="AA205" t="inlineStr">
        <is>
          <t>N/M</t>
        </is>
      </c>
      <c r="AB205" t="inlineStr">
        <is>
          <t>None direct (embedded lending/card-issuing rails for fintech partners e.g. Enfin/Sungage)</t>
        </is>
      </c>
      <c r="AC205" t="inlineStr">
        <is>
          <t>N/M</t>
        </is>
      </c>
      <c r="AD205" t="inlineStr">
        <is>
          <t>Not a card source</t>
        </is>
      </c>
      <c r="AE205" t="inlineStr">
        <is>
          <t>None to end-businesses (BaaS: card issuing, embedded lending, deposit rails for fintechs). NOT the unrelated 'Hatch Card' fintech</t>
        </is>
      </c>
      <c r="AF205" t="inlineStr">
        <is>
          <t>SoCal / San Diego</t>
        </is>
      </c>
      <c r="AG205" t="inlineStr">
        <is>
          <t>San Marcos</t>
        </is>
      </c>
      <c r="AH205" t="inlineStr">
        <is>
          <t>105</t>
        </is>
      </c>
      <c r="AI205" t="inlineStr">
        <is>
          <t>HIGH no direct-to-business card (BaaS sponsor model). 2026-05-29</t>
        </is>
      </c>
      <c r="AJ205" t="inlineStr">
        <is>
          <t>hatchbank.com/solutions; FDIC cert 25803; dfpi.ca.gov</t>
        </is>
      </c>
    </row>
    <row r="206">
      <c r="A206" t="inlineStr">
        <is>
          <t>205</t>
        </is>
      </c>
      <c r="B206" t="inlineStr"/>
      <c r="C206" s="22" t="inlineStr">
        <is>
          <t>Beacon Business Bank, N.A.</t>
        </is>
      </c>
      <c r="D206" s="15" t="inlineStr">
        <is>
          <t>CA Bank</t>
        </is>
      </c>
      <c r="E206" t="inlineStr">
        <is>
          <t>Other — NorCal</t>
        </is>
      </c>
      <c r="F206" s="23" t="inlineStr">
        <is>
          <t>0/4  ✗SUW ✗Onl ✗SoCal ✗Card</t>
        </is>
      </c>
      <c r="G206" t="inlineStr">
        <is>
          <t>N/M</t>
        </is>
      </c>
      <c r="H206" t="inlineStr">
        <is>
          <t>N/M</t>
        </is>
      </c>
      <c r="I206" t="inlineStr"/>
      <c r="J206" t="inlineStr">
        <is>
          <t>No card</t>
        </is>
      </c>
      <c r="K206" t="inlineStr">
        <is>
          <t>—</t>
        </is>
      </c>
      <c r="L206" t="inlineStr">
        <is>
          <t>$0.17B</t>
        </is>
      </c>
      <c r="M206" t="inlineStr">
        <is>
          <t>N/M</t>
        </is>
      </c>
      <c r="N206" t="inlineStr">
        <is>
          <t>SF Financial District + San Mateo (Peninsula); NorCal only; est 1984 (ex-Trans Pacific National Bank)</t>
        </is>
      </c>
      <c r="O206" t="inlineStr">
        <is>
          <t>CA-HQ'd</t>
        </is>
      </c>
      <c r="P206" t="inlineStr">
        <is>
          <t>—</t>
        </is>
      </c>
      <c r="Q206" t="inlineStr">
        <is>
          <t>❌ No card (Visa debit only; SBA/commercial lender)</t>
        </is>
      </c>
      <c r="R206" s="23" t="inlineStr">
        <is>
          <t>None</t>
        </is>
      </c>
      <c r="S206" t="inlineStr">
        <is>
          <t>No</t>
        </is>
      </c>
      <c r="T206" t="inlineStr">
        <is>
          <t>— (no business card)</t>
        </is>
      </c>
      <c r="U206" t="inlineStr">
        <is>
          <t>https://www.beaconbusinessbank.com</t>
        </is>
      </c>
      <c r="V206" t="inlineStr">
        <is>
          <t>—</t>
        </is>
      </c>
      <c r="W206" t="inlineStr">
        <is>
          <t>N/M</t>
        </is>
      </c>
      <c r="X206" t="inlineStr">
        <is>
          <t>N/M</t>
        </is>
      </c>
      <c r="Y206" t="inlineStr">
        <is>
          <t>N/M (formerly Trans Pacific National Bank, NOT Pan American)</t>
        </is>
      </c>
      <c r="Z206" t="inlineStr">
        <is>
          <t>0</t>
        </is>
      </c>
      <c r="AA206" t="inlineStr">
        <is>
          <t>N/M</t>
        </is>
      </c>
      <c r="AB206" t="inlineStr">
        <is>
          <t>None (AR/inventory financing/CRE/LOC/construction/bridge/equipment/SBA&lt;=$5M full-doc)</t>
        </is>
      </c>
      <c r="AC206" t="inlineStr">
        <is>
          <t>N/M</t>
        </is>
      </c>
      <c r="AD206" t="inlineStr">
        <is>
          <t>Not a card source</t>
        </is>
      </c>
      <c r="AE206" t="inlineStr">
        <is>
          <t>Visa DEBIT only (no credit card)</t>
        </is>
      </c>
      <c r="AF206" t="inlineStr">
        <is>
          <t>NorCal / SF</t>
        </is>
      </c>
      <c r="AG206" t="inlineStr">
        <is>
          <t>San Francisco</t>
        </is>
      </c>
      <c r="AH206" t="inlineStr">
        <is>
          <t>107</t>
        </is>
      </c>
      <c r="AI206" t="inlineStr">
        <is>
          <t>HIGH no-card (4 site pages confirm debit-only). NOT the Elan-issuing 'Beacon Bank' (different). 2026-05-29</t>
        </is>
      </c>
      <c r="AJ206" t="inlineStr">
        <is>
          <t>beaconbusinessbank.com (business-loans, debit-card, history); FDIC cert 25644</t>
        </is>
      </c>
    </row>
    <row r="207">
      <c r="A207" t="inlineStr">
        <is>
          <t>206</t>
        </is>
      </c>
      <c r="B207" t="inlineStr"/>
      <c r="C207" s="22" t="inlineStr">
        <is>
          <t>Bank of Whittier, N.A.</t>
        </is>
      </c>
      <c r="D207" s="15" t="inlineStr">
        <is>
          <t>CA Bank</t>
        </is>
      </c>
      <c r="E207" t="inlineStr">
        <is>
          <t>★ Core SoCal</t>
        </is>
      </c>
      <c r="F207" s="23" t="inlineStr">
        <is>
          <t>1/4  ✗SUW ✗Onl ✓SoCal ✗Card</t>
        </is>
      </c>
      <c r="G207" t="inlineStr">
        <is>
          <t>N/M</t>
        </is>
      </c>
      <c r="H207" t="inlineStr">
        <is>
          <t>N/M</t>
        </is>
      </c>
      <c r="I207" t="inlineStr"/>
      <c r="J207" t="inlineStr">
        <is>
          <t>No card</t>
        </is>
      </c>
      <c r="K207" t="inlineStr">
        <is>
          <t>—</t>
        </is>
      </c>
      <c r="L207" t="inlineStr">
        <is>
          <t>$0.16B</t>
        </is>
      </c>
      <c r="M207" t="inlineStr">
        <is>
          <t>N/M</t>
        </is>
      </c>
      <c r="N207" t="inlineStr">
        <is>
          <t>Single Whittier office (LA County); Riba-Free/interest-free community bank; est 1982</t>
        </is>
      </c>
      <c r="O207" t="inlineStr">
        <is>
          <t>CA-HQ'd</t>
        </is>
      </c>
      <c r="P207" t="inlineStr">
        <is>
          <t>—</t>
        </is>
      </c>
      <c r="Q207" t="inlineStr">
        <is>
          <t>❌ No card (Riba-Free/interest-free Islamic-principle bank; RF debit only)</t>
        </is>
      </c>
      <c r="R207" s="23" t="inlineStr">
        <is>
          <t>None</t>
        </is>
      </c>
      <c r="S207" t="inlineStr">
        <is>
          <t>No</t>
        </is>
      </c>
      <c r="T207" t="inlineStr">
        <is>
          <t>— (no business card)</t>
        </is>
      </c>
      <c r="U207" t="inlineStr">
        <is>
          <t>https://www.bankofwhittier.com</t>
        </is>
      </c>
      <c r="V207" t="inlineStr">
        <is>
          <t>—</t>
        </is>
      </c>
      <c r="W207" t="inlineStr">
        <is>
          <t>N/M</t>
        </is>
      </c>
      <c r="X207" t="inlineStr">
        <is>
          <t>N/M</t>
        </is>
      </c>
      <c r="Y207" t="inlineStr">
        <is>
          <t>N/M (interest-bearing cards inconsistent with Riba-Free model)</t>
        </is>
      </c>
      <c r="Z207" t="inlineStr">
        <is>
          <t>0</t>
        </is>
      </c>
      <c r="AA207" t="inlineStr">
        <is>
          <t>N/M</t>
        </is>
      </c>
      <c r="AB207" t="inlineStr">
        <is>
          <t>None (RF business/commercial financing = relationship/asset-based, not no-doc)</t>
        </is>
      </c>
      <c r="AC207" t="inlineStr">
        <is>
          <t>N/M</t>
        </is>
      </c>
      <c r="AD207" t="inlineStr">
        <is>
          <t>Not a card source</t>
        </is>
      </c>
      <c r="AE207" t="inlineStr">
        <is>
          <t>RF Debit Cards only (no credit card; RF deposit + commercial financing)</t>
        </is>
      </c>
      <c r="AF207" t="inlineStr">
        <is>
          <t>SoCal / LA (Whittier)</t>
        </is>
      </c>
      <c r="AG207" t="inlineStr">
        <is>
          <t>Whittier</t>
        </is>
      </c>
      <c r="AH207" t="inlineStr">
        <is>
          <t>108</t>
        </is>
      </c>
      <c r="AI207" t="inlineStr">
        <is>
          <t>HIGH no-card (Riba-Free model structurally excludes interest cards; debit only). 2026-05-29</t>
        </is>
      </c>
      <c r="AJ207" t="inlineStr">
        <is>
          <t>bankofwhittier.com (home, open-business-account); FDIC cert 24211; OCC CRA eval</t>
        </is>
      </c>
    </row>
    <row r="208">
      <c r="A208" t="inlineStr">
        <is>
          <t>207</t>
        </is>
      </c>
      <c r="B208" t="inlineStr"/>
      <c r="C208" s="22" t="inlineStr">
        <is>
          <t>Eastern International Bank</t>
        </is>
      </c>
      <c r="D208" s="15" t="inlineStr">
        <is>
          <t>CA Bank</t>
        </is>
      </c>
      <c r="E208" t="inlineStr">
        <is>
          <t>★ Core SoCal</t>
        </is>
      </c>
      <c r="F208" s="23" t="inlineStr">
        <is>
          <t>1/4  ✗SUW ✗Onl ✓SoCal ✗Card</t>
        </is>
      </c>
      <c r="G208" t="inlineStr">
        <is>
          <t>N/M</t>
        </is>
      </c>
      <c r="H208" t="inlineStr">
        <is>
          <t>N/M</t>
        </is>
      </c>
      <c r="I208" t="inlineStr"/>
      <c r="J208" t="inlineStr">
        <is>
          <t>No card</t>
        </is>
      </c>
      <c r="K208" t="inlineStr">
        <is>
          <t>—</t>
        </is>
      </c>
      <c r="L208" t="inlineStr">
        <is>
          <t>$0.12B</t>
        </is>
      </c>
      <c r="M208" t="inlineStr">
        <is>
          <t>N/M</t>
        </is>
      </c>
      <c r="N208" t="inlineStr">
        <is>
          <t>2 branches (LA Chinatown + Monterey Park); Chinese-American/Pacific Rim; est 1985</t>
        </is>
      </c>
      <c r="O208" t="inlineStr">
        <is>
          <t>CA-HQ'd</t>
        </is>
      </c>
      <c r="P208" t="inlineStr">
        <is>
          <t>—</t>
        </is>
      </c>
      <c r="Q208" t="inlineStr">
        <is>
          <t>❌ No card (CRE lender; Visa debit only)</t>
        </is>
      </c>
      <c r="R208" s="23" t="inlineStr">
        <is>
          <t>None</t>
        </is>
      </c>
      <c r="S208" t="inlineStr">
        <is>
          <t>No</t>
        </is>
      </c>
      <c r="T208" t="inlineStr">
        <is>
          <t>— (no business card)</t>
        </is>
      </c>
      <c r="U208" t="inlineStr">
        <is>
          <t>https://www.eibankca.com</t>
        </is>
      </c>
      <c r="V208" t="inlineStr">
        <is>
          <t>—</t>
        </is>
      </c>
      <c r="W208" t="inlineStr">
        <is>
          <t>N/M</t>
        </is>
      </c>
      <c r="X208" t="inlineStr">
        <is>
          <t>N/M</t>
        </is>
      </c>
      <c r="Y208" t="inlineStr">
        <is>
          <t>N/M</t>
        </is>
      </c>
      <c r="Z208" t="inlineStr">
        <is>
          <t>0</t>
        </is>
      </c>
      <c r="AA208" t="inlineStr">
        <is>
          <t>N/M</t>
        </is>
      </c>
      <c r="AB208" t="inlineStr">
        <is>
          <t>None (CRE: apartments/office/retail/industrial/hospitality/mixed-use full-doc)</t>
        </is>
      </c>
      <c r="AC208" t="inlineStr">
        <is>
          <t>N/M</t>
        </is>
      </c>
      <c r="AD208" t="inlineStr">
        <is>
          <t>Not a card source</t>
        </is>
      </c>
      <c r="AE208" t="inlineStr">
        <is>
          <t>Visa DEBIT only (no credit card)</t>
        </is>
      </c>
      <c r="AF208" t="inlineStr">
        <is>
          <t>SoCal / LA (Chinatown)</t>
        </is>
      </c>
      <c r="AG208" t="inlineStr">
        <is>
          <t>Los Angeles</t>
        </is>
      </c>
      <c r="AH208" t="inlineStr">
        <is>
          <t>110</t>
        </is>
      </c>
      <c r="AI208" t="inlineStr">
        <is>
          <t>HIGH no-card (own site; CRE + debit only). 2026-05-29</t>
        </is>
      </c>
      <c r="AJ208" t="inlineStr">
        <is>
          <t>eibankca.com (home, About-Us); FDIC cert 32277</t>
        </is>
      </c>
    </row>
    <row r="209">
      <c r="A209" t="inlineStr">
        <is>
          <t>208</t>
        </is>
      </c>
      <c r="B209" t="inlineStr"/>
      <c r="C209" s="22" t="inlineStr">
        <is>
          <t>California Business Bank</t>
        </is>
      </c>
      <c r="D209" s="15" t="inlineStr">
        <is>
          <t>CA Bank</t>
        </is>
      </c>
      <c r="E209" t="inlineStr">
        <is>
          <t>★ Core SoCal</t>
        </is>
      </c>
      <c r="F209" s="23" t="inlineStr">
        <is>
          <t>1/4  ✗SUW ✗Onl ✓SoCal ✗Card</t>
        </is>
      </c>
      <c r="G209" t="inlineStr">
        <is>
          <t>N/M</t>
        </is>
      </c>
      <c r="H209" t="inlineStr">
        <is>
          <t>N/M</t>
        </is>
      </c>
      <c r="I209" t="inlineStr"/>
      <c r="J209" t="inlineStr">
        <is>
          <t>No card</t>
        </is>
      </c>
      <c r="K209" t="inlineStr">
        <is>
          <t>—</t>
        </is>
      </c>
      <c r="L209" t="inlineStr">
        <is>
          <t>$0.12B</t>
        </is>
      </c>
      <c r="M209" t="inlineStr">
        <is>
          <t>$0.10B</t>
        </is>
      </c>
      <c r="N209" t="inlineStr">
        <is>
          <t>Single Irvine office (OC); minority-owned 'fin-tech' commercial bank; est 2005</t>
        </is>
      </c>
      <c r="O209" t="inlineStr">
        <is>
          <t>CA-HQ'd</t>
        </is>
      </c>
      <c r="P209" t="inlineStr">
        <is>
          <t>—</t>
        </is>
      </c>
      <c r="Q209" t="inlineStr">
        <is>
          <t>❌ No card (deposits + commercial/SBA loans; no card or debit listed)</t>
        </is>
      </c>
      <c r="R209" s="23" t="inlineStr">
        <is>
          <t>None</t>
        </is>
      </c>
      <c r="S209" t="inlineStr">
        <is>
          <t>No</t>
        </is>
      </c>
      <c r="T209" t="inlineStr">
        <is>
          <t>— (no business card)</t>
        </is>
      </c>
      <c r="U209" t="inlineStr">
        <is>
          <t>https://www.californiabusinessbank.com</t>
        </is>
      </c>
      <c r="V209" t="inlineStr">
        <is>
          <t>—</t>
        </is>
      </c>
      <c r="W209" t="inlineStr">
        <is>
          <t>N/M</t>
        </is>
      </c>
      <c r="X209" t="inlineStr">
        <is>
          <t>N/M</t>
        </is>
      </c>
      <c r="Y209" t="inlineStr">
        <is>
          <t>N/M (no card product)</t>
        </is>
      </c>
      <c r="Z209" t="inlineStr">
        <is>
          <t>0</t>
        </is>
      </c>
      <c r="AA209" t="inlineStr">
        <is>
          <t>N/M</t>
        </is>
      </c>
      <c r="AB209" t="inlineStr">
        <is>
          <t>None (Streamlined SBA &lt;=$150K is lightest-touch but still documented SBA; commercial full-doc)</t>
        </is>
      </c>
      <c r="AC209" t="inlineStr">
        <is>
          <t>N/M</t>
        </is>
      </c>
      <c r="AD209" t="inlineStr">
        <is>
          <t>Not a card source</t>
        </is>
      </c>
      <c r="AE209" t="inlineStr">
        <is>
          <t>None (business deposits + commercial/SBA loans; no card)</t>
        </is>
      </c>
      <c r="AF209" t="inlineStr">
        <is>
          <t>SoCal / Orange County</t>
        </is>
      </c>
      <c r="AG209" t="inlineStr">
        <is>
          <t>Irvine</t>
        </is>
      </c>
      <c r="AH209" t="inlineStr">
        <is>
          <t>111</t>
        </is>
      </c>
      <c r="AI209" t="inlineStr">
        <is>
          <t>HIGH no-card (full site reviewed; deposits+loans only). 2026-05-29</t>
        </is>
      </c>
      <c r="AJ209" t="inlineStr">
        <is>
          <t>californiabusinessbank.com (business-deposits, sba-loans); FDIC cert 58037</t>
        </is>
      </c>
    </row>
    <row r="210">
      <c r="A210" t="inlineStr">
        <is>
          <t>209</t>
        </is>
      </c>
      <c r="B210" t="inlineStr"/>
      <c r="C210" s="22" t="inlineStr">
        <is>
          <t>California Pacific Bank</t>
        </is>
      </c>
      <c r="D210" s="15" t="inlineStr">
        <is>
          <t>CA Bank</t>
        </is>
      </c>
      <c r="E210" t="inlineStr">
        <is>
          <t>Other — NorCal</t>
        </is>
      </c>
      <c r="F210" s="23" t="inlineStr">
        <is>
          <t>0/4  ✗SUW ✗Onl ✗SoCal ✗Card</t>
        </is>
      </c>
      <c r="G210" t="inlineStr">
        <is>
          <t>N/M</t>
        </is>
      </c>
      <c r="H210" t="inlineStr">
        <is>
          <t>N/M</t>
        </is>
      </c>
      <c r="I210" t="inlineStr"/>
      <c r="J210" t="inlineStr">
        <is>
          <t>No card</t>
        </is>
      </c>
      <c r="K210" t="inlineStr">
        <is>
          <t>—</t>
        </is>
      </c>
      <c r="L210" t="inlineStr">
        <is>
          <t>$0.10B</t>
        </is>
      </c>
      <c r="M210" t="inlineStr">
        <is>
          <t>$0.06B</t>
        </is>
      </c>
      <c r="N210" t="inlineStr">
        <is>
          <t>SF + Hayward + Fremont; NorCal Bay Area; Chinese-American merchant bank; est 1980</t>
        </is>
      </c>
      <c r="O210" t="inlineStr">
        <is>
          <t>CA-HQ'd</t>
        </is>
      </c>
      <c r="P210" t="inlineStr">
        <is>
          <t>—</t>
        </is>
      </c>
      <c r="Q210" t="inlineStr">
        <is>
          <t>❌ No card (relationship merchant/commercial bank; no card published)</t>
        </is>
      </c>
      <c r="R210" s="23" t="inlineStr">
        <is>
          <t>None</t>
        </is>
      </c>
      <c r="S210" t="inlineStr">
        <is>
          <t>No</t>
        </is>
      </c>
      <c r="T210" t="inlineStr">
        <is>
          <t>— (no business card)</t>
        </is>
      </c>
      <c r="U210" t="inlineStr">
        <is>
          <t>https://www.calpacificbank.com</t>
        </is>
      </c>
      <c r="V210" t="inlineStr">
        <is>
          <t>—</t>
        </is>
      </c>
      <c r="W210" t="inlineStr">
        <is>
          <t>N/M</t>
        </is>
      </c>
      <c r="X210" t="inlineStr">
        <is>
          <t>N/M</t>
        </is>
      </c>
      <c r="Y210" t="inlineStr">
        <is>
          <t>N/M (third-party aggregator 'credit cards' mention unverified)</t>
        </is>
      </c>
      <c r="Z210" t="inlineStr">
        <is>
          <t>0</t>
        </is>
      </c>
      <c r="AA210" t="inlineStr">
        <is>
          <t>N/M</t>
        </is>
      </c>
      <c r="AB210" t="inlineStr">
        <is>
          <t>None ('fast commercial lending' to import/export/manufacturing/wholesale/retail; no terms/no-doc published)</t>
        </is>
      </c>
      <c r="AC210" t="inlineStr">
        <is>
          <t>N/M</t>
        </is>
      </c>
      <c r="AD210" t="inlineStr">
        <is>
          <t>Not a card source</t>
        </is>
      </c>
      <c r="AE210" t="inlineStr">
        <is>
          <t>None published (commercial/merchant lending + deposits; no card on own site)</t>
        </is>
      </c>
      <c r="AF210" t="inlineStr">
        <is>
          <t>NorCal / SF-East Bay</t>
        </is>
      </c>
      <c r="AG210" t="inlineStr">
        <is>
          <t>Hayward</t>
        </is>
      </c>
      <c r="AH210" t="inlineStr">
        <is>
          <t>113</t>
        </is>
      </c>
      <c r="AI210" t="inlineStr">
        <is>
          <t>MED-HIGH no-card (own site has no card; tiny merchant bank). 2026-05-29</t>
        </is>
      </c>
      <c r="AJ210" t="inlineStr">
        <is>
          <t>calpacificbank.com (mission, location-and-contact); FDIC cert 23242</t>
        </is>
      </c>
    </row>
    <row r="211">
      <c r="A211" t="inlineStr">
        <is>
          <t>210</t>
        </is>
      </c>
      <c r="B211" t="inlineStr"/>
      <c r="C211" s="22" t="inlineStr">
        <is>
          <t>California International Bank, N.A.</t>
        </is>
      </c>
      <c r="D211" s="15" t="inlineStr">
        <is>
          <t>CA Bank</t>
        </is>
      </c>
      <c r="E211" t="inlineStr">
        <is>
          <t>★ Core SoCal</t>
        </is>
      </c>
      <c r="F211" s="23" t="inlineStr">
        <is>
          <t>1/4  ✗SUW ✗Onl ✓SoCal ✗Card</t>
        </is>
      </c>
      <c r="G211" t="inlineStr">
        <is>
          <t>N/M</t>
        </is>
      </c>
      <c r="H211" t="inlineStr">
        <is>
          <t>N/M</t>
        </is>
      </c>
      <c r="I211" t="inlineStr"/>
      <c r="J211" t="inlineStr">
        <is>
          <t>No card</t>
        </is>
      </c>
      <c r="K211" t="inlineStr">
        <is>
          <t>—</t>
        </is>
      </c>
      <c r="L211" t="inlineStr">
        <is>
          <t>$0.10B</t>
        </is>
      </c>
      <c r="M211" t="inlineStr">
        <is>
          <t>N/M</t>
        </is>
      </c>
      <c r="N211" t="inlineStr">
        <is>
          <t>Single Westminster office (OC); Vietnamese-American community bank; OCC national charter; est 2005</t>
        </is>
      </c>
      <c r="O211" t="inlineStr">
        <is>
          <t>CA-HQ'd</t>
        </is>
      </c>
      <c r="P211" t="inlineStr">
        <is>
          <t>—</t>
        </is>
      </c>
      <c r="Q211" t="inlineStr">
        <is>
          <t>❌ No card (commercial/SBA bank; ATM/debit only)</t>
        </is>
      </c>
      <c r="R211" s="23" t="inlineStr">
        <is>
          <t>None</t>
        </is>
      </c>
      <c r="S211" t="inlineStr">
        <is>
          <t>No</t>
        </is>
      </c>
      <c r="T211" t="inlineStr">
        <is>
          <t>— (no business card)</t>
        </is>
      </c>
      <c r="U211" t="inlineStr">
        <is>
          <t>https://www.cali.bank</t>
        </is>
      </c>
      <c r="V211" t="inlineStr">
        <is>
          <t>—</t>
        </is>
      </c>
      <c r="W211" t="inlineStr">
        <is>
          <t>N/M</t>
        </is>
      </c>
      <c r="X211" t="inlineStr">
        <is>
          <t>N/M</t>
        </is>
      </c>
      <c r="Y211" t="inlineStr">
        <is>
          <t>N/M</t>
        </is>
      </c>
      <c r="Z211" t="inlineStr">
        <is>
          <t>0</t>
        </is>
      </c>
      <c r="AA211" t="inlineStr">
        <is>
          <t>N/M</t>
        </is>
      </c>
      <c r="AB211" t="inlineStr">
        <is>
          <t>None (working capital/asset-based/expansion/CRE + SBA full-doc)</t>
        </is>
      </c>
      <c r="AC211" t="inlineStr">
        <is>
          <t>N/M</t>
        </is>
      </c>
      <c r="AD211" t="inlineStr">
        <is>
          <t>Not a card source</t>
        </is>
      </c>
      <c r="AE211" t="inlineStr">
        <is>
          <t>ATM/debit cards only (no credit card)</t>
        </is>
      </c>
      <c r="AF211" t="inlineStr">
        <is>
          <t>SoCal / Orange County</t>
        </is>
      </c>
      <c r="AG211" t="inlineStr">
        <is>
          <t>Westminster</t>
        </is>
      </c>
      <c r="AH211" t="inlineStr">
        <is>
          <t>114</t>
        </is>
      </c>
      <c r="AI211" t="inlineStr">
        <is>
          <t>HIGH no-card (own site = deposits/loans/SBA, no credit card). 2026-05-29</t>
        </is>
      </c>
      <c r="AJ211" t="inlineStr">
        <is>
          <t>cali.bank (product pages); FDIC cert 57974</t>
        </is>
      </c>
    </row>
    <row r="212">
      <c r="A212" t="inlineStr">
        <is>
          <t>211</t>
        </is>
      </c>
      <c r="B212" t="inlineStr"/>
      <c r="C212" s="22" t="inlineStr">
        <is>
          <t>Tustin Community Bank</t>
        </is>
      </c>
      <c r="D212" s="15" t="inlineStr">
        <is>
          <t>CA Bank</t>
        </is>
      </c>
      <c r="E212" t="inlineStr">
        <is>
          <t>★ Core SoCal</t>
        </is>
      </c>
      <c r="F212" s="23" t="inlineStr">
        <is>
          <t>1/4  ✗SUW ✗Onl ✓SoCal ✗Card</t>
        </is>
      </c>
      <c r="G212" t="inlineStr">
        <is>
          <t>N/M</t>
        </is>
      </c>
      <c r="H212" t="inlineStr">
        <is>
          <t>N/M</t>
        </is>
      </c>
      <c r="I212" s="3" t="inlineStr">
        <is>
          <t>EXP #3 (mentor — UNCORROBORATED: no card found; call-report $0)</t>
        </is>
      </c>
      <c r="J212" t="inlineStr">
        <is>
          <t>No card</t>
        </is>
      </c>
      <c r="K212" t="inlineStr">
        <is>
          <t>—</t>
        </is>
      </c>
      <c r="L212" t="inlineStr">
        <is>
          <t>$0.08B</t>
        </is>
      </c>
      <c r="M212" t="inlineStr">
        <is>
          <t>N/M</t>
        </is>
      </c>
      <c r="N212" t="inlineStr">
        <is>
          <t>Single Tustin office (OC); ex-Tustin Thrift &amp; Loan; subsidiary of Saddleback Bancorp; est 1981. Real domain = tustin.bank (NOT tustincommunitybank.com)</t>
        </is>
      </c>
      <c r="O212" t="inlineStr">
        <is>
          <t>CA-HQ'd</t>
        </is>
      </c>
      <c r="P212" t="inlineStr">
        <is>
          <t>—</t>
        </is>
      </c>
      <c r="Q212" t="inlineStr">
        <is>
          <t>❌ No card — RE-VERIFIED 2026-06-09 vs mentor claim: FDIC call reports show credit-card loans (LNCRCD) = $0 for 4 straight quarters → definitively NOT a self-issuer</t>
        </is>
      </c>
      <c r="R212" s="23" t="inlineStr">
        <is>
          <t>None (no agent-portal links sitewide; agent program can't be fully ruled out — one undated Yelp review mentions 'brochures on... credit cards')</t>
        </is>
      </c>
      <c r="S212" t="inlineStr">
        <is>
          <t>No</t>
        </is>
      </c>
      <c r="T212" t="inlineStr">
        <is>
          <t>— (no business card)</t>
        </is>
      </c>
      <c r="U212" t="inlineStr">
        <is>
          <t>https://www.tustin.bank</t>
        </is>
      </c>
      <c r="V212" t="inlineStr">
        <is>
          <t>—</t>
        </is>
      </c>
      <c r="W212" t="inlineStr">
        <is>
          <t>Mentor (2026-06): 'Experian' — UNCORROBORATED; no card found. Likely origins: indirect-auto EX pull misfiled, or entity slip for Sunwest Bank (founded in Tustin, flagship branch on Irvine Blvd, Tustin)</t>
        </is>
      </c>
      <c r="X212" t="inlineStr">
        <is>
          <t>N/M</t>
        </is>
      </c>
      <c r="Y212" t="inlineStr">
        <is>
          <t>Re-verify trail: full site crawl + FDIC financials + CFPB agreement DB + myFICO/DoC/Reddit/CreditBoards = zero card evidence. RESOLUTION: call (714) 730-5662 and ask 'do you offer a business credit card, who issues it?'</t>
        </is>
      </c>
      <c r="Z212" t="inlineStr">
        <is>
          <t>0</t>
        </is>
      </c>
      <c r="AA212" t="inlineStr">
        <is>
          <t>N/M</t>
        </is>
      </c>
      <c r="AB212" t="inlineStr">
        <is>
          <t>Business LOC advertised (no amounts/docs published; RM-mediated, asset-secured language)</t>
        </is>
      </c>
      <c r="AC212" t="inlineStr">
        <is>
          <t>N/M</t>
        </is>
      </c>
      <c r="AD212" t="inlineStr">
        <is>
          <t>Not a card source</t>
        </is>
      </c>
      <c r="AE212" t="inlineStr">
        <is>
          <t>Business DEBIT only (no credit card found)</t>
        </is>
      </c>
      <c r="AF212" t="inlineStr">
        <is>
          <t>SoCal / Orange County</t>
        </is>
      </c>
      <c r="AG212" t="inlineStr">
        <is>
          <t>Tustin</t>
        </is>
      </c>
      <c r="AH212" t="inlineStr">
        <is>
          <t>115</t>
        </is>
      </c>
      <c r="AI212" t="inlineStr">
        <is>
          <t>HIGH no-self-issued-card (call report $0 = dispositive); MED-HIGH no card at all (agent loophole ajar via Yelp brochure mention). 2026-06-09</t>
        </is>
      </c>
      <c r="AJ212" t="inlineStr">
        <is>
          <t>tustin.bank/products-services (crawl 2026-06-09); api.fdic.gov financials cert 32908 (LNCRCD=$0 ×4qtrs); web.archive.org 2004; yelp.com/biz/tustin-community-bank-tustin (undated snippet)</t>
        </is>
      </c>
    </row>
    <row r="213">
      <c r="A213" t="inlineStr">
        <is>
          <t>212</t>
        </is>
      </c>
      <c r="B213" t="inlineStr"/>
      <c r="C213" s="22" t="inlineStr">
        <is>
          <t>Altos Bank</t>
        </is>
      </c>
      <c r="D213" s="15" t="inlineStr">
        <is>
          <t>CA Bank</t>
        </is>
      </c>
      <c r="E213" t="inlineStr">
        <is>
          <t>Other — NorCal</t>
        </is>
      </c>
      <c r="F213" s="23" t="inlineStr">
        <is>
          <t>0/4  ✗SUW ✗Onl ✗SoCal ✗Card</t>
        </is>
      </c>
      <c r="G213" t="inlineStr">
        <is>
          <t>N/M</t>
        </is>
      </c>
      <c r="H213" t="inlineStr">
        <is>
          <t>N/M</t>
        </is>
      </c>
      <c r="I213" t="inlineStr"/>
      <c r="J213" t="inlineStr">
        <is>
          <t>No card</t>
        </is>
      </c>
      <c r="K213" t="inlineStr">
        <is>
          <t>—</t>
        </is>
      </c>
      <c r="L213" t="inlineStr">
        <is>
          <t>$0.06B</t>
        </is>
      </c>
      <c r="M213" t="inlineStr">
        <is>
          <t>N/M</t>
        </is>
      </c>
      <c r="N213" t="inlineStr">
        <is>
          <t>Single Los Altos office (Silicon Valley); de novo chartered Nov 2024, opened Mar 2025</t>
        </is>
      </c>
      <c r="O213" t="inlineStr">
        <is>
          <t>CA-HQ'd</t>
        </is>
      </c>
      <c r="P213" t="inlineStr">
        <is>
          <t>—</t>
        </is>
      </c>
      <c r="Q213" t="inlineStr">
        <is>
          <t>❌ No card (de novo; business debit only; commercial/SBA lending)</t>
        </is>
      </c>
      <c r="R213" s="23" t="inlineStr">
        <is>
          <t>None</t>
        </is>
      </c>
      <c r="S213" t="inlineStr">
        <is>
          <t>No</t>
        </is>
      </c>
      <c r="T213" t="inlineStr">
        <is>
          <t>— (no business card)</t>
        </is>
      </c>
      <c r="U213" t="inlineStr">
        <is>
          <t>https://www.altosbank.com</t>
        </is>
      </c>
      <c r="V213" t="inlineStr">
        <is>
          <t>—</t>
        </is>
      </c>
      <c r="W213" t="inlineStr">
        <is>
          <t>N/M</t>
        </is>
      </c>
      <c r="X213" t="inlineStr">
        <is>
          <t>N/M</t>
        </is>
      </c>
      <c r="Y213" t="inlineStr">
        <is>
          <t>N/M (chartered Nov 2024; opened Mar 2025; product set may expand)</t>
        </is>
      </c>
      <c r="Z213" t="inlineStr">
        <is>
          <t>0</t>
        </is>
      </c>
      <c r="AA213" t="inlineStr">
        <is>
          <t>N/M</t>
        </is>
      </c>
      <c r="AB213" t="inlineStr">
        <is>
          <t>None (commercial/SBA 7(a)/504/investor RE/construction/equipment full-doc)</t>
        </is>
      </c>
      <c r="AC213" t="inlineStr">
        <is>
          <t>N/M</t>
        </is>
      </c>
      <c r="AD213" t="inlineStr">
        <is>
          <t>Not a card source</t>
        </is>
      </c>
      <c r="AE213" t="inlineStr">
        <is>
          <t>Business DEBIT only (no credit card)</t>
        </is>
      </c>
      <c r="AF213" t="inlineStr">
        <is>
          <t>NorCal / Silicon Valley</t>
        </is>
      </c>
      <c r="AG213" t="inlineStr">
        <is>
          <t>Los Altos</t>
        </is>
      </c>
      <c r="AH213" t="inlineStr">
        <is>
          <t>116</t>
        </is>
      </c>
      <c r="AI213" t="inlineStr">
        <is>
          <t>HIGH no-card (business/deposit/lending pages = debit only; ~6mo old). 2026-05-29</t>
        </is>
      </c>
      <c r="AJ213" t="inlineStr">
        <is>
          <t>altosbank.com (business-banking, lending-solutions); FDIC cert 59339; prnewswire</t>
        </is>
      </c>
    </row>
    <row r="214">
      <c r="A214" t="inlineStr">
        <is>
          <t>213</t>
        </is>
      </c>
      <c r="B214" t="inlineStr"/>
      <c r="C214" s="22" t="inlineStr">
        <is>
          <t>Asian Pacific National Bank</t>
        </is>
      </c>
      <c r="D214" s="15" t="inlineStr">
        <is>
          <t>CA Bank</t>
        </is>
      </c>
      <c r="E214" t="inlineStr">
        <is>
          <t>★ Core SoCal</t>
        </is>
      </c>
      <c r="F214" s="23" t="inlineStr">
        <is>
          <t>1/4  ✗SUW ✗Onl ✓SoCal ✗Card</t>
        </is>
      </c>
      <c r="G214" t="inlineStr">
        <is>
          <t>N/M</t>
        </is>
      </c>
      <c r="H214" t="inlineStr">
        <is>
          <t>N/M</t>
        </is>
      </c>
      <c r="I214" t="inlineStr"/>
      <c r="J214" t="inlineStr">
        <is>
          <t>No card</t>
        </is>
      </c>
      <c r="K214" t="inlineStr">
        <is>
          <t>—</t>
        </is>
      </c>
      <c r="L214" t="inlineStr">
        <is>
          <t>$0.06B</t>
        </is>
      </c>
      <c r="M214" t="inlineStr">
        <is>
          <t>N/M</t>
        </is>
      </c>
      <c r="N214" t="inlineStr">
        <is>
          <t>San Gabriel HQ (LA County); Asian-American community bank; OCC charter 23006; est 1990</t>
        </is>
      </c>
      <c r="O214" t="inlineStr">
        <is>
          <t>CA-HQ'd</t>
        </is>
      </c>
      <c r="P214" t="inlineStr">
        <is>
          <t>—</t>
        </is>
      </c>
      <c r="Q214" t="inlineStr">
        <is>
          <t>❌ No card (commercial bank; debit/prepaid only)</t>
        </is>
      </c>
      <c r="R214" s="23" t="inlineStr">
        <is>
          <t>None</t>
        </is>
      </c>
      <c r="S214" t="inlineStr">
        <is>
          <t>No</t>
        </is>
      </c>
      <c r="T214" t="inlineStr">
        <is>
          <t>— (no business card)</t>
        </is>
      </c>
      <c r="U214" t="inlineStr">
        <is>
          <t>https://www.asianpacificbank.com</t>
        </is>
      </c>
      <c r="V214" t="inlineStr">
        <is>
          <t>—</t>
        </is>
      </c>
      <c r="W214" t="inlineStr">
        <is>
          <t>N/M</t>
        </is>
      </c>
      <c r="X214" t="inlineStr">
        <is>
          <t>N/M</t>
        </is>
      </c>
      <c r="Y214" t="inlineStr">
        <is>
          <t>N/M (smallest CA-HQ'd bank by assets)</t>
        </is>
      </c>
      <c r="Z214" t="inlineStr">
        <is>
          <t>0</t>
        </is>
      </c>
      <c r="AA214" t="inlineStr">
        <is>
          <t>N/M</t>
        </is>
      </c>
      <c r="AB214" t="inlineStr">
        <is>
          <t>None (business loans/LOC/CRE/construction/SBA/hotel-motel/warehouse full-doc)</t>
        </is>
      </c>
      <c r="AC214" t="inlineStr">
        <is>
          <t>N/M</t>
        </is>
      </c>
      <c r="AD214" t="inlineStr">
        <is>
          <t>Not a card source</t>
        </is>
      </c>
      <c r="AE214" t="inlineStr">
        <is>
          <t>Debit/prepaid cards only (no credit card)</t>
        </is>
      </c>
      <c r="AF214" t="inlineStr">
        <is>
          <t>SoCal / LA (San Gabriel Valley)</t>
        </is>
      </c>
      <c r="AG214" t="inlineStr">
        <is>
          <t>San Gabriel</t>
        </is>
      </c>
      <c r="AH214" t="inlineStr">
        <is>
          <t>117</t>
        </is>
      </c>
      <c r="AI214" t="inlineStr">
        <is>
          <t>HIGH no-card (3 bank pages = no credit cards). 2026-05-29</t>
        </is>
      </c>
      <c r="AJ214" t="inlineStr">
        <is>
          <t>asianpacificbank.com (Business-Banking, Banking-Services); occ.treas.gov (charter 23006); FDIC cert 33013</t>
        </is>
      </c>
    </row>
  </sheetData>
  <autoFilter ref="A1:A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4" t="inlineStr">
        <is>
          <t>COLOR LEGEND — CA No-Doc Business Funding Table</t>
        </is>
      </c>
    </row>
    <row r="3">
      <c r="A3" s="24" t="inlineStr">
        <is>
          <t>Bank-name &amp; 'Meets Gold?' color = how many of the 4 GOLD criteria it meets:</t>
        </is>
      </c>
    </row>
    <row r="4">
      <c r="A4" s="10" t="inlineStr">
        <is>
          <t>🥇 GOLD (4/4): self-underwritten + apply-online + SoCal + has a business card</t>
        </is>
      </c>
    </row>
    <row r="5">
      <c r="A5" s="4" t="inlineStr">
        <is>
          <t>Near (3 of 4)</t>
        </is>
      </c>
    </row>
    <row r="6">
      <c r="A6" s="13" t="inlineStr">
        <is>
          <t>Has a business card (0–2 of 4)</t>
        </is>
      </c>
    </row>
    <row r="7">
      <c r="A7" s="19" t="inlineStr">
        <is>
          <t>Commercial-only card (full underwriting / PG, hard to get)</t>
        </is>
      </c>
    </row>
    <row r="8">
      <c r="A8" s="23" t="inlineStr">
        <is>
          <t>No business card</t>
        </is>
      </c>
    </row>
    <row r="10">
      <c r="A10" s="24" t="inlineStr">
        <is>
          <t>CARD CATEGORY (by underwriter desirability — sort/filter this):</t>
        </is>
      </c>
    </row>
    <row r="11">
      <c r="A11" t="inlineStr">
        <is>
          <t>A — Self-UW (online)   ← best</t>
        </is>
      </c>
    </row>
    <row r="12">
      <c r="A12" t="inlineStr">
        <is>
          <t>B — Self-UW (in branch)</t>
        </is>
      </c>
    </row>
    <row r="13">
      <c r="A13" t="inlineStr">
        <is>
          <t>C — Other agent card (ServisFirst / TIB / FNBO / UMB / unknown agent)</t>
        </is>
      </c>
    </row>
    <row r="14">
      <c r="A14" t="inlineStr">
        <is>
          <t>D — TCM agent card (Experian, SBA-eligible only, no 0%)</t>
        </is>
      </c>
    </row>
    <row r="15">
      <c r="A15" t="inlineStr">
        <is>
          <t>E — Elan agent card (deprioritized per Alan)</t>
        </is>
      </c>
    </row>
    <row r="16">
      <c r="A16" t="inlineStr">
        <is>
          <t>Commercial-only / No card (not a self-serve business card)</t>
        </is>
      </c>
    </row>
    <row r="18">
      <c r="A18" s="24" t="inlineStr">
        <is>
          <t>TYPE column color:</t>
        </is>
      </c>
    </row>
    <row r="19">
      <c r="A19" s="3" t="inlineStr">
        <is>
          <t>National</t>
        </is>
      </c>
    </row>
    <row r="20">
      <c r="A20" s="8" t="inlineStr">
        <is>
          <t>Regional</t>
        </is>
      </c>
    </row>
    <row r="21">
      <c r="A21" s="15" t="inlineStr">
        <is>
          <t>CA Bank</t>
        </is>
      </c>
    </row>
    <row r="22">
      <c r="A22" s="11" t="inlineStr">
        <is>
          <t>Credit Union</t>
        </is>
      </c>
    </row>
    <row r="24">
      <c r="A24" s="24" t="inlineStr">
        <is>
          <t>UNDERWRITER column color (who actually decides + how they behave):</t>
        </is>
      </c>
    </row>
    <row r="25">
      <c r="A25" s="7" t="inlineStr">
        <is>
          <t>Self (own bank/CU decides) — the goal [Cat A/B]</t>
        </is>
      </c>
    </row>
    <row r="26">
      <c r="A26" s="14" t="inlineStr">
        <is>
          <t>CorServ 'account issuer' (bank self-issues on platform) [Cat A/B]</t>
        </is>
      </c>
    </row>
    <row r="27">
      <c r="A27" s="17" t="inlineStr">
        <is>
          <t>ServisFirst Bank (agent program; app.ccdepartment.com) — non-Elan agent [Cat C]</t>
        </is>
      </c>
    </row>
    <row r="28">
      <c r="A28" s="16" t="inlineStr">
        <is>
          <t>TIB (Independent BankersBank) — Experian, no 0% intro, often paper apply [Cat C]</t>
        </is>
      </c>
    </row>
    <row r="29">
      <c r="A29" s="21" t="inlineStr">
        <is>
          <t>UMB Bank agent [Cat C]</t>
        </is>
      </c>
    </row>
    <row r="30">
      <c r="A30" s="20" t="inlineStr">
        <is>
          <t>TCM Bank (ICBA) — Experian pull, SBA-eligible only, no 0% intro [Cat D]</t>
        </is>
      </c>
    </row>
    <row r="31">
      <c r="A31" s="6" t="inlineStr">
        <is>
          <t>Elan (US Bank agent) — deprioritized; PG, no tax returns, reports D&amp;B not personal [Cat E]</t>
        </is>
      </c>
    </row>
    <row r="32">
      <c r="A32" s="9" t="inlineStr">
        <is>
          <t>Unknown / not disclosed</t>
        </is>
      </c>
    </row>
    <row r="33">
      <c r="A33" s="23" t="inlineStr">
        <is>
          <t>None (no card issued)</t>
        </is>
      </c>
    </row>
    <row r="35">
      <c r="A35" s="24" t="inlineStr">
        <is>
          <t>THE 4 GOLD CRITERIA (target profile):</t>
        </is>
      </c>
    </row>
    <row r="36">
      <c r="A36" t="inlineStr">
        <is>
          <t>1. Self-underwritten (Self-UW? = Yes)</t>
        </is>
      </c>
    </row>
    <row r="37">
      <c r="A37" t="inlineStr">
        <is>
          <t>2. Apply online (Apply = Online)</t>
        </is>
      </c>
    </row>
    <row r="38">
      <c r="A38" t="inlineStr">
        <is>
          <t>3. Southern California (SoCal Priority = Core SoCal: LA / OC / Riverside / San Diego / Inland Empire)</t>
        </is>
      </c>
    </row>
    <row r="39">
      <c r="A39" t="inlineStr">
        <is>
          <t>4. Has a real business credit card (Business Card? = ✅)</t>
        </is>
      </c>
    </row>
    <row r="41">
      <c r="A41" t="inlineStr">
        <is>
          <t>CA PRESENCE: 'Major CA' = real branches+lending; 'Online to CA (pure card issuer)' = Amex/Capital One — approve CA online, no branch needed; '⚠ Needs local branch/account' = no CA retail (Truist, KeyBank, Fifth Third) → demoted. v4: PNC un-demoted (real BBVA-legacy SoCal branches; mentor EXP #1).</t>
        </is>
      </c>
    </row>
    <row r="42">
      <c r="A42" t="inlineStr"/>
    </row>
    <row r="43">
      <c r="A43" s="24" t="inlineStr">
        <is>
          <t>EWS / CHEXSYSTEMS (v4, deposit-account screening — matters when the card path needs an account first):</t>
        </is>
      </c>
    </row>
    <row r="44">
      <c r="A44" s="10" t="inlineStr">
        <is>
          <t>GOLD cell = confirmed does NOT pull that system (sourced + dated) → priority for bad-Chex/EWS files</t>
        </is>
      </c>
    </row>
    <row r="45">
      <c r="A45" s="6" t="inlineStr">
        <is>
          <t>Orange cell = confirmed DOES pull (sourced + dated)</t>
        </is>
      </c>
    </row>
    <row r="46">
      <c r="A46" t="inlineStr">
        <is>
          <t>N/M = silence — no public evidence either way (small banks: ask the banker)</t>
        </is>
      </c>
    </row>
    <row r="47">
      <c r="A47" t="inlineStr">
        <is>
          <t>Chex-GOLD club: Chase, Bank of America, Wells Fargo (mostly), Capital One (consumer). EWS-GOLD club: EMPTY — no institution in the set is confirmed NOT to pull EWS (the EWS owners — Chase/BofA/Wells/USB/CapOne/PNC/Truist — all use it). Citi documented approving with FROZEN Chex (DPs 2026-04/2026-06).</t>
        </is>
      </c>
    </row>
    <row r="48">
      <c r="A48" t="inlineStr">
        <is>
          <t>Master sources: doctorofcredit.com/banks-credit-unions-dodont-pull-chexsystems/ (upd 2025-08-07) + .../dodont-pull-early-warning-services/ + crediful.com/chexsystems/&lt;bank&gt; — full per-bank URLs in SoCal_Mentor_Crosswalk_EWS_Chex_v3.xlsx tab 6 (DP Log).</t>
        </is>
      </c>
    </row>
    <row r="49">
      <c r="A49" t="inlineStr">
        <is>
          <t>MENTOR LIST column (blue) = practitioner's bureau-grouped SoCal no-doc list (2026-06): EXP{PNC, Sunwest, Tustin} EQ{First Citizens, KeyBank, California CU, First Western Trust} TU{Banner, Valley, BMO, Western Alliance, WaFd, LAFCU} Branch-verify{CB&amp;T}. Tags show ✓corroborated / contradicted / uncorroborated per our dated research.</t>
        </is>
      </c>
    </row>
    <row r="50">
      <c r="A50" t="inlineStr">
        <is>
          <t>EST. CREDIT LIMIT: documented forum/issuer data points where available (source in brackets + the row's 'Approval Info &amp; Limits'); 'N/M' = no specific data point found, never a guess.</t>
        </is>
      </c>
    </row>
    <row r="51">
      <c r="A51" t="inlineStr">
        <is>
          <t>HOW TO APPLY: the mechanism when not a clean online flow (branch / phone / PDF→fax / appointment).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50" customWidth="1" min="9" max="9"/>
  </cols>
  <sheetData>
    <row r="1">
      <c r="A1" s="25" t="inlineStr">
        <is>
          <t>CERT</t>
        </is>
      </c>
      <c r="B1" s="25" t="inlineStr">
        <is>
          <t>Institution</t>
        </is>
      </c>
      <c r="C1" s="25" t="inlineStr">
        <is>
          <t>Branches(4cty)</t>
        </is>
      </c>
      <c r="D1" s="25" t="inlineStr">
        <is>
          <t>Deposits($K,4cty)</t>
        </is>
      </c>
      <c r="E1" s="25" t="inlineStr">
        <is>
          <t>Counties</t>
        </is>
      </c>
      <c r="F1" s="25" t="inlineStr">
        <is>
          <t>HQ-local</t>
        </is>
      </c>
      <c r="G1" s="25" t="inlineStr">
        <is>
          <t>Status</t>
        </is>
      </c>
      <c r="H1" s="25" t="inlineStr">
        <is>
          <t>Note</t>
        </is>
      </c>
      <c r="I1" s="25" t="inlineStr">
        <is>
          <t>In main table? (v5)</t>
        </is>
      </c>
    </row>
    <row r="2">
      <c r="A2" t="inlineStr">
        <is>
          <t>34775</t>
        </is>
      </c>
      <c r="B2" t="inlineStr">
        <is>
          <t>EverBank, National Association</t>
        </is>
      </c>
      <c r="C2" t="inlineStr">
        <is>
          <t>7</t>
        </is>
      </c>
      <c r="D2" t="inlineStr">
        <is>
          <t>570430</t>
        </is>
      </c>
      <c r="E2" t="inlineStr">
        <is>
          <t xml:space="preserve">Los +Oran+San </t>
        </is>
      </c>
      <c r="F2" t="inlineStr">
        <is>
          <t>N</t>
        </is>
      </c>
      <c r="G2" t="inlineStr">
        <is>
          <t>GAP — never evaluated</t>
        </is>
      </c>
      <c r="H2" t="inlineStr">
        <is>
          <t>→ screening queue</t>
        </is>
      </c>
      <c r="I2" s="7" t="inlineStr">
        <is>
          <t>✓ covered — EverBank, N.A.</t>
        </is>
      </c>
    </row>
    <row r="3">
      <c r="A3" t="inlineStr">
        <is>
          <t>24387</t>
        </is>
      </c>
      <c r="B3" t="inlineStr">
        <is>
          <t>Industrial and Commercial Bank of China USA, National Association</t>
        </is>
      </c>
      <c r="C3" t="inlineStr">
        <is>
          <t>5</t>
        </is>
      </c>
      <c r="D3" t="inlineStr">
        <is>
          <t>433614</t>
        </is>
      </c>
      <c r="E3" t="inlineStr">
        <is>
          <t xml:space="preserve">Los </t>
        </is>
      </c>
      <c r="F3" t="inlineStr">
        <is>
          <t>N</t>
        </is>
      </c>
      <c r="G3" t="inlineStr">
        <is>
          <t>GAP — never evaluated</t>
        </is>
      </c>
      <c r="H3" t="inlineStr">
        <is>
          <t>→ screening queue</t>
        </is>
      </c>
      <c r="I3" s="7" t="inlineStr">
        <is>
          <t>✓ covered — ICBC USA, N.A.</t>
        </is>
      </c>
    </row>
    <row r="4">
      <c r="A4" t="inlineStr">
        <is>
          <t>57890</t>
        </is>
      </c>
      <c r="B4" t="inlineStr">
        <is>
          <t>HSBC Bank USA, National Association</t>
        </is>
      </c>
      <c r="C4" t="inlineStr">
        <is>
          <t>3</t>
        </is>
      </c>
      <c r="D4" t="inlineStr">
        <is>
          <t>9911674</t>
        </is>
      </c>
      <c r="E4" t="inlineStr">
        <is>
          <t>Los +Oran</t>
        </is>
      </c>
      <c r="F4" t="inlineStr">
        <is>
          <t>N</t>
        </is>
      </c>
      <c r="G4" t="inlineStr">
        <is>
          <t>GAP — never evaluated</t>
        </is>
      </c>
      <c r="H4" t="inlineStr">
        <is>
          <t>→ queue. NOTE: HSBC exited US mass-retail 2021; commercial/premier focus — verify biz-card channel</t>
        </is>
      </c>
      <c r="I4" s="7" t="inlineStr">
        <is>
          <t>✓ covered — HSBC Bank USA</t>
        </is>
      </c>
    </row>
    <row r="5">
      <c r="A5" t="inlineStr">
        <is>
          <t>34656</t>
        </is>
      </c>
      <c r="B5" t="inlineStr">
        <is>
          <t>American First National Bank</t>
        </is>
      </c>
      <c r="C5" t="inlineStr">
        <is>
          <t>3</t>
        </is>
      </c>
      <c r="D5" t="inlineStr">
        <is>
          <t>419284</t>
        </is>
      </c>
      <c r="E5" t="inlineStr">
        <is>
          <t xml:space="preserve">Los </t>
        </is>
      </c>
      <c r="F5" t="inlineStr">
        <is>
          <t>N</t>
        </is>
      </c>
      <c r="G5" t="inlineStr">
        <is>
          <t>GAP — never evaluated</t>
        </is>
      </c>
      <c r="H5" t="inlineStr">
        <is>
          <t>→ screening queue</t>
        </is>
      </c>
      <c r="I5" s="7" t="inlineStr">
        <is>
          <t>✓ covered — American First National Bank</t>
        </is>
      </c>
    </row>
    <row r="6">
      <c r="A6" t="inlineStr">
        <is>
          <t>26223</t>
        </is>
      </c>
      <c r="B6" t="inlineStr">
        <is>
          <t>Golden Bank, National Association</t>
        </is>
      </c>
      <c r="C6" t="inlineStr">
        <is>
          <t>3</t>
        </is>
      </c>
      <c r="D6" t="inlineStr">
        <is>
          <t>369290</t>
        </is>
      </c>
      <c r="E6" t="inlineStr">
        <is>
          <t>Los +Oran</t>
        </is>
      </c>
      <c r="F6" t="inlineStr">
        <is>
          <t>N</t>
        </is>
      </c>
      <c r="G6" t="inlineStr">
        <is>
          <t>GAP — never evaluated</t>
        </is>
      </c>
      <c r="H6" t="inlineStr">
        <is>
          <t>→ screening queue</t>
        </is>
      </c>
      <c r="I6" s="7" t="inlineStr">
        <is>
          <t>✓ covered — Golden Bank, N.A.</t>
        </is>
      </c>
    </row>
    <row r="7">
      <c r="A7" t="inlineStr">
        <is>
          <t>19977</t>
        </is>
      </c>
      <c r="B7" t="inlineStr">
        <is>
          <t>Israel Discount Bank of New York</t>
        </is>
      </c>
      <c r="C7" t="inlineStr">
        <is>
          <t>2</t>
        </is>
      </c>
      <c r="D7" t="inlineStr">
        <is>
          <t>840384</t>
        </is>
      </c>
      <c r="E7" t="inlineStr">
        <is>
          <t xml:space="preserve">Los </t>
        </is>
      </c>
      <c r="F7" t="inlineStr">
        <is>
          <t>N</t>
        </is>
      </c>
      <c r="G7" t="inlineStr">
        <is>
          <t>GAP — never evaluated</t>
        </is>
      </c>
      <c r="H7" t="inlineStr">
        <is>
          <t>→ screening queue</t>
        </is>
      </c>
      <c r="I7" s="7" t="inlineStr">
        <is>
          <t>✓ covered — Israel Discount Bank of New York (IDB)</t>
        </is>
      </c>
    </row>
    <row r="8">
      <c r="A8" t="inlineStr">
        <is>
          <t>25093</t>
        </is>
      </c>
      <c r="B8" t="inlineStr">
        <is>
          <t>Habib American Bank</t>
        </is>
      </c>
      <c r="C8" t="inlineStr">
        <is>
          <t>2</t>
        </is>
      </c>
      <c r="D8" t="inlineStr">
        <is>
          <t>612187</t>
        </is>
      </c>
      <c r="E8" t="inlineStr">
        <is>
          <t xml:space="preserve">Los </t>
        </is>
      </c>
      <c r="F8" t="inlineStr">
        <is>
          <t>N</t>
        </is>
      </c>
      <c r="G8" t="inlineStr">
        <is>
          <t>GAP — never evaluated</t>
        </is>
      </c>
      <c r="H8" t="inlineStr">
        <is>
          <t>→ screening queue</t>
        </is>
      </c>
      <c r="I8" s="7" t="inlineStr">
        <is>
          <t>✓ covered — Habib American Bank (HAB)</t>
        </is>
      </c>
    </row>
    <row r="9">
      <c r="A9" t="inlineStr">
        <is>
          <t>23966</t>
        </is>
      </c>
      <c r="B9" t="inlineStr">
        <is>
          <t>OneUnited Bank</t>
        </is>
      </c>
      <c r="C9" t="inlineStr">
        <is>
          <t>2</t>
        </is>
      </c>
      <c r="D9" t="inlineStr">
        <is>
          <t>476360</t>
        </is>
      </c>
      <c r="E9" t="inlineStr">
        <is>
          <t xml:space="preserve">Los </t>
        </is>
      </c>
      <c r="F9" t="inlineStr">
        <is>
          <t>N</t>
        </is>
      </c>
      <c r="G9" t="inlineStr">
        <is>
          <t>GAP — never evaluated</t>
        </is>
      </c>
      <c r="H9" t="inlineStr">
        <is>
          <t>→ screening queue</t>
        </is>
      </c>
      <c r="I9" s="7" t="inlineStr">
        <is>
          <t>✓ covered — OneUnited Bank</t>
        </is>
      </c>
    </row>
    <row r="10">
      <c r="A10" t="inlineStr">
        <is>
          <t>34319</t>
        </is>
      </c>
      <c r="B10" t="inlineStr">
        <is>
          <t>Southwestern National Bank</t>
        </is>
      </c>
      <c r="C10" t="inlineStr">
        <is>
          <t>2</t>
        </is>
      </c>
      <c r="D10" t="inlineStr">
        <is>
          <t>140273</t>
        </is>
      </c>
      <c r="E10" t="inlineStr">
        <is>
          <t>Los +Oran</t>
        </is>
      </c>
      <c r="F10" t="inlineStr">
        <is>
          <t>N</t>
        </is>
      </c>
      <c r="G10" t="inlineStr">
        <is>
          <t>GAP — never evaluated</t>
        </is>
      </c>
      <c r="H10" t="inlineStr">
        <is>
          <t>→ screening queue</t>
        </is>
      </c>
      <c r="I10" s="7" t="inlineStr">
        <is>
          <t>✓ covered — Southwestern National Bank</t>
        </is>
      </c>
    </row>
    <row r="11">
      <c r="A11" t="inlineStr">
        <is>
          <t>34998</t>
        </is>
      </c>
      <c r="B11" t="inlineStr">
        <is>
          <t>First IC Bank</t>
        </is>
      </c>
      <c r="C11" t="inlineStr">
        <is>
          <t>1</t>
        </is>
      </c>
      <c r="D11" t="inlineStr">
        <is>
          <t>31528</t>
        </is>
      </c>
      <c r="E11" t="inlineStr">
        <is>
          <t xml:space="preserve">Los </t>
        </is>
      </c>
      <c r="F11" t="inlineStr">
        <is>
          <t>N</t>
        </is>
      </c>
      <c r="G11" t="inlineStr">
        <is>
          <t>GAP — never evaluated</t>
        </is>
      </c>
      <c r="H11" t="inlineStr">
        <is>
          <t>→ screening queue</t>
        </is>
      </c>
      <c r="I11" s="7" t="inlineStr">
        <is>
          <t>✓ covered — First IC Bank</t>
        </is>
      </c>
    </row>
    <row r="12">
      <c r="A12" t="inlineStr">
        <is>
          <t>2270</t>
        </is>
      </c>
      <c r="B12" t="inlineStr">
        <is>
          <t>Zions Bancorporation, N.A.</t>
        </is>
      </c>
      <c r="C12" t="inlineStr">
        <is>
          <t>39</t>
        </is>
      </c>
      <c r="D12" t="inlineStr">
        <is>
          <t>8677803</t>
        </is>
      </c>
      <c r="E12" t="inlineStr">
        <is>
          <t xml:space="preserve">Los +Oran+Rive+San </t>
        </is>
      </c>
      <c r="F12" t="inlineStr">
        <is>
          <t>N</t>
        </is>
      </c>
      <c r="G12" t="inlineStr">
        <is>
          <t>ALIAS — covered</t>
        </is>
      </c>
      <c r="H12">
        <f> California Bank &amp; Trust (CB&amp;T branches report under the Zions Bancorporation N.A. charter)</f>
        <v/>
      </c>
      <c r="I12" s="7" t="inlineStr">
        <is>
          <t>✓ covered — California Bank &amp; Trust (Zions division)</t>
        </is>
      </c>
    </row>
    <row r="13">
      <c r="A13" t="inlineStr">
        <is>
          <t>4767</t>
        </is>
      </c>
      <c r="B13" t="inlineStr">
        <is>
          <t>Sunflower Bank, National Association</t>
        </is>
      </c>
      <c r="C13" t="inlineStr">
        <is>
          <t>1</t>
        </is>
      </c>
      <c r="D13" t="inlineStr">
        <is>
          <t>127386</t>
        </is>
      </c>
      <c r="E13" t="inlineStr">
        <is>
          <t xml:space="preserve">Los </t>
        </is>
      </c>
      <c r="F13" t="inlineStr">
        <is>
          <t>N</t>
        </is>
      </c>
      <c r="G13" t="inlineStr">
        <is>
          <t>ALIAS — covered</t>
        </is>
      </c>
      <c r="H13">
        <f> First Foundation Bank's new charter (merger 2026-04-01)</f>
        <v/>
      </c>
      <c r="I13" s="7" t="inlineStr">
        <is>
          <t>✓ covered — Sunflower Bank, N.A.</t>
        </is>
      </c>
    </row>
    <row r="14">
      <c r="A14" t="inlineStr">
        <is>
          <t>913</t>
        </is>
      </c>
      <c r="B14" t="inlineStr">
        <is>
          <t>The Northern Trust Company</t>
        </is>
      </c>
      <c r="C14" t="inlineStr">
        <is>
          <t>3</t>
        </is>
      </c>
      <c r="D14" t="inlineStr">
        <is>
          <t>1137498</t>
        </is>
      </c>
      <c r="E14" t="inlineStr">
        <is>
          <t>Los +Oran</t>
        </is>
      </c>
      <c r="F14" t="inlineStr">
        <is>
          <t>N</t>
        </is>
      </c>
      <c r="G14" t="inlineStr">
        <is>
          <t>NON-TARGET</t>
        </is>
      </c>
      <c r="H14" t="inlineStr">
        <is>
          <t>Custody/wealth trust bank — no retail biz cards</t>
        </is>
      </c>
      <c r="I14" s="7" t="inlineStr">
        <is>
          <t>✓ covered — The Northern Trust Company</t>
        </is>
      </c>
    </row>
    <row r="15">
      <c r="A15" t="inlineStr">
        <is>
          <t>34069</t>
        </is>
      </c>
      <c r="B15" t="inlineStr">
        <is>
          <t>Wilmington Trust, National Association</t>
        </is>
      </c>
      <c r="C15" t="inlineStr">
        <is>
          <t>3</t>
        </is>
      </c>
      <c r="D15" t="inlineStr">
        <is>
          <t>0</t>
        </is>
      </c>
      <c r="E15" t="inlineStr">
        <is>
          <t>Los +Oran</t>
        </is>
      </c>
      <c r="F15" t="inlineStr">
        <is>
          <t>N</t>
        </is>
      </c>
      <c r="G15" t="inlineStr">
        <is>
          <t>NON-TARGET</t>
        </is>
      </c>
      <c r="H15" t="inlineStr">
        <is>
          <t>Trust company — no retail biz cards</t>
        </is>
      </c>
      <c r="I15" s="7" t="inlineStr">
        <is>
          <t>✓ covered — Wilmington Trust, N.A.</t>
        </is>
      </c>
    </row>
    <row r="16">
      <c r="A16" t="inlineStr">
        <is>
          <t>7946</t>
        </is>
      </c>
      <c r="B16" t="inlineStr">
        <is>
          <t>BNY Mellon, National Association</t>
        </is>
      </c>
      <c r="C16" t="inlineStr">
        <is>
          <t>2</t>
        </is>
      </c>
      <c r="D16" t="inlineStr">
        <is>
          <t>0</t>
        </is>
      </c>
      <c r="E16" t="inlineStr">
        <is>
          <t>Los +Oran</t>
        </is>
      </c>
      <c r="F16" t="inlineStr">
        <is>
          <t>N</t>
        </is>
      </c>
      <c r="G16" t="inlineStr">
        <is>
          <t>NON-TARGET</t>
        </is>
      </c>
      <c r="H16" t="inlineStr">
        <is>
          <t>Trust company</t>
        </is>
      </c>
      <c r="I16" s="7" t="inlineStr">
        <is>
          <t>✓ covered — BNY Mellon, N.A.</t>
        </is>
      </c>
    </row>
    <row r="17">
      <c r="A17" t="inlineStr">
        <is>
          <t>23647</t>
        </is>
      </c>
      <c r="B17" t="inlineStr">
        <is>
          <t>TIB National Association</t>
        </is>
      </c>
      <c r="C17" t="inlineStr">
        <is>
          <t>1</t>
        </is>
      </c>
      <c r="D17" t="inlineStr">
        <is>
          <t>174070</t>
        </is>
      </c>
      <c r="E17" t="inlineStr">
        <is>
          <t>Oran</t>
        </is>
      </c>
      <c r="F17" t="inlineStr">
        <is>
          <t>N</t>
        </is>
      </c>
      <c r="G17" t="inlineStr">
        <is>
          <t>NON-TARGET</t>
        </is>
      </c>
      <c r="H17" t="inlineStr">
        <is>
          <t>TIB = the bankers' bank itself (white-label issuer; serves banks, not the public)</t>
        </is>
      </c>
      <c r="I17" s="7" t="inlineStr">
        <is>
          <t>✓ covered — Citi (Citibank)</t>
        </is>
      </c>
    </row>
    <row r="18">
      <c r="A18" t="inlineStr">
        <is>
          <t>91325</t>
        </is>
      </c>
      <c r="B18" t="inlineStr">
        <is>
          <t>CIBC National Trust Company</t>
        </is>
      </c>
      <c r="C18" t="inlineStr">
        <is>
          <t>1</t>
        </is>
      </c>
      <c r="D18" t="inlineStr">
        <is>
          <t>0</t>
        </is>
      </c>
      <c r="E18" t="inlineStr">
        <is>
          <t>Oran</t>
        </is>
      </c>
      <c r="F18" t="inlineStr">
        <is>
          <t>N</t>
        </is>
      </c>
      <c r="G18" t="inlineStr">
        <is>
          <t>NON-TARGET</t>
        </is>
      </c>
      <c r="H18" t="inlineStr">
        <is>
          <t>Trust company</t>
        </is>
      </c>
      <c r="I18" s="7" t="inlineStr">
        <is>
          <t>✓ covered — CIBC National Trust Company</t>
        </is>
      </c>
    </row>
    <row r="19">
      <c r="A19" t="inlineStr">
        <is>
          <t>628</t>
        </is>
      </c>
      <c r="B19" t="inlineStr">
        <is>
          <t>JPMorgan Chase Bank, National Association</t>
        </is>
      </c>
      <c r="C19" t="inlineStr">
        <is>
          <t>414</t>
        </is>
      </c>
      <c r="D19" t="inlineStr">
        <is>
          <t>143196351</t>
        </is>
      </c>
      <c r="E19" t="inlineStr">
        <is>
          <t xml:space="preserve">Los +Oran+Rive+San </t>
        </is>
      </c>
      <c r="F19" t="inlineStr">
        <is>
          <t>N</t>
        </is>
      </c>
      <c r="G19" t="inlineStr">
        <is>
          <t>COVERED</t>
        </is>
      </c>
      <c r="H19">
        <f> JPMorgan Chase Bank</f>
        <v/>
      </c>
      <c r="I19" s="7" t="inlineStr">
        <is>
          <t>✓ covered — Chase (JPMorgan Chase)</t>
        </is>
      </c>
    </row>
    <row r="20">
      <c r="A20" t="inlineStr">
        <is>
          <t>3510</t>
        </is>
      </c>
      <c r="B20" t="inlineStr">
        <is>
          <t>Bank of America, National Association</t>
        </is>
      </c>
      <c r="C20" t="inlineStr">
        <is>
          <t>341</t>
        </is>
      </c>
      <c r="D20" t="inlineStr">
        <is>
          <t>128490729</t>
        </is>
      </c>
      <c r="E20" t="inlineStr">
        <is>
          <t xml:space="preserve">Los +Oran+Rive+San </t>
        </is>
      </c>
      <c r="F20" t="inlineStr">
        <is>
          <t>N</t>
        </is>
      </c>
      <c r="G20" t="inlineStr">
        <is>
          <t>COVERED</t>
        </is>
      </c>
      <c r="H20">
        <f> Bank of America</f>
        <v/>
      </c>
      <c r="I20" s="7" t="inlineStr">
        <is>
          <t>✓ covered — Bank of America</t>
        </is>
      </c>
    </row>
    <row r="21">
      <c r="A21" t="inlineStr">
        <is>
          <t>3511</t>
        </is>
      </c>
      <c r="B21" t="inlineStr">
        <is>
          <t>Wells Fargo Bank, National Association</t>
        </is>
      </c>
      <c r="C21" t="inlineStr">
        <is>
          <t>327</t>
        </is>
      </c>
      <c r="D21" t="inlineStr">
        <is>
          <t>101241270</t>
        </is>
      </c>
      <c r="E21" t="inlineStr">
        <is>
          <t xml:space="preserve">Los +Oran+Rive+San </t>
        </is>
      </c>
      <c r="F21" t="inlineStr">
        <is>
          <t>N</t>
        </is>
      </c>
      <c r="G21" t="inlineStr">
        <is>
          <t>COVERED</t>
        </is>
      </c>
      <c r="H21">
        <f> Wells Fargo Bank</f>
        <v/>
      </c>
      <c r="I21" s="7" t="inlineStr">
        <is>
          <t>✓ covered — Wells Fargo</t>
        </is>
      </c>
    </row>
    <row r="22">
      <c r="A22" t="inlineStr">
        <is>
          <t>6548</t>
        </is>
      </c>
      <c r="B22" t="inlineStr">
        <is>
          <t>U.S. Bank National Association</t>
        </is>
      </c>
      <c r="C22" t="inlineStr">
        <is>
          <t>267</t>
        </is>
      </c>
      <c r="D22" t="inlineStr">
        <is>
          <t>34728888</t>
        </is>
      </c>
      <c r="E22" t="inlineStr">
        <is>
          <t xml:space="preserve">Los +Oran+Rive+San </t>
        </is>
      </c>
      <c r="F22" t="inlineStr">
        <is>
          <t>N</t>
        </is>
      </c>
      <c r="G22" t="inlineStr">
        <is>
          <t>COVERED</t>
        </is>
      </c>
      <c r="H22">
        <f> U.S. Bank</f>
        <v/>
      </c>
      <c r="I22" s="7" t="inlineStr">
        <is>
          <t>✓ covered — U.S. Bank (direct)</t>
        </is>
      </c>
    </row>
    <row r="23">
      <c r="A23" t="inlineStr">
        <is>
          <t>7213</t>
        </is>
      </c>
      <c r="B23" t="inlineStr">
        <is>
          <t>Citibank, National Association</t>
        </is>
      </c>
      <c r="C23" t="inlineStr">
        <is>
          <t>141</t>
        </is>
      </c>
      <c r="D23" t="inlineStr">
        <is>
          <t>37164000</t>
        </is>
      </c>
      <c r="E23" t="inlineStr">
        <is>
          <t xml:space="preserve">Los +Oran+Rive+San </t>
        </is>
      </c>
      <c r="F23" t="inlineStr">
        <is>
          <t>N</t>
        </is>
      </c>
      <c r="G23" t="inlineStr">
        <is>
          <t>COVERED</t>
        </is>
      </c>
      <c r="H23">
        <f> Citibank</f>
        <v/>
      </c>
      <c r="I23" s="7" t="inlineStr">
        <is>
          <t>✓ covered — Citi (Citibank)</t>
        </is>
      </c>
    </row>
    <row r="24">
      <c r="A24" t="inlineStr">
        <is>
          <t>16571</t>
        </is>
      </c>
      <c r="B24" t="inlineStr">
        <is>
          <t>BMO Bank National Association</t>
        </is>
      </c>
      <c r="C24" t="inlineStr">
        <is>
          <t>66</t>
        </is>
      </c>
      <c r="D24" t="inlineStr">
        <is>
          <t>11478602</t>
        </is>
      </c>
      <c r="E24" t="inlineStr">
        <is>
          <t xml:space="preserve">Los +Oran+Rive+San </t>
        </is>
      </c>
      <c r="F24" t="inlineStr">
        <is>
          <t>N</t>
        </is>
      </c>
      <c r="G24" t="inlineStr">
        <is>
          <t>COVERED</t>
        </is>
      </c>
      <c r="H24">
        <f> BMO Bank</f>
        <v/>
      </c>
      <c r="I24" s="7" t="inlineStr">
        <is>
          <t>✓ covered — BMO Bank</t>
        </is>
      </c>
    </row>
    <row r="25">
      <c r="A25" t="inlineStr">
        <is>
          <t>24045</t>
        </is>
      </c>
      <c r="B25" t="inlineStr">
        <is>
          <t>Banc of California</t>
        </is>
      </c>
      <c r="C25" t="inlineStr">
        <is>
          <t>51</t>
        </is>
      </c>
      <c r="D25" t="inlineStr">
        <is>
          <t>18376955</t>
        </is>
      </c>
      <c r="E25" t="inlineStr">
        <is>
          <t xml:space="preserve">Los +Oran+Rive+San </t>
        </is>
      </c>
      <c r="F25" t="inlineStr">
        <is>
          <t>Y</t>
        </is>
      </c>
      <c r="G25" t="inlineStr">
        <is>
          <t>COVERED</t>
        </is>
      </c>
      <c r="H25">
        <f> Banc of California</f>
        <v/>
      </c>
      <c r="I25" s="7" t="inlineStr">
        <is>
          <t>✓ covered — California Credit Union</t>
        </is>
      </c>
    </row>
    <row r="26">
      <c r="A26" t="inlineStr">
        <is>
          <t>31628</t>
        </is>
      </c>
      <c r="B26" t="inlineStr">
        <is>
          <t>East West Bank</t>
        </is>
      </c>
      <c r="C26" t="inlineStr">
        <is>
          <t>45</t>
        </is>
      </c>
      <c r="D26" t="inlineStr">
        <is>
          <t>38335997</t>
        </is>
      </c>
      <c r="E26" t="inlineStr">
        <is>
          <t xml:space="preserve">Los +Oran+San </t>
        </is>
      </c>
      <c r="F26" t="inlineStr">
        <is>
          <t>Y</t>
        </is>
      </c>
      <c r="G26" t="inlineStr">
        <is>
          <t>COVERED</t>
        </is>
      </c>
      <c r="H26">
        <f> East West Bank</f>
        <v/>
      </c>
      <c r="I26" s="7" t="inlineStr">
        <is>
          <t>✓ covered — East West Bank</t>
        </is>
      </c>
    </row>
    <row r="27">
      <c r="A27" t="inlineStr">
        <is>
          <t>21716</t>
        </is>
      </c>
      <c r="B27" t="inlineStr">
        <is>
          <t>Citizens Business Bank</t>
        </is>
      </c>
      <c r="C27" t="inlineStr">
        <is>
          <t>44</t>
        </is>
      </c>
      <c r="D27" t="inlineStr">
        <is>
          <t>9773952</t>
        </is>
      </c>
      <c r="E27" t="inlineStr">
        <is>
          <t xml:space="preserve">Los +Oran+Rive+San </t>
        </is>
      </c>
      <c r="F27" t="inlineStr">
        <is>
          <t>Y</t>
        </is>
      </c>
      <c r="G27" t="inlineStr">
        <is>
          <t>COVERED</t>
        </is>
      </c>
      <c r="H27">
        <f> Citizens Business Bank</f>
        <v/>
      </c>
      <c r="I27" s="7" t="inlineStr">
        <is>
          <t>✓ covered — Citizens Business Bank</t>
        </is>
      </c>
    </row>
    <row r="28">
      <c r="A28" t="inlineStr">
        <is>
          <t>17281</t>
        </is>
      </c>
      <c r="B28" t="inlineStr">
        <is>
          <t>City National Bank</t>
        </is>
      </c>
      <c r="C28" t="inlineStr">
        <is>
          <t>37</t>
        </is>
      </c>
      <c r="D28" t="inlineStr">
        <is>
          <t>52514502</t>
        </is>
      </c>
      <c r="E28" t="inlineStr">
        <is>
          <t xml:space="preserve">Los +Oran+Rive+San </t>
        </is>
      </c>
      <c r="F28" t="inlineStr">
        <is>
          <t>Y</t>
        </is>
      </c>
      <c r="G28" t="inlineStr">
        <is>
          <t>COVERED</t>
        </is>
      </c>
      <c r="H28">
        <f> City National Bank</f>
        <v/>
      </c>
      <c r="I28" s="7" t="inlineStr">
        <is>
          <t>✓ covered — City National Bank</t>
        </is>
      </c>
    </row>
    <row r="29">
      <c r="A29" t="inlineStr">
        <is>
          <t>11063</t>
        </is>
      </c>
      <c r="B29" t="inlineStr">
        <is>
          <t>First-Citizens Bank &amp; Trust Company</t>
        </is>
      </c>
      <c r="C29" t="inlineStr">
        <is>
          <t>36</t>
        </is>
      </c>
      <c r="D29" t="inlineStr">
        <is>
          <t>8050890</t>
        </is>
      </c>
      <c r="E29" t="inlineStr">
        <is>
          <t xml:space="preserve">Los +Oran+Rive+San </t>
        </is>
      </c>
      <c r="F29" t="inlineStr">
        <is>
          <t>N</t>
        </is>
      </c>
      <c r="G29" t="inlineStr">
        <is>
          <t>COVERED</t>
        </is>
      </c>
      <c r="H29">
        <f> First Citizens Bank</f>
        <v/>
      </c>
      <c r="I29" s="7" t="inlineStr">
        <is>
          <t>✓ covered — First Citizens Bank</t>
        </is>
      </c>
    </row>
    <row r="30">
      <c r="A30" t="inlineStr">
        <is>
          <t>983</t>
        </is>
      </c>
      <c r="B30" t="inlineStr">
        <is>
          <t>Comerica Bank</t>
        </is>
      </c>
      <c r="C30" t="inlineStr">
        <is>
          <t>36</t>
        </is>
      </c>
      <c r="D30" t="inlineStr">
        <is>
          <t>6869628</t>
        </is>
      </c>
      <c r="E30" t="inlineStr">
        <is>
          <t xml:space="preserve">Los +Oran+San </t>
        </is>
      </c>
      <c r="F30" t="inlineStr">
        <is>
          <t>N</t>
        </is>
      </c>
      <c r="G30" t="inlineStr">
        <is>
          <t>COVERED</t>
        </is>
      </c>
      <c r="H30">
        <f> Comerica Bank</f>
        <v/>
      </c>
      <c r="I30" s="7" t="inlineStr">
        <is>
          <t>✓ covered — Comerica Bank</t>
        </is>
      </c>
    </row>
    <row r="31">
      <c r="A31" t="inlineStr">
        <is>
          <t>32172</t>
        </is>
      </c>
      <c r="B31" t="inlineStr">
        <is>
          <t>Pacific Premier Bank, National Association</t>
        </is>
      </c>
      <c r="C31" t="inlineStr">
        <is>
          <t>30</t>
        </is>
      </c>
      <c r="D31" t="inlineStr">
        <is>
          <t>10844223</t>
        </is>
      </c>
      <c r="E31" t="inlineStr">
        <is>
          <t xml:space="preserve">Los +Oran+Rive+San </t>
        </is>
      </c>
      <c r="F31" t="inlineStr">
        <is>
          <t>Y</t>
        </is>
      </c>
      <c r="G31" t="inlineStr">
        <is>
          <t>COVERED</t>
        </is>
      </c>
      <c r="H31">
        <f> Pacific Premier Bank</f>
        <v/>
      </c>
      <c r="I31" s="7" t="inlineStr">
        <is>
          <t>✓ covered — Pacific Premier Bank</t>
        </is>
      </c>
    </row>
    <row r="32">
      <c r="A32" t="inlineStr">
        <is>
          <t>12229</t>
        </is>
      </c>
      <c r="B32" t="inlineStr">
        <is>
          <t>First Bank</t>
        </is>
      </c>
      <c r="C32" t="inlineStr">
        <is>
          <t>27</t>
        </is>
      </c>
      <c r="D32" t="inlineStr">
        <is>
          <t>1947417</t>
        </is>
      </c>
      <c r="E32" t="inlineStr">
        <is>
          <t xml:space="preserve">Los +Oran+Rive+San </t>
        </is>
      </c>
      <c r="F32" t="inlineStr">
        <is>
          <t>N</t>
        </is>
      </c>
      <c r="G32" t="inlineStr">
        <is>
          <t>COVERED</t>
        </is>
      </c>
      <c r="H32">
        <f> First Bank</f>
        <v/>
      </c>
      <c r="I32" s="7" t="inlineStr">
        <is>
          <t>✓ covered — First Bank (MO)</t>
        </is>
      </c>
    </row>
    <row r="33">
      <c r="A33" t="inlineStr">
        <is>
          <t>1225</t>
        </is>
      </c>
      <c r="B33" t="inlineStr">
        <is>
          <t>Farmers and Merchants Bank of Long Beach</t>
        </is>
      </c>
      <c r="C33" t="inlineStr">
        <is>
          <t>26</t>
        </is>
      </c>
      <c r="D33" t="inlineStr">
        <is>
          <t>8609774</t>
        </is>
      </c>
      <c r="E33" t="inlineStr">
        <is>
          <t>Los +Oran</t>
        </is>
      </c>
      <c r="F33" t="inlineStr">
        <is>
          <t>Y</t>
        </is>
      </c>
      <c r="G33" t="inlineStr">
        <is>
          <t>COVERED</t>
        </is>
      </c>
      <c r="H33">
        <f> Farmers &amp; Merchants Bank of Long Beach (base row; 'and' vs '&amp;' name quirk)</f>
        <v/>
      </c>
      <c r="I33" s="7" t="inlineStr">
        <is>
          <t>✓ covered — Farmers &amp; Merchants Bank of Long Beach</t>
        </is>
      </c>
    </row>
    <row r="34">
      <c r="A34" t="inlineStr">
        <is>
          <t>18503</t>
        </is>
      </c>
      <c r="B34" t="inlineStr">
        <is>
          <t>Cathay Bank</t>
        </is>
      </c>
      <c r="C34" t="inlineStr">
        <is>
          <t>23</t>
        </is>
      </c>
      <c r="D34" t="inlineStr">
        <is>
          <t>12024904</t>
        </is>
      </c>
      <c r="E34" t="inlineStr">
        <is>
          <t xml:space="preserve">Los +Oran+San </t>
        </is>
      </c>
      <c r="F34" t="inlineStr">
        <is>
          <t>Y</t>
        </is>
      </c>
      <c r="G34" t="inlineStr">
        <is>
          <t>COVERED</t>
        </is>
      </c>
      <c r="H34">
        <f> Cathay Bank</f>
        <v/>
      </c>
      <c r="I34" s="7" t="inlineStr">
        <is>
          <t>✓ covered — Cathay Bank</t>
        </is>
      </c>
    </row>
    <row r="35">
      <c r="A35" t="inlineStr">
        <is>
          <t>26610</t>
        </is>
      </c>
      <c r="B35" t="inlineStr">
        <is>
          <t>Bank of Hope</t>
        </is>
      </c>
      <c r="C35" t="inlineStr">
        <is>
          <t>23</t>
        </is>
      </c>
      <c r="D35" t="inlineStr">
        <is>
          <t>9469233</t>
        </is>
      </c>
      <c r="E35" t="inlineStr">
        <is>
          <t xml:space="preserve">Los +Oran+San </t>
        </is>
      </c>
      <c r="F35" t="inlineStr">
        <is>
          <t>Y</t>
        </is>
      </c>
      <c r="G35" t="inlineStr">
        <is>
          <t>COVERED</t>
        </is>
      </c>
      <c r="H35">
        <f> Bank of Hope</f>
        <v/>
      </c>
      <c r="I35" s="7" t="inlineStr">
        <is>
          <t>✓ covered — Bank of Hope</t>
        </is>
      </c>
    </row>
    <row r="36">
      <c r="A36" t="inlineStr">
        <is>
          <t>6384</t>
        </is>
      </c>
      <c r="B36" t="inlineStr">
        <is>
          <t>PNC Bank, National Association</t>
        </is>
      </c>
      <c r="C36" t="inlineStr">
        <is>
          <t>21</t>
        </is>
      </c>
      <c r="D36" t="inlineStr">
        <is>
          <t>1836902</t>
        </is>
      </c>
      <c r="E36" t="inlineStr">
        <is>
          <t xml:space="preserve">Los +Rive+San </t>
        </is>
      </c>
      <c r="F36" t="inlineStr">
        <is>
          <t>N</t>
        </is>
      </c>
      <c r="G36" t="inlineStr">
        <is>
          <t>COVERED</t>
        </is>
      </c>
      <c r="H36">
        <f> PNC Bank</f>
        <v/>
      </c>
      <c r="I36" s="7" t="inlineStr">
        <is>
          <t>✓ covered — PNC Bank</t>
        </is>
      </c>
    </row>
    <row r="37">
      <c r="A37" t="inlineStr">
        <is>
          <t>24170</t>
        </is>
      </c>
      <c r="B37" t="inlineStr">
        <is>
          <t>Hanmi Bank</t>
        </is>
      </c>
      <c r="C37" t="inlineStr">
        <is>
          <t>18</t>
        </is>
      </c>
      <c r="D37" t="inlineStr">
        <is>
          <t>5249625</t>
        </is>
      </c>
      <c r="E37" t="inlineStr">
        <is>
          <t>Los +Oran</t>
        </is>
      </c>
      <c r="F37" t="inlineStr">
        <is>
          <t>Y</t>
        </is>
      </c>
      <c r="G37" t="inlineStr">
        <is>
          <t>COVERED</t>
        </is>
      </c>
      <c r="H37">
        <f> Hanmi Bank</f>
        <v/>
      </c>
      <c r="I37" s="7" t="inlineStr">
        <is>
          <t>✓ covered — Hanmi Bank</t>
        </is>
      </c>
    </row>
    <row r="38">
      <c r="A38" t="inlineStr">
        <is>
          <t>32489</t>
        </is>
      </c>
      <c r="B38" t="inlineStr">
        <is>
          <t>HomeStreet Bank</t>
        </is>
      </c>
      <c r="C38" t="inlineStr">
        <is>
          <t>16</t>
        </is>
      </c>
      <c r="D38" t="inlineStr">
        <is>
          <t>1081398</t>
        </is>
      </c>
      <c r="E38" t="inlineStr">
        <is>
          <t xml:space="preserve">Los +Oran+Rive+San </t>
        </is>
      </c>
      <c r="F38" t="inlineStr">
        <is>
          <t>N</t>
        </is>
      </c>
      <c r="G38" t="inlineStr">
        <is>
          <t>COVERED</t>
        </is>
      </c>
      <c r="H38">
        <f> HomeStreet Bank</f>
        <v/>
      </c>
      <c r="I38" s="7" t="inlineStr">
        <is>
          <t>✓ covered — HomeStreet Bank</t>
        </is>
      </c>
    </row>
    <row r="39">
      <c r="A39" t="inlineStr">
        <is>
          <t>58647</t>
        </is>
      </c>
      <c r="B39" t="inlineStr">
        <is>
          <t>First Foundation Bank</t>
        </is>
      </c>
      <c r="C39" t="inlineStr">
        <is>
          <t>14</t>
        </is>
      </c>
      <c r="D39" t="inlineStr">
        <is>
          <t>7224809</t>
        </is>
      </c>
      <c r="E39" t="inlineStr">
        <is>
          <t xml:space="preserve">Los +Oran+Rive+San </t>
        </is>
      </c>
      <c r="F39" t="inlineStr">
        <is>
          <t>Y</t>
        </is>
      </c>
      <c r="G39" t="inlineStr">
        <is>
          <t>COVERED</t>
        </is>
      </c>
      <c r="H39">
        <f> First Foundation Bank</f>
        <v/>
      </c>
      <c r="I39" s="7" t="inlineStr">
        <is>
          <t>✓ covered — First Foundation Bank</t>
        </is>
      </c>
    </row>
    <row r="40">
      <c r="A40" t="inlineStr">
        <is>
          <t>19416</t>
        </is>
      </c>
      <c r="B40" t="inlineStr">
        <is>
          <t>CTBC Bank Corp. (USA)</t>
        </is>
      </c>
      <c r="C40" t="inlineStr">
        <is>
          <t>14</t>
        </is>
      </c>
      <c r="D40" t="inlineStr">
        <is>
          <t>2738287</t>
        </is>
      </c>
      <c r="E40" t="inlineStr">
        <is>
          <t>Los +Oran</t>
        </is>
      </c>
      <c r="F40" t="inlineStr">
        <is>
          <t>Y</t>
        </is>
      </c>
      <c r="G40" t="inlineStr">
        <is>
          <t>COVERED</t>
        </is>
      </c>
      <c r="H40">
        <f> CTBC Bank Corp. (USA)</f>
        <v/>
      </c>
      <c r="I40" s="7" t="inlineStr">
        <is>
          <t>✓ covered — CTBC Bank Corp. (USA)</t>
        </is>
      </c>
    </row>
    <row r="41">
      <c r="A41" t="inlineStr">
        <is>
          <t>30879</t>
        </is>
      </c>
      <c r="B41" t="inlineStr">
        <is>
          <t>Provident Savings Bank, F.S.B.</t>
        </is>
      </c>
      <c r="C41" t="inlineStr">
        <is>
          <t>14</t>
        </is>
      </c>
      <c r="D41" t="inlineStr">
        <is>
          <t>895179</t>
        </is>
      </c>
      <c r="E41" t="inlineStr">
        <is>
          <t xml:space="preserve">Rive+San </t>
        </is>
      </c>
      <c r="F41" t="inlineStr">
        <is>
          <t>Y</t>
        </is>
      </c>
      <c r="G41" t="inlineStr">
        <is>
          <t>COVERED</t>
        </is>
      </c>
      <c r="H41">
        <f> Provident Savings Bank, F.S.B.</f>
        <v/>
      </c>
      <c r="I41" s="7" t="inlineStr">
        <is>
          <t>✓ covered — Provident Credit Union</t>
        </is>
      </c>
    </row>
    <row r="42">
      <c r="A42" t="inlineStr">
        <is>
          <t>32541</t>
        </is>
      </c>
      <c r="B42" t="inlineStr">
        <is>
          <t>Flagstar Bank, National Association</t>
        </is>
      </c>
      <c r="C42" t="inlineStr">
        <is>
          <t>13</t>
        </is>
      </c>
      <c r="D42" t="inlineStr">
        <is>
          <t>2681387</t>
        </is>
      </c>
      <c r="E42" t="inlineStr">
        <is>
          <t xml:space="preserve">Los +Oran+San </t>
        </is>
      </c>
      <c r="F42" t="inlineStr">
        <is>
          <t>N</t>
        </is>
      </c>
      <c r="G42" t="inlineStr">
        <is>
          <t>COVERED</t>
        </is>
      </c>
      <c r="H42">
        <f> Flagstar Bank</f>
        <v/>
      </c>
      <c r="I42" s="7" t="inlineStr">
        <is>
          <t>✓ covered — Flagstar Bank, N.A.</t>
        </is>
      </c>
    </row>
    <row r="43">
      <c r="A43" t="inlineStr">
        <is>
          <t>57463</t>
        </is>
      </c>
      <c r="B43" t="inlineStr">
        <is>
          <t>PCB Bank</t>
        </is>
      </c>
      <c r="C43" t="inlineStr">
        <is>
          <t>13</t>
        </is>
      </c>
      <c r="D43" t="inlineStr">
        <is>
          <t>2506472</t>
        </is>
      </c>
      <c r="E43" t="inlineStr">
        <is>
          <t>Los +Oran</t>
        </is>
      </c>
      <c r="F43" t="inlineStr">
        <is>
          <t>Y</t>
        </is>
      </c>
      <c r="G43" t="inlineStr">
        <is>
          <t>COVERED</t>
        </is>
      </c>
      <c r="H43">
        <f> PCB Bank</f>
        <v/>
      </c>
      <c r="I43" s="7" t="inlineStr">
        <is>
          <t>✓ covered — PCB Bank</t>
        </is>
      </c>
    </row>
    <row r="44">
      <c r="A44" t="inlineStr">
        <is>
          <t>33539</t>
        </is>
      </c>
      <c r="B44" t="inlineStr">
        <is>
          <t>Preferred Bank</t>
        </is>
      </c>
      <c r="C44" t="inlineStr">
        <is>
          <t>11</t>
        </is>
      </c>
      <c r="D44" t="inlineStr">
        <is>
          <t>5173604</t>
        </is>
      </c>
      <c r="E44" t="inlineStr">
        <is>
          <t>Los +Oran</t>
        </is>
      </c>
      <c r="F44" t="inlineStr">
        <is>
          <t>Y</t>
        </is>
      </c>
      <c r="G44" t="inlineStr">
        <is>
          <t>COVERED</t>
        </is>
      </c>
      <c r="H44">
        <f> Preferred Bank</f>
        <v/>
      </c>
      <c r="I44" s="7" t="inlineStr">
        <is>
          <t>✓ covered — Preferred Bank</t>
        </is>
      </c>
    </row>
    <row r="45">
      <c r="A45" t="inlineStr">
        <is>
          <t>58816</t>
        </is>
      </c>
      <c r="B45" t="inlineStr">
        <is>
          <t>Royal Business Bank</t>
        </is>
      </c>
      <c r="C45" t="inlineStr">
        <is>
          <t>10</t>
        </is>
      </c>
      <c r="D45" t="inlineStr">
        <is>
          <t>2040673</t>
        </is>
      </c>
      <c r="E45" t="inlineStr">
        <is>
          <t>Los +Oran</t>
        </is>
      </c>
      <c r="F45" t="inlineStr">
        <is>
          <t>Y</t>
        </is>
      </c>
      <c r="G45" t="inlineStr">
        <is>
          <t>COVERED</t>
        </is>
      </c>
      <c r="H45">
        <f> Royal Business Bank</f>
        <v/>
      </c>
      <c r="I45" s="7" t="inlineStr">
        <is>
          <t>✓ covered — Royal Business Bank</t>
        </is>
      </c>
    </row>
    <row r="46">
      <c r="A46" t="inlineStr">
        <is>
          <t>18618</t>
        </is>
      </c>
      <c r="B46" t="inlineStr">
        <is>
          <t>SMBC MANUBANK</t>
        </is>
      </c>
      <c r="C46" t="inlineStr">
        <is>
          <t>8</t>
        </is>
      </c>
      <c r="D46" t="inlineStr">
        <is>
          <t>5568959</t>
        </is>
      </c>
      <c r="E46" t="inlineStr">
        <is>
          <t>Los +Oran</t>
        </is>
      </c>
      <c r="F46" t="inlineStr">
        <is>
          <t>Y</t>
        </is>
      </c>
      <c r="G46" t="inlineStr">
        <is>
          <t>COVERED</t>
        </is>
      </c>
      <c r="H46">
        <f> SMBC MANUBANK</f>
        <v/>
      </c>
      <c r="I46" s="7" t="inlineStr">
        <is>
          <t>✓ covered — SMBC MANUBANK</t>
        </is>
      </c>
    </row>
    <row r="47">
      <c r="A47" t="inlineStr">
        <is>
          <t>57944</t>
        </is>
      </c>
      <c r="B47" t="inlineStr">
        <is>
          <t>Open Bank</t>
        </is>
      </c>
      <c r="C47" t="inlineStr">
        <is>
          <t>8</t>
        </is>
      </c>
      <c r="D47" t="inlineStr">
        <is>
          <t>2082907</t>
        </is>
      </c>
      <c r="E47" t="inlineStr">
        <is>
          <t>Los +Oran</t>
        </is>
      </c>
      <c r="F47" t="inlineStr">
        <is>
          <t>Y</t>
        </is>
      </c>
      <c r="G47" t="inlineStr">
        <is>
          <t>COVERED</t>
        </is>
      </c>
      <c r="H47">
        <f> Open Bank</f>
        <v/>
      </c>
      <c r="I47" s="7" t="inlineStr">
        <is>
          <t>✓ covered — Open Bank</t>
        </is>
      </c>
    </row>
    <row r="48">
      <c r="A48" t="inlineStr">
        <is>
          <t>57044</t>
        </is>
      </c>
      <c r="B48" t="inlineStr">
        <is>
          <t>California Bank of Commerce, National Association</t>
        </is>
      </c>
      <c r="C48" t="inlineStr">
        <is>
          <t>8</t>
        </is>
      </c>
      <c r="D48" t="inlineStr">
        <is>
          <t>1325620</t>
        </is>
      </c>
      <c r="E48" t="inlineStr">
        <is>
          <t>Los +Oran+Rive</t>
        </is>
      </c>
      <c r="F48" t="inlineStr">
        <is>
          <t>N</t>
        </is>
      </c>
      <c r="G48" t="inlineStr">
        <is>
          <t>COVERED</t>
        </is>
      </c>
      <c r="H48">
        <f> California Bank of Commerce, N.A.</f>
        <v/>
      </c>
      <c r="I48" s="7" t="inlineStr">
        <is>
          <t>✓ covered — California Credit Union</t>
        </is>
      </c>
    </row>
    <row r="49">
      <c r="A49" t="inlineStr">
        <is>
          <t>28489</t>
        </is>
      </c>
      <c r="B49" t="inlineStr">
        <is>
          <t>Banner Bank</t>
        </is>
      </c>
      <c r="C49" t="inlineStr">
        <is>
          <t>8</t>
        </is>
      </c>
      <c r="D49" t="inlineStr">
        <is>
          <t>789955</t>
        </is>
      </c>
      <c r="E49" t="inlineStr">
        <is>
          <t xml:space="preserve">Los +Rive+San </t>
        </is>
      </c>
      <c r="F49" t="inlineStr">
        <is>
          <t>N</t>
        </is>
      </c>
      <c r="G49" t="inlineStr">
        <is>
          <t>COVERED</t>
        </is>
      </c>
      <c r="H49">
        <f> Banner Bank</f>
        <v/>
      </c>
      <c r="I49" s="7" t="inlineStr">
        <is>
          <t>✓ covered — Banner Bank</t>
        </is>
      </c>
    </row>
    <row r="50">
      <c r="A50" t="inlineStr">
        <is>
          <t>1768</t>
        </is>
      </c>
      <c r="B50" t="inlineStr">
        <is>
          <t>Mechanics Bank</t>
        </is>
      </c>
      <c r="C50" t="inlineStr">
        <is>
          <t>7</t>
        </is>
      </c>
      <c r="D50" t="inlineStr">
        <is>
          <t>1749691</t>
        </is>
      </c>
      <c r="E50" t="inlineStr">
        <is>
          <t>Los +Oran+Rive</t>
        </is>
      </c>
      <c r="F50" t="inlineStr">
        <is>
          <t>N</t>
        </is>
      </c>
      <c r="G50" t="inlineStr">
        <is>
          <t>COVERED</t>
        </is>
      </c>
      <c r="H50">
        <f> Mechanics Bank</f>
        <v/>
      </c>
      <c r="I50" s="7" t="inlineStr">
        <is>
          <t>✓ covered — Mechanics Bank</t>
        </is>
      </c>
    </row>
    <row r="51">
      <c r="A51" t="inlineStr">
        <is>
          <t>58310</t>
        </is>
      </c>
      <c r="B51" t="inlineStr">
        <is>
          <t>US Metro Bank</t>
        </is>
      </c>
      <c r="C51" t="inlineStr">
        <is>
          <t>7</t>
        </is>
      </c>
      <c r="D51" t="inlineStr">
        <is>
          <t>1125216</t>
        </is>
      </c>
      <c r="E51" t="inlineStr">
        <is>
          <t>Los +Oran</t>
        </is>
      </c>
      <c r="F51" t="inlineStr">
        <is>
          <t>Y</t>
        </is>
      </c>
      <c r="G51" t="inlineStr">
        <is>
          <t>COVERED</t>
        </is>
      </c>
      <c r="H51">
        <f> US Metro Bank</f>
        <v/>
      </c>
      <c r="I51" s="7" t="inlineStr">
        <is>
          <t>✓ covered — US Metro Bank</t>
        </is>
      </c>
    </row>
    <row r="52">
      <c r="A52" t="inlineStr">
        <is>
          <t>57903</t>
        </is>
      </c>
      <c r="B52" t="inlineStr">
        <is>
          <t>Poppy Bank</t>
        </is>
      </c>
      <c r="C52" t="inlineStr">
        <is>
          <t>7</t>
        </is>
      </c>
      <c r="D52" t="inlineStr">
        <is>
          <t>693420</t>
        </is>
      </c>
      <c r="E52" t="inlineStr">
        <is>
          <t>Los +Oran</t>
        </is>
      </c>
      <c r="F52" t="inlineStr">
        <is>
          <t>N</t>
        </is>
      </c>
      <c r="G52" t="inlineStr">
        <is>
          <t>COVERED</t>
        </is>
      </c>
      <c r="H52">
        <f> Poppy Bank</f>
        <v/>
      </c>
      <c r="I52" s="7" t="inlineStr">
        <is>
          <t>✓ covered — Poppy Bank</t>
        </is>
      </c>
    </row>
    <row r="53">
      <c r="A53" t="inlineStr">
        <is>
          <t>28088</t>
        </is>
      </c>
      <c r="B53" t="inlineStr">
        <is>
          <t>Washington Federal Bank</t>
        </is>
      </c>
      <c r="C53" t="inlineStr">
        <is>
          <t>6</t>
        </is>
      </c>
      <c r="D53" t="inlineStr">
        <is>
          <t>1777498</t>
        </is>
      </c>
      <c r="E53" t="inlineStr">
        <is>
          <t xml:space="preserve">Los </t>
        </is>
      </c>
      <c r="F53" t="inlineStr">
        <is>
          <t>N</t>
        </is>
      </c>
      <c r="G53" t="inlineStr">
        <is>
          <t>COVERED</t>
        </is>
      </c>
      <c r="H53">
        <f> Washington Federal</f>
        <v/>
      </c>
      <c r="I53" s="7" t="inlineStr">
        <is>
          <t>✓ covered — WaFd Bank</t>
        </is>
      </c>
    </row>
    <row r="54">
      <c r="A54" t="inlineStr">
        <is>
          <t>57873</t>
        </is>
      </c>
      <c r="B54" t="inlineStr">
        <is>
          <t>Commonwealth Business Bank</t>
        </is>
      </c>
      <c r="C54" t="inlineStr">
        <is>
          <t>6</t>
        </is>
      </c>
      <c r="D54" t="inlineStr">
        <is>
          <t>1106590</t>
        </is>
      </c>
      <c r="E54" t="inlineStr">
        <is>
          <t>Los +Oran</t>
        </is>
      </c>
      <c r="F54" t="inlineStr">
        <is>
          <t>Y</t>
        </is>
      </c>
      <c r="G54" t="inlineStr">
        <is>
          <t>COVERED</t>
        </is>
      </c>
      <c r="H54">
        <f> Commonwealth Business Bank (CBB)</f>
        <v/>
      </c>
      <c r="I54" s="7" t="inlineStr">
        <is>
          <t>✓ covered — Commonwealth Business Bank (CBB)</t>
        </is>
      </c>
    </row>
    <row r="55">
      <c r="A55" t="inlineStr">
        <is>
          <t>27237</t>
        </is>
      </c>
      <c r="B55" t="inlineStr">
        <is>
          <t>Enterprise Bank &amp; Trust</t>
        </is>
      </c>
      <c r="C55" t="inlineStr">
        <is>
          <t>6</t>
        </is>
      </c>
      <c r="D55" t="inlineStr">
        <is>
          <t>971965</t>
        </is>
      </c>
      <c r="E55" t="inlineStr">
        <is>
          <t>Los +Oran</t>
        </is>
      </c>
      <c r="F55" t="inlineStr">
        <is>
          <t>N</t>
        </is>
      </c>
      <c r="G55" t="inlineStr">
        <is>
          <t>COVERED</t>
        </is>
      </c>
      <c r="H55">
        <f> Enterprise Bank &amp; Trust</f>
        <v/>
      </c>
      <c r="I55" s="7" t="inlineStr">
        <is>
          <t>✓ covered — Enterprise Bank &amp; Trust</t>
        </is>
      </c>
    </row>
    <row r="56">
      <c r="A56" t="inlineStr">
        <is>
          <t>21606</t>
        </is>
      </c>
      <c r="B56" t="inlineStr">
        <is>
          <t>HCN Bank</t>
        </is>
      </c>
      <c r="C56" t="inlineStr">
        <is>
          <t>6</t>
        </is>
      </c>
      <c r="D56" t="inlineStr">
        <is>
          <t>843127</t>
        </is>
      </c>
      <c r="E56" t="inlineStr">
        <is>
          <t>Rive</t>
        </is>
      </c>
      <c r="F56" t="inlineStr">
        <is>
          <t>Y</t>
        </is>
      </c>
      <c r="G56" t="inlineStr">
        <is>
          <t>COVERED</t>
        </is>
      </c>
      <c r="H56">
        <f> HCN Bank</f>
        <v/>
      </c>
      <c r="I56" s="7" t="inlineStr">
        <is>
          <t>✓ covered — HCN Bank</t>
        </is>
      </c>
    </row>
    <row r="57">
      <c r="A57" t="inlineStr">
        <is>
          <t>24920</t>
        </is>
      </c>
      <c r="B57" t="inlineStr">
        <is>
          <t>Woori America Bank</t>
        </is>
      </c>
      <c r="C57" t="inlineStr">
        <is>
          <t>6</t>
        </is>
      </c>
      <c r="D57" t="inlineStr">
        <is>
          <t>572636</t>
        </is>
      </c>
      <c r="E57" t="inlineStr">
        <is>
          <t>Los +Oran</t>
        </is>
      </c>
      <c r="F57" t="inlineStr">
        <is>
          <t>N</t>
        </is>
      </c>
      <c r="G57" t="inlineStr">
        <is>
          <t>COVERED</t>
        </is>
      </c>
      <c r="H57">
        <f> Woori America Bank</f>
        <v/>
      </c>
      <c r="I57" s="7" t="inlineStr">
        <is>
          <t>✓ covered — Woori America Bank</t>
        </is>
      </c>
    </row>
    <row r="58">
      <c r="A58" t="inlineStr">
        <is>
          <t>34010</t>
        </is>
      </c>
      <c r="B58" t="inlineStr">
        <is>
          <t>EverTrust Bank</t>
        </is>
      </c>
      <c r="C58" t="inlineStr">
        <is>
          <t>6</t>
        </is>
      </c>
      <c r="D58" t="inlineStr">
        <is>
          <t>499384</t>
        </is>
      </c>
      <c r="E58" t="inlineStr">
        <is>
          <t>Los +Oran</t>
        </is>
      </c>
      <c r="F58" t="inlineStr">
        <is>
          <t>Y</t>
        </is>
      </c>
      <c r="G58" t="inlineStr">
        <is>
          <t>COVERED</t>
        </is>
      </c>
      <c r="H58">
        <f> EverTrust Bank</f>
        <v/>
      </c>
      <c r="I58" s="7" t="inlineStr">
        <is>
          <t>✓ covered — EverTrust Bank</t>
        </is>
      </c>
    </row>
    <row r="59">
      <c r="A59" t="inlineStr">
        <is>
          <t>57417</t>
        </is>
      </c>
      <c r="B59" t="inlineStr">
        <is>
          <t>Commercial Bank of California</t>
        </is>
      </c>
      <c r="C59" t="inlineStr">
        <is>
          <t>5</t>
        </is>
      </c>
      <c r="D59" t="inlineStr">
        <is>
          <t>2291372</t>
        </is>
      </c>
      <c r="E59" t="inlineStr">
        <is>
          <t>Los +Oran</t>
        </is>
      </c>
      <c r="F59" t="inlineStr">
        <is>
          <t>Y</t>
        </is>
      </c>
      <c r="G59" t="inlineStr">
        <is>
          <t>COVERED</t>
        </is>
      </c>
      <c r="H59">
        <f> Commercial Bank of California</f>
        <v/>
      </c>
      <c r="I59" s="7" t="inlineStr">
        <is>
          <t>✓ covered — California Credit Union</t>
        </is>
      </c>
    </row>
    <row r="60">
      <c r="A60" t="inlineStr">
        <is>
          <t>32282</t>
        </is>
      </c>
      <c r="B60" t="inlineStr">
        <is>
          <t>Malaga Bank F.S.B.</t>
        </is>
      </c>
      <c r="C60" t="inlineStr">
        <is>
          <t>5</t>
        </is>
      </c>
      <c r="D60" t="inlineStr">
        <is>
          <t>927689</t>
        </is>
      </c>
      <c r="E60" t="inlineStr">
        <is>
          <t xml:space="preserve">Los </t>
        </is>
      </c>
      <c r="F60" t="inlineStr">
        <is>
          <t>Y</t>
        </is>
      </c>
      <c r="G60" t="inlineStr">
        <is>
          <t>COVERED</t>
        </is>
      </c>
      <c r="H60">
        <f> Malaga Bank F.S.B.</f>
        <v/>
      </c>
      <c r="I60" s="7" t="inlineStr">
        <is>
          <t>✓ covered — Malaga Bank F.S.B.</t>
        </is>
      </c>
    </row>
    <row r="61">
      <c r="A61" t="inlineStr">
        <is>
          <t>58060</t>
        </is>
      </c>
      <c r="B61" t="inlineStr">
        <is>
          <t>First General Bank</t>
        </is>
      </c>
      <c r="C61" t="inlineStr">
        <is>
          <t>5</t>
        </is>
      </c>
      <c r="D61" t="inlineStr">
        <is>
          <t>824031</t>
        </is>
      </c>
      <c r="E61" t="inlineStr">
        <is>
          <t>Los +Oran</t>
        </is>
      </c>
      <c r="F61" t="inlineStr">
        <is>
          <t>Y</t>
        </is>
      </c>
      <c r="G61" t="inlineStr">
        <is>
          <t>COVERED</t>
        </is>
      </c>
      <c r="H61">
        <f> First General Bank</f>
        <v/>
      </c>
      <c r="I61" s="7" t="inlineStr">
        <is>
          <t>✓ covered — First General Bank</t>
        </is>
      </c>
    </row>
    <row r="62">
      <c r="A62" t="inlineStr">
        <is>
          <t>34496</t>
        </is>
      </c>
      <c r="B62" t="inlineStr">
        <is>
          <t>First Commercial Bank (USA)</t>
        </is>
      </c>
      <c r="C62" t="inlineStr">
        <is>
          <t>5</t>
        </is>
      </c>
      <c r="D62" t="inlineStr">
        <is>
          <t>446788</t>
        </is>
      </c>
      <c r="E62" t="inlineStr">
        <is>
          <t xml:space="preserve">Los +Oran+San </t>
        </is>
      </c>
      <c r="F62" t="inlineStr">
        <is>
          <t>Y</t>
        </is>
      </c>
      <c r="G62" t="inlineStr">
        <is>
          <t>COVERED</t>
        </is>
      </c>
      <c r="H62">
        <f> First Commercial Bank (USA)</f>
        <v/>
      </c>
      <c r="I62" s="7" t="inlineStr">
        <is>
          <t>✓ covered — First Commercial Bank (USA)</t>
        </is>
      </c>
    </row>
    <row r="63">
      <c r="A63" t="inlineStr">
        <is>
          <t>57716</t>
        </is>
      </c>
      <c r="B63" t="inlineStr">
        <is>
          <t>United Business Bank</t>
        </is>
      </c>
      <c r="C63" t="inlineStr">
        <is>
          <t>5</t>
        </is>
      </c>
      <c r="D63" t="inlineStr">
        <is>
          <t>411377</t>
        </is>
      </c>
      <c r="E63" t="inlineStr">
        <is>
          <t>Los +Oran</t>
        </is>
      </c>
      <c r="F63" t="inlineStr">
        <is>
          <t>N</t>
        </is>
      </c>
      <c r="G63" t="inlineStr">
        <is>
          <t>COVERED</t>
        </is>
      </c>
      <c r="H63">
        <f> United Business Bank</f>
        <v/>
      </c>
      <c r="I63" s="7" t="inlineStr">
        <is>
          <t>✓ covered — United Business Bank</t>
        </is>
      </c>
    </row>
    <row r="64">
      <c r="A64" t="inlineStr">
        <is>
          <t>35366</t>
        </is>
      </c>
      <c r="B64" t="inlineStr">
        <is>
          <t>Chino Commercial Bank, N.A.</t>
        </is>
      </c>
      <c r="C64" t="inlineStr">
        <is>
          <t>5</t>
        </is>
      </c>
      <c r="D64" t="inlineStr">
        <is>
          <t>378797</t>
        </is>
      </c>
      <c r="E64" t="inlineStr">
        <is>
          <t xml:space="preserve">Rive+San </t>
        </is>
      </c>
      <c r="F64" t="inlineStr">
        <is>
          <t>Y</t>
        </is>
      </c>
      <c r="G64" t="inlineStr">
        <is>
          <t>COVERED</t>
        </is>
      </c>
      <c r="H64">
        <f> Chino Commercial Bank, N.A.</f>
        <v/>
      </c>
      <c r="I64" s="7" t="inlineStr">
        <is>
          <t>✓ covered — Chino Commercial Bank, N.A.</t>
        </is>
      </c>
    </row>
    <row r="65">
      <c r="A65" t="inlineStr">
        <is>
          <t>30722</t>
        </is>
      </c>
      <c r="B65" t="inlineStr">
        <is>
          <t>Universal Bank</t>
        </is>
      </c>
      <c r="C65" t="inlineStr">
        <is>
          <t>5</t>
        </is>
      </c>
      <c r="D65" t="inlineStr">
        <is>
          <t>266100</t>
        </is>
      </c>
      <c r="E65" t="inlineStr">
        <is>
          <t xml:space="preserve">Los </t>
        </is>
      </c>
      <c r="F65" t="inlineStr">
        <is>
          <t>Y</t>
        </is>
      </c>
      <c r="G65" t="inlineStr">
        <is>
          <t>COVERED</t>
        </is>
      </c>
      <c r="H65">
        <f> Universal Bank</f>
        <v/>
      </c>
      <c r="I65" s="7" t="inlineStr">
        <is>
          <t>✓ covered — Universal Bank</t>
        </is>
      </c>
    </row>
    <row r="66">
      <c r="A66" t="inlineStr">
        <is>
          <t>58469</t>
        </is>
      </c>
      <c r="B66" t="inlineStr">
        <is>
          <t>American Plus Bank, N.A.</t>
        </is>
      </c>
      <c r="C66" t="inlineStr">
        <is>
          <t>4</t>
        </is>
      </c>
      <c r="D66" t="inlineStr">
        <is>
          <t>717856</t>
        </is>
      </c>
      <c r="E66" t="inlineStr">
        <is>
          <t xml:space="preserve">Los </t>
        </is>
      </c>
      <c r="F66" t="inlineStr">
        <is>
          <t>Y</t>
        </is>
      </c>
      <c r="G66" t="inlineStr">
        <is>
          <t>COVERED</t>
        </is>
      </c>
      <c r="H66">
        <f> American Plus Bank, N.A.</f>
        <v/>
      </c>
      <c r="I66" s="7" t="inlineStr">
        <is>
          <t>✓ covered — American Plus Bank, N.A.</t>
        </is>
      </c>
    </row>
    <row r="67">
      <c r="A67" t="inlineStr">
        <is>
          <t>23998</t>
        </is>
      </c>
      <c r="B67" t="inlineStr">
        <is>
          <t>State Bank of India (California)</t>
        </is>
      </c>
      <c r="C67" t="inlineStr">
        <is>
          <t>4</t>
        </is>
      </c>
      <c r="D67" t="inlineStr">
        <is>
          <t>561046</t>
        </is>
      </c>
      <c r="E67" t="inlineStr">
        <is>
          <t xml:space="preserve">Los </t>
        </is>
      </c>
      <c r="F67" t="inlineStr">
        <is>
          <t>Y</t>
        </is>
      </c>
      <c r="G67" t="inlineStr">
        <is>
          <t>COVERED</t>
        </is>
      </c>
      <c r="H67">
        <f> State Bank of India (California)</f>
        <v/>
      </c>
      <c r="I67" s="7" t="inlineStr">
        <is>
          <t>✓ covered — California Credit Union</t>
        </is>
      </c>
    </row>
    <row r="68">
      <c r="A68" t="inlineStr">
        <is>
          <t>58401</t>
        </is>
      </c>
      <c r="B68" t="inlineStr">
        <is>
          <t>Mega Bank</t>
        </is>
      </c>
      <c r="C68" t="inlineStr">
        <is>
          <t>4</t>
        </is>
      </c>
      <c r="D68" t="inlineStr">
        <is>
          <t>434578</t>
        </is>
      </c>
      <c r="E68" t="inlineStr">
        <is>
          <t>Los +Oran</t>
        </is>
      </c>
      <c r="F68" t="inlineStr">
        <is>
          <t>Y</t>
        </is>
      </c>
      <c r="G68" t="inlineStr">
        <is>
          <t>COVERED</t>
        </is>
      </c>
      <c r="H68">
        <f> Mega Bank</f>
        <v/>
      </c>
      <c r="I68" s="7" t="inlineStr">
        <is>
          <t>✓ covered — Mega Bank</t>
        </is>
      </c>
    </row>
    <row r="69">
      <c r="A69" t="inlineStr">
        <is>
          <t>23086</t>
        </is>
      </c>
      <c r="B69" t="inlineStr">
        <is>
          <t>New OMNI Bank, National Association</t>
        </is>
      </c>
      <c r="C69" t="inlineStr">
        <is>
          <t>4</t>
        </is>
      </c>
      <c r="D69" t="inlineStr">
        <is>
          <t>373768</t>
        </is>
      </c>
      <c r="E69" t="inlineStr">
        <is>
          <t>Los +Oran</t>
        </is>
      </c>
      <c r="F69" t="inlineStr">
        <is>
          <t>Y</t>
        </is>
      </c>
      <c r="G69" t="inlineStr">
        <is>
          <t>COVERED</t>
        </is>
      </c>
      <c r="H69">
        <f> New OMNI Bank, N.A.</f>
        <v/>
      </c>
      <c r="I69" s="7" t="inlineStr">
        <is>
          <t>✓ covered — New OMNI Bank, N.A.</t>
        </is>
      </c>
    </row>
    <row r="70">
      <c r="A70" t="inlineStr">
        <is>
          <t>33188</t>
        </is>
      </c>
      <c r="B70" t="inlineStr">
        <is>
          <t>Shinhan Bank America</t>
        </is>
      </c>
      <c r="C70" t="inlineStr">
        <is>
          <t>4</t>
        </is>
      </c>
      <c r="D70" t="inlineStr">
        <is>
          <t>368944</t>
        </is>
      </c>
      <c r="E70" t="inlineStr">
        <is>
          <t>Los +Oran</t>
        </is>
      </c>
      <c r="F70" t="inlineStr">
        <is>
          <t>N</t>
        </is>
      </c>
      <c r="G70" t="inlineStr">
        <is>
          <t>COVERED</t>
        </is>
      </c>
      <c r="H70">
        <f> Shinhan Bank America</f>
        <v/>
      </c>
      <c r="I70" s="7" t="inlineStr">
        <is>
          <t>✓ covered — Bank of America</t>
        </is>
      </c>
    </row>
    <row r="71">
      <c r="A71" t="inlineStr">
        <is>
          <t>22366</t>
        </is>
      </c>
      <c r="B71" t="inlineStr">
        <is>
          <t>GBC International Bank</t>
        </is>
      </c>
      <c r="C71" t="inlineStr">
        <is>
          <t>4</t>
        </is>
      </c>
      <c r="D71" t="inlineStr">
        <is>
          <t>319052</t>
        </is>
      </c>
      <c r="E71" t="inlineStr">
        <is>
          <t>Los +Oran</t>
        </is>
      </c>
      <c r="F71" t="inlineStr">
        <is>
          <t>Y</t>
        </is>
      </c>
      <c r="G71" t="inlineStr">
        <is>
          <t>COVERED</t>
        </is>
      </c>
      <c r="H71">
        <f> GBC International Bank</f>
        <v/>
      </c>
      <c r="I71" s="7" t="inlineStr">
        <is>
          <t>✓ covered — GBC International Bank</t>
        </is>
      </c>
    </row>
    <row r="72">
      <c r="A72" t="inlineStr">
        <is>
          <t>26363</t>
        </is>
      </c>
      <c r="B72" t="inlineStr">
        <is>
          <t>Community Commerce Bank</t>
        </is>
      </c>
      <c r="C72" t="inlineStr">
        <is>
          <t>4</t>
        </is>
      </c>
      <c r="D72" t="inlineStr">
        <is>
          <t>298478</t>
        </is>
      </c>
      <c r="E72" t="inlineStr">
        <is>
          <t xml:space="preserve">Los </t>
        </is>
      </c>
      <c r="F72" t="inlineStr">
        <is>
          <t>Y</t>
        </is>
      </c>
      <c r="G72" t="inlineStr">
        <is>
          <t>COVERED</t>
        </is>
      </c>
      <c r="H72">
        <f> Community Commerce Bank</f>
        <v/>
      </c>
      <c r="I72" s="7" t="inlineStr">
        <is>
          <t>✓ covered — Community Commerce Bank</t>
        </is>
      </c>
    </row>
    <row r="73">
      <c r="A73" t="inlineStr">
        <is>
          <t>58218</t>
        </is>
      </c>
      <c r="B73" t="inlineStr">
        <is>
          <t>First Pacific Bank</t>
        </is>
      </c>
      <c r="C73" t="inlineStr">
        <is>
          <t>4</t>
        </is>
      </c>
      <c r="D73" t="inlineStr">
        <is>
          <t>290962</t>
        </is>
      </c>
      <c r="E73" t="inlineStr">
        <is>
          <t xml:space="preserve">Los +Oran+San </t>
        </is>
      </c>
      <c r="F73" t="inlineStr">
        <is>
          <t>Y</t>
        </is>
      </c>
      <c r="G73" t="inlineStr">
        <is>
          <t>COVERED</t>
        </is>
      </c>
      <c r="H73">
        <f> First Pacific Bank</f>
        <v/>
      </c>
      <c r="I73" s="7" t="inlineStr">
        <is>
          <t>✓ covered — First Pacific Bank</t>
        </is>
      </c>
    </row>
    <row r="74">
      <c r="A74" t="inlineStr">
        <is>
          <t>57444</t>
        </is>
      </c>
      <c r="B74" t="inlineStr">
        <is>
          <t>American Continental Bank</t>
        </is>
      </c>
      <c r="C74" t="inlineStr">
        <is>
          <t>4</t>
        </is>
      </c>
      <c r="D74" t="inlineStr">
        <is>
          <t>288086</t>
        </is>
      </c>
      <c r="E74" t="inlineStr">
        <is>
          <t xml:space="preserve">Los +San </t>
        </is>
      </c>
      <c r="F74" t="inlineStr">
        <is>
          <t>Y</t>
        </is>
      </c>
      <c r="G74" t="inlineStr">
        <is>
          <t>COVERED</t>
        </is>
      </c>
      <c r="H74">
        <f> American Continental Bank</f>
        <v/>
      </c>
      <c r="I74" s="7" t="inlineStr">
        <is>
          <t>✓ covered — American Continental Bank</t>
        </is>
      </c>
    </row>
    <row r="75">
      <c r="A75" t="inlineStr">
        <is>
          <t>20164</t>
        </is>
      </c>
      <c r="B75" t="inlineStr">
        <is>
          <t>Sunwest Bank</t>
        </is>
      </c>
      <c r="C75" t="inlineStr">
        <is>
          <t>3</t>
        </is>
      </c>
      <c r="D75" t="inlineStr">
        <is>
          <t>2421811</t>
        </is>
      </c>
      <c r="E75" t="inlineStr">
        <is>
          <t>Oran</t>
        </is>
      </c>
      <c r="F75" t="inlineStr">
        <is>
          <t>N</t>
        </is>
      </c>
      <c r="G75" t="inlineStr">
        <is>
          <t>COVERED</t>
        </is>
      </c>
      <c r="H75">
        <f> Sunwest Bank</f>
        <v/>
      </c>
      <c r="I75" s="7" t="inlineStr">
        <is>
          <t>✓ covered — Sunwest Bank</t>
        </is>
      </c>
    </row>
    <row r="76">
      <c r="A76" t="inlineStr">
        <is>
          <t>4063</t>
        </is>
      </c>
      <c r="B76" t="inlineStr">
        <is>
          <t>MidFirst Bank</t>
        </is>
      </c>
      <c r="C76" t="inlineStr">
        <is>
          <t>3</t>
        </is>
      </c>
      <c r="D76" t="inlineStr">
        <is>
          <t>2125789</t>
        </is>
      </c>
      <c r="E76" t="inlineStr">
        <is>
          <t xml:space="preserve">Los </t>
        </is>
      </c>
      <c r="F76" t="inlineStr">
        <is>
          <t>N</t>
        </is>
      </c>
      <c r="G76" t="inlineStr">
        <is>
          <t>COVERED</t>
        </is>
      </c>
      <c r="H76">
        <f> First Bank</f>
        <v/>
      </c>
      <c r="I76" s="7" t="inlineStr">
        <is>
          <t>✓ covered — MidFirst Bank</t>
        </is>
      </c>
    </row>
    <row r="77">
      <c r="A77" t="inlineStr">
        <is>
          <t>58291</t>
        </is>
      </c>
      <c r="B77" t="inlineStr">
        <is>
          <t>CalPrivate Bank</t>
        </is>
      </c>
      <c r="C77" t="inlineStr">
        <is>
          <t>3</t>
        </is>
      </c>
      <c r="D77" t="inlineStr">
        <is>
          <t>921464</t>
        </is>
      </c>
      <c r="E77" t="inlineStr">
        <is>
          <t>Los +Oran</t>
        </is>
      </c>
      <c r="F77" t="inlineStr">
        <is>
          <t>N</t>
        </is>
      </c>
      <c r="G77" t="inlineStr">
        <is>
          <t>COVERED</t>
        </is>
      </c>
      <c r="H77">
        <f> CalPrivate Bank</f>
        <v/>
      </c>
      <c r="I77" s="7" t="inlineStr">
        <is>
          <t>✓ covered — CalPrivate Bank</t>
        </is>
      </c>
    </row>
    <row r="78">
      <c r="A78" t="inlineStr">
        <is>
          <t>57585</t>
        </is>
      </c>
      <c r="B78" t="inlineStr">
        <is>
          <t>Golden State Bank</t>
        </is>
      </c>
      <c r="C78" t="inlineStr">
        <is>
          <t>3</t>
        </is>
      </c>
      <c r="D78" t="inlineStr">
        <is>
          <t>788879</t>
        </is>
      </c>
      <c r="E78" t="inlineStr">
        <is>
          <t xml:space="preserve">Los +San </t>
        </is>
      </c>
      <c r="F78" t="inlineStr">
        <is>
          <t>Y</t>
        </is>
      </c>
      <c r="G78" t="inlineStr">
        <is>
          <t>COVERED</t>
        </is>
      </c>
      <c r="H78">
        <f> Golden State Bank</f>
        <v/>
      </c>
      <c r="I78" s="7" t="inlineStr">
        <is>
          <t>✓ covered — Golden State Bank</t>
        </is>
      </c>
    </row>
    <row r="79">
      <c r="A79" t="inlineStr">
        <is>
          <t>57101</t>
        </is>
      </c>
      <c r="B79" t="inlineStr">
        <is>
          <t>Mission Valley Bank</t>
        </is>
      </c>
      <c r="C79" t="inlineStr">
        <is>
          <t>3</t>
        </is>
      </c>
      <c r="D79" t="inlineStr">
        <is>
          <t>599566</t>
        </is>
      </c>
      <c r="E79" t="inlineStr">
        <is>
          <t xml:space="preserve">Los </t>
        </is>
      </c>
      <c r="F79" t="inlineStr">
        <is>
          <t>Y</t>
        </is>
      </c>
      <c r="G79" t="inlineStr">
        <is>
          <t>COVERED</t>
        </is>
      </c>
      <c r="H79">
        <f> Mission Valley Bank</f>
        <v/>
      </c>
      <c r="I79" s="7" t="inlineStr">
        <is>
          <t>✓ covered — Mission Valley Bank</t>
        </is>
      </c>
    </row>
    <row r="80">
      <c r="A80" t="inlineStr">
        <is>
          <t>59245</t>
        </is>
      </c>
      <c r="B80" t="inlineStr">
        <is>
          <t>Genesis Bank</t>
        </is>
      </c>
      <c r="C80" t="inlineStr">
        <is>
          <t>3</t>
        </is>
      </c>
      <c r="D80" t="inlineStr">
        <is>
          <t>429619</t>
        </is>
      </c>
      <c r="E80" t="inlineStr">
        <is>
          <t>Los +Oran+Rive</t>
        </is>
      </c>
      <c r="F80" t="inlineStr">
        <is>
          <t>Y</t>
        </is>
      </c>
      <c r="G80" t="inlineStr">
        <is>
          <t>COVERED</t>
        </is>
      </c>
      <c r="H80">
        <f> Genesis Bank</f>
        <v/>
      </c>
      <c r="I80" s="7" t="inlineStr">
        <is>
          <t>✓ covered — Genesis Bank</t>
        </is>
      </c>
    </row>
    <row r="81">
      <c r="A81" t="inlineStr">
        <is>
          <t>58234</t>
        </is>
      </c>
      <c r="B81" t="inlineStr">
        <is>
          <t>Pacific Alliance Bank</t>
        </is>
      </c>
      <c r="C81" t="inlineStr">
        <is>
          <t>3</t>
        </is>
      </c>
      <c r="D81" t="inlineStr">
        <is>
          <t>348048</t>
        </is>
      </c>
      <c r="E81" t="inlineStr">
        <is>
          <t>Los +Oran</t>
        </is>
      </c>
      <c r="F81" t="inlineStr">
        <is>
          <t>Y</t>
        </is>
      </c>
      <c r="G81" t="inlineStr">
        <is>
          <t>COVERED</t>
        </is>
      </c>
      <c r="H81">
        <f> Pacific Alliance Bank</f>
        <v/>
      </c>
      <c r="I81" s="7" t="inlineStr">
        <is>
          <t>✓ covered — Pacific Alliance Bank</t>
        </is>
      </c>
    </row>
    <row r="82">
      <c r="A82" t="inlineStr">
        <is>
          <t>57512</t>
        </is>
      </c>
      <c r="B82" t="inlineStr">
        <is>
          <t>Western Alliance Bank</t>
        </is>
      </c>
      <c r="C82" t="inlineStr">
        <is>
          <t>2</t>
        </is>
      </c>
      <c r="D82" t="inlineStr">
        <is>
          <t>1360406</t>
        </is>
      </c>
      <c r="E82" t="inlineStr">
        <is>
          <t xml:space="preserve">Los </t>
        </is>
      </c>
      <c r="F82" t="inlineStr">
        <is>
          <t>N</t>
        </is>
      </c>
      <c r="G82" t="inlineStr">
        <is>
          <t>COVERED</t>
        </is>
      </c>
      <c r="H82">
        <f> Western Alliance Bank</f>
        <v/>
      </c>
      <c r="I82" s="7" t="inlineStr">
        <is>
          <t>✓ covered — Western Alliance Bank</t>
        </is>
      </c>
    </row>
    <row r="83">
      <c r="A83" t="inlineStr">
        <is>
          <t>17266</t>
        </is>
      </c>
      <c r="B83" t="inlineStr">
        <is>
          <t>Umpqua Bank</t>
        </is>
      </c>
      <c r="C83" t="inlineStr">
        <is>
          <t>2</t>
        </is>
      </c>
      <c r="D83" t="inlineStr">
        <is>
          <t>920378</t>
        </is>
      </c>
      <c r="E83" t="inlineStr">
        <is>
          <t>Los +Oran</t>
        </is>
      </c>
      <c r="F83" t="inlineStr">
        <is>
          <t>N</t>
        </is>
      </c>
      <c r="G83" t="inlineStr">
        <is>
          <t>COVERED</t>
        </is>
      </c>
      <c r="H83">
        <f> Umpqua Bank (Columbia)</f>
        <v/>
      </c>
      <c r="I83" s="7" t="inlineStr">
        <is>
          <t>✓ covered — Umpqua Bank (Columbia)</t>
        </is>
      </c>
    </row>
    <row r="84">
      <c r="A84" t="inlineStr">
        <is>
          <t>58588</t>
        </is>
      </c>
      <c r="B84" t="inlineStr">
        <is>
          <t>Partners Bank of California</t>
        </is>
      </c>
      <c r="C84" t="inlineStr">
        <is>
          <t>2</t>
        </is>
      </c>
      <c r="D84" t="inlineStr">
        <is>
          <t>577785</t>
        </is>
      </c>
      <c r="E84" t="inlineStr">
        <is>
          <t>Los +Oran</t>
        </is>
      </c>
      <c r="F84" t="inlineStr">
        <is>
          <t>Y</t>
        </is>
      </c>
      <c r="G84" t="inlineStr">
        <is>
          <t>COVERED</t>
        </is>
      </c>
      <c r="H84">
        <f> Partners Bank of California</f>
        <v/>
      </c>
      <c r="I84" s="7" t="inlineStr">
        <is>
          <t>✓ covered — California Credit Union</t>
        </is>
      </c>
    </row>
    <row r="85">
      <c r="A85" t="inlineStr">
        <is>
          <t>34352</t>
        </is>
      </c>
      <c r="B85" t="inlineStr">
        <is>
          <t>City First Bank, National Association</t>
        </is>
      </c>
      <c r="C85" t="inlineStr">
        <is>
          <t>2</t>
        </is>
      </c>
      <c r="D85" t="inlineStr">
        <is>
          <t>254982</t>
        </is>
      </c>
      <c r="E85" t="inlineStr">
        <is>
          <t xml:space="preserve">Los </t>
        </is>
      </c>
      <c r="F85" t="inlineStr">
        <is>
          <t>N</t>
        </is>
      </c>
      <c r="G85" t="inlineStr">
        <is>
          <t>COVERED</t>
        </is>
      </c>
      <c r="H85">
        <f> First Bank</f>
        <v/>
      </c>
      <c r="I85" s="7" t="inlineStr">
        <is>
          <t>✓ covered — City First Bank, N.A.</t>
        </is>
      </c>
    </row>
    <row r="86">
      <c r="A86" t="inlineStr">
        <is>
          <t>9396</t>
        </is>
      </c>
      <c r="B86" t="inlineStr">
        <is>
          <t>Valley National Bank</t>
        </is>
      </c>
      <c r="C86" t="inlineStr">
        <is>
          <t>2</t>
        </is>
      </c>
      <c r="D86" t="inlineStr">
        <is>
          <t>220315</t>
        </is>
      </c>
      <c r="E86" t="inlineStr">
        <is>
          <t xml:space="preserve">Los </t>
        </is>
      </c>
      <c r="F86" t="inlineStr">
        <is>
          <t>N</t>
        </is>
      </c>
      <c r="G86" t="inlineStr">
        <is>
          <t>COVERED</t>
        </is>
      </c>
      <c r="H86">
        <f> Valley National Bank</f>
        <v/>
      </c>
      <c r="I86" s="7" t="inlineStr">
        <is>
          <t>✓ covered — Valley National Bank</t>
        </is>
      </c>
    </row>
    <row r="87">
      <c r="A87" t="inlineStr">
        <is>
          <t>23805</t>
        </is>
      </c>
      <c r="B87" t="inlineStr">
        <is>
          <t>United Pacific Bank</t>
        </is>
      </c>
      <c r="C87" t="inlineStr">
        <is>
          <t>2</t>
        </is>
      </c>
      <c r="D87" t="inlineStr">
        <is>
          <t>142596</t>
        </is>
      </c>
      <c r="E87" t="inlineStr">
        <is>
          <t xml:space="preserve">Los </t>
        </is>
      </c>
      <c r="F87" t="inlineStr">
        <is>
          <t>Y</t>
        </is>
      </c>
      <c r="G87" t="inlineStr">
        <is>
          <t>COVERED</t>
        </is>
      </c>
      <c r="H87">
        <f> United Pacific Bank</f>
        <v/>
      </c>
      <c r="I87" s="7" t="inlineStr">
        <is>
          <t>✓ covered — United Pacific Bank</t>
        </is>
      </c>
    </row>
    <row r="88">
      <c r="A88" t="inlineStr">
        <is>
          <t>59314</t>
        </is>
      </c>
      <c r="B88" t="inlineStr">
        <is>
          <t>Icon Business Bank</t>
        </is>
      </c>
      <c r="C88" t="inlineStr">
        <is>
          <t>2</t>
        </is>
      </c>
      <c r="D88" t="inlineStr">
        <is>
          <t>138048</t>
        </is>
      </c>
      <c r="E88" t="inlineStr">
        <is>
          <t>Oran+Rive</t>
        </is>
      </c>
      <c r="F88" t="inlineStr">
        <is>
          <t>Y</t>
        </is>
      </c>
      <c r="G88" t="inlineStr">
        <is>
          <t>COVERED</t>
        </is>
      </c>
      <c r="H88">
        <f> Icon Business Bank</f>
        <v/>
      </c>
      <c r="I88" s="7" t="inlineStr">
        <is>
          <t>✓ covered — Icon Business Bank</t>
        </is>
      </c>
    </row>
    <row r="89">
      <c r="A89" t="inlineStr">
        <is>
          <t>20845</t>
        </is>
      </c>
      <c r="B89" t="inlineStr">
        <is>
          <t>Wallis Bank</t>
        </is>
      </c>
      <c r="C89" t="inlineStr">
        <is>
          <t>2</t>
        </is>
      </c>
      <c r="D89" t="inlineStr">
        <is>
          <t>108598</t>
        </is>
      </c>
      <c r="E89" t="inlineStr">
        <is>
          <t xml:space="preserve">Los </t>
        </is>
      </c>
      <c r="F89" t="inlineStr">
        <is>
          <t>N</t>
        </is>
      </c>
      <c r="G89" t="inlineStr">
        <is>
          <t>COVERED</t>
        </is>
      </c>
      <c r="H89">
        <f> Wallis Bank</f>
        <v/>
      </c>
      <c r="I89" s="7" t="inlineStr">
        <is>
          <t>✓ covered — Wallis Bank</t>
        </is>
      </c>
    </row>
    <row r="90">
      <c r="A90" t="inlineStr">
        <is>
          <t>32277</t>
        </is>
      </c>
      <c r="B90" t="inlineStr">
        <is>
          <t>Eastern International Bank</t>
        </is>
      </c>
      <c r="C90" t="inlineStr">
        <is>
          <t>2</t>
        </is>
      </c>
      <c r="D90" t="inlineStr">
        <is>
          <t>91688</t>
        </is>
      </c>
      <c r="E90" t="inlineStr">
        <is>
          <t xml:space="preserve">Los </t>
        </is>
      </c>
      <c r="F90" t="inlineStr">
        <is>
          <t>Y</t>
        </is>
      </c>
      <c r="G90" t="inlineStr">
        <is>
          <t>COVERED</t>
        </is>
      </c>
      <c r="H90">
        <f> Eastern International Bank</f>
        <v/>
      </c>
      <c r="I90" s="7" t="inlineStr">
        <is>
          <t>✓ covered — Eastern International Bank</t>
        </is>
      </c>
    </row>
    <row r="91">
      <c r="A91" t="inlineStr">
        <is>
          <t>26704</t>
        </is>
      </c>
      <c r="B91" t="inlineStr">
        <is>
          <t>Balboa Thrift and Loan Association</t>
        </is>
      </c>
      <c r="C91" t="inlineStr">
        <is>
          <t>2</t>
        </is>
      </c>
      <c r="D91" t="inlineStr">
        <is>
          <t>61940</t>
        </is>
      </c>
      <c r="E91" t="inlineStr">
        <is>
          <t>Los +Rive</t>
        </is>
      </c>
      <c r="F91" t="inlineStr">
        <is>
          <t>N</t>
        </is>
      </c>
      <c r="G91" t="inlineStr">
        <is>
          <t>COVERED</t>
        </is>
      </c>
      <c r="H91">
        <f> Balboa Thrift and Loan Association</f>
        <v/>
      </c>
      <c r="I91" s="7" t="inlineStr">
        <is>
          <t>✓ covered — Balboa Thrift and Loan Association</t>
        </is>
      </c>
    </row>
    <row r="92">
      <c r="A92" t="inlineStr">
        <is>
          <t>33013</t>
        </is>
      </c>
      <c r="B92" t="inlineStr">
        <is>
          <t>Asian Pacific National Bank</t>
        </is>
      </c>
      <c r="C92" t="inlineStr">
        <is>
          <t>2</t>
        </is>
      </c>
      <c r="D92" t="inlineStr">
        <is>
          <t>44160</t>
        </is>
      </c>
      <c r="E92" t="inlineStr">
        <is>
          <t xml:space="preserve">Los </t>
        </is>
      </c>
      <c r="F92" t="inlineStr">
        <is>
          <t>Y</t>
        </is>
      </c>
      <c r="G92" t="inlineStr">
        <is>
          <t>COVERED</t>
        </is>
      </c>
      <c r="H92">
        <f> Asian Pacific National Bank</f>
        <v/>
      </c>
      <c r="I92" s="7" t="inlineStr">
        <is>
          <t>✓ covered — Asian Pacific National Bank</t>
        </is>
      </c>
    </row>
    <row r="93">
      <c r="A93" t="inlineStr">
        <is>
          <t>26312</t>
        </is>
      </c>
      <c r="B93" t="inlineStr">
        <is>
          <t>First American Trust, FSB</t>
        </is>
      </c>
      <c r="C93" t="inlineStr">
        <is>
          <t>1</t>
        </is>
      </c>
      <c r="D93" t="inlineStr">
        <is>
          <t>5548035</t>
        </is>
      </c>
      <c r="E93" t="inlineStr">
        <is>
          <t>Oran</t>
        </is>
      </c>
      <c r="F93" t="inlineStr">
        <is>
          <t>Y</t>
        </is>
      </c>
      <c r="G93" t="inlineStr">
        <is>
          <t>COVERED</t>
        </is>
      </c>
      <c r="H93">
        <f> First American Trust, FSB</f>
        <v/>
      </c>
      <c r="I93" s="7" t="inlineStr">
        <is>
          <t>✓ covered — First American Trust, FSB</t>
        </is>
      </c>
    </row>
    <row r="94">
      <c r="A94" t="inlineStr">
        <is>
          <t>34788</t>
        </is>
      </c>
      <c r="B94" t="inlineStr">
        <is>
          <t>American Business Bank</t>
        </is>
      </c>
      <c r="C94" t="inlineStr">
        <is>
          <t>1</t>
        </is>
      </c>
      <c r="D94" t="inlineStr">
        <is>
          <t>3872215</t>
        </is>
      </c>
      <c r="E94" t="inlineStr">
        <is>
          <t xml:space="preserve">Los </t>
        </is>
      </c>
      <c r="F94" t="inlineStr">
        <is>
          <t>Y</t>
        </is>
      </c>
      <c r="G94" t="inlineStr">
        <is>
          <t>COVERED</t>
        </is>
      </c>
      <c r="H94">
        <f> American Business Bank</f>
        <v/>
      </c>
      <c r="I94" s="7" t="inlineStr">
        <is>
          <t>✓ covered — American Business Bank</t>
        </is>
      </c>
    </row>
    <row r="95">
      <c r="A95" t="inlineStr">
        <is>
          <t>33661</t>
        </is>
      </c>
      <c r="B95" t="inlineStr">
        <is>
          <t>Mizrahi Tefahot Bank, Ltd.</t>
        </is>
      </c>
      <c r="C95" t="inlineStr">
        <is>
          <t>1</t>
        </is>
      </c>
      <c r="D95" t="inlineStr">
        <is>
          <t>3309713</t>
        </is>
      </c>
      <c r="E95" t="inlineStr">
        <is>
          <t xml:space="preserve">Los </t>
        </is>
      </c>
      <c r="F95" t="inlineStr">
        <is>
          <t>Y</t>
        </is>
      </c>
      <c r="G95" t="inlineStr">
        <is>
          <t>COVERED</t>
        </is>
      </c>
      <c r="H95">
        <f> Mizrahi Tefahot Bank, Ltd. (UMTB USA)</f>
        <v/>
      </c>
      <c r="I95" s="7" t="inlineStr">
        <is>
          <t>✓ covered — Mizrahi Tefahot Bank, Ltd. (UMTB USA)</t>
        </is>
      </c>
    </row>
    <row r="96">
      <c r="A96" t="inlineStr">
        <is>
          <t>57176</t>
        </is>
      </c>
      <c r="B96" t="inlineStr">
        <is>
          <t>Commerce West Bank</t>
        </is>
      </c>
      <c r="C96" t="inlineStr">
        <is>
          <t>1</t>
        </is>
      </c>
      <c r="D96" t="inlineStr">
        <is>
          <t>1033703</t>
        </is>
      </c>
      <c r="E96" t="inlineStr">
        <is>
          <t>Oran</t>
        </is>
      </c>
      <c r="F96" t="inlineStr">
        <is>
          <t>Y</t>
        </is>
      </c>
      <c r="G96" t="inlineStr">
        <is>
          <t>COVERED</t>
        </is>
      </c>
      <c r="H96">
        <f> CommerceWest Bank (base row; TIB)</f>
        <v/>
      </c>
      <c r="I96" s="7" t="inlineStr">
        <is>
          <t>✓ covered — CommerceWest Bank</t>
        </is>
      </c>
    </row>
    <row r="97">
      <c r="A97" t="inlineStr">
        <is>
          <t>58590</t>
        </is>
      </c>
      <c r="B97" t="inlineStr">
        <is>
          <t>Nano Banc</t>
        </is>
      </c>
      <c r="C97" t="inlineStr">
        <is>
          <t>1</t>
        </is>
      </c>
      <c r="D97" t="inlineStr">
        <is>
          <t>804571</t>
        </is>
      </c>
      <c r="E97" t="inlineStr">
        <is>
          <t>Oran</t>
        </is>
      </c>
      <c r="F97" t="inlineStr">
        <is>
          <t>Y</t>
        </is>
      </c>
      <c r="G97" t="inlineStr">
        <is>
          <t>COVERED</t>
        </is>
      </c>
      <c r="H97">
        <f> Nano Banc</f>
        <v/>
      </c>
      <c r="I97" s="7" t="inlineStr">
        <is>
          <t>✓ covered — Nano Banc</t>
        </is>
      </c>
    </row>
    <row r="98">
      <c r="A98" t="inlineStr">
        <is>
          <t>34805</t>
        </is>
      </c>
      <c r="B98" t="inlineStr">
        <is>
          <t>Mission Bank</t>
        </is>
      </c>
      <c r="C98" t="inlineStr">
        <is>
          <t>1</t>
        </is>
      </c>
      <c r="D98" t="inlineStr">
        <is>
          <t>319948</t>
        </is>
      </c>
      <c r="E98" t="inlineStr">
        <is>
          <t xml:space="preserve">Los </t>
        </is>
      </c>
      <c r="F98" t="inlineStr">
        <is>
          <t>N</t>
        </is>
      </c>
      <c r="G98" t="inlineStr">
        <is>
          <t>COVERED</t>
        </is>
      </c>
      <c r="H98">
        <f> Mission Bank</f>
        <v/>
      </c>
      <c r="I98" s="7" t="inlineStr">
        <is>
          <t>✓ covered — Mission Bank</t>
        </is>
      </c>
    </row>
    <row r="99">
      <c r="A99" t="inlineStr">
        <is>
          <t>59098</t>
        </is>
      </c>
      <c r="B99" t="inlineStr">
        <is>
          <t>Infinity Bank</t>
        </is>
      </c>
      <c r="C99" t="inlineStr">
        <is>
          <t>1</t>
        </is>
      </c>
      <c r="D99" t="inlineStr">
        <is>
          <t>291622</t>
        </is>
      </c>
      <c r="E99" t="inlineStr">
        <is>
          <t>Oran</t>
        </is>
      </c>
      <c r="F99" t="inlineStr">
        <is>
          <t>Y</t>
        </is>
      </c>
      <c r="G99" t="inlineStr">
        <is>
          <t>COVERED</t>
        </is>
      </c>
      <c r="H99">
        <f> Infinity Bank</f>
        <v/>
      </c>
      <c r="I99" s="7" t="inlineStr">
        <is>
          <t>✓ covered — Infinity Bank</t>
        </is>
      </c>
    </row>
    <row r="100">
      <c r="A100" t="inlineStr">
        <is>
          <t>24332</t>
        </is>
      </c>
      <c r="B100" t="inlineStr">
        <is>
          <t>First Credit Bank</t>
        </is>
      </c>
      <c r="C100" t="inlineStr">
        <is>
          <t>1</t>
        </is>
      </c>
      <c r="D100" t="inlineStr">
        <is>
          <t>282355</t>
        </is>
      </c>
      <c r="E100" t="inlineStr">
        <is>
          <t xml:space="preserve">Los </t>
        </is>
      </c>
      <c r="F100" t="inlineStr">
        <is>
          <t>Y</t>
        </is>
      </c>
      <c r="G100" t="inlineStr">
        <is>
          <t>COVERED</t>
        </is>
      </c>
      <c r="H100">
        <f> First Credit Bank</f>
        <v/>
      </c>
      <c r="I100" s="7" t="inlineStr">
        <is>
          <t>✓ covered — First Credit Bank</t>
        </is>
      </c>
    </row>
    <row r="101">
      <c r="A101" t="inlineStr">
        <is>
          <t>58490</t>
        </is>
      </c>
      <c r="B101" t="inlineStr">
        <is>
          <t>Beneficial State Bank</t>
        </is>
      </c>
      <c r="C101" t="inlineStr">
        <is>
          <t>1</t>
        </is>
      </c>
      <c r="D101" t="inlineStr">
        <is>
          <t>219250</t>
        </is>
      </c>
      <c r="E101" t="inlineStr">
        <is>
          <t xml:space="preserve">Los </t>
        </is>
      </c>
      <c r="F101" t="inlineStr">
        <is>
          <t>N</t>
        </is>
      </c>
      <c r="G101" t="inlineStr">
        <is>
          <t>COVERED</t>
        </is>
      </c>
      <c r="H101">
        <f> Beneficial State Bank</f>
        <v/>
      </c>
      <c r="I101" s="7" t="inlineStr">
        <is>
          <t>✓ covered — Beneficial State Bank</t>
        </is>
      </c>
    </row>
    <row r="102">
      <c r="A102" t="inlineStr">
        <is>
          <t>35331</t>
        </is>
      </c>
      <c r="B102" t="inlineStr">
        <is>
          <t>Liberty Bank, National Association</t>
        </is>
      </c>
      <c r="C102" t="inlineStr">
        <is>
          <t>1</t>
        </is>
      </c>
      <c r="D102" t="inlineStr">
        <is>
          <t>179703</t>
        </is>
      </c>
      <c r="E102" t="inlineStr">
        <is>
          <t>Oran</t>
        </is>
      </c>
      <c r="F102" t="inlineStr">
        <is>
          <t>Y</t>
        </is>
      </c>
      <c r="G102" t="inlineStr">
        <is>
          <t>COVERED</t>
        </is>
      </c>
      <c r="H102">
        <f> Liberty Bank, N.A. (Irvine, CA)</f>
        <v/>
      </c>
      <c r="I102" s="7" t="inlineStr">
        <is>
          <t>✓ covered — Liberty Bank, N.A. (Irvine, CA)</t>
        </is>
      </c>
    </row>
    <row r="103">
      <c r="A103" t="inlineStr">
        <is>
          <t>59296</t>
        </is>
      </c>
      <c r="B103" t="inlineStr">
        <is>
          <t>Bank Irvine</t>
        </is>
      </c>
      <c r="C103" t="inlineStr">
        <is>
          <t>1</t>
        </is>
      </c>
      <c r="D103" t="inlineStr">
        <is>
          <t>164233</t>
        </is>
      </c>
      <c r="E103" t="inlineStr">
        <is>
          <t>Oran</t>
        </is>
      </c>
      <c r="F103" t="inlineStr">
        <is>
          <t>Y</t>
        </is>
      </c>
      <c r="G103" t="inlineStr">
        <is>
          <t>COVERED</t>
        </is>
      </c>
      <c r="H103">
        <f> Bank Irvine</f>
        <v/>
      </c>
      <c r="I103" s="7" t="inlineStr">
        <is>
          <t>✓ covered — Liberty Bank, N.A. (Irvine, CA)</t>
        </is>
      </c>
    </row>
    <row r="104">
      <c r="A104" t="inlineStr">
        <is>
          <t>24211</t>
        </is>
      </c>
      <c r="B104" t="inlineStr">
        <is>
          <t>Bank of Whittier, National Association</t>
        </is>
      </c>
      <c r="C104" t="inlineStr">
        <is>
          <t>1</t>
        </is>
      </c>
      <c r="D104" t="inlineStr">
        <is>
          <t>128556</t>
        </is>
      </c>
      <c r="E104" t="inlineStr">
        <is>
          <t xml:space="preserve">Los </t>
        </is>
      </c>
      <c r="F104" t="inlineStr">
        <is>
          <t>Y</t>
        </is>
      </c>
      <c r="G104" t="inlineStr">
        <is>
          <t>COVERED</t>
        </is>
      </c>
      <c r="H104">
        <f> Bank of Whittier, N.A.</f>
        <v/>
      </c>
      <c r="I104" s="7" t="inlineStr">
        <is>
          <t>✓ covered — Bank of Whittier, N.A.</t>
        </is>
      </c>
    </row>
    <row r="105">
      <c r="A105" t="inlineStr">
        <is>
          <t>59290</t>
        </is>
      </c>
      <c r="B105" t="inlineStr">
        <is>
          <t>Beach Cities Commercial Bank</t>
        </is>
      </c>
      <c r="C105" t="inlineStr">
        <is>
          <t>1</t>
        </is>
      </c>
      <c r="D105" t="inlineStr">
        <is>
          <t>108284</t>
        </is>
      </c>
      <c r="E105" t="inlineStr">
        <is>
          <t>Oran</t>
        </is>
      </c>
      <c r="F105" t="inlineStr">
        <is>
          <t>Y</t>
        </is>
      </c>
      <c r="G105" t="inlineStr">
        <is>
          <t>COVERED</t>
        </is>
      </c>
      <c r="H105">
        <f> Beach Cities Commercial Bank</f>
        <v/>
      </c>
      <c r="I105" s="7" t="inlineStr">
        <is>
          <t>✓ covered — Beach Cities Commercial Bank</t>
        </is>
      </c>
    </row>
    <row r="106">
      <c r="A106" t="inlineStr">
        <is>
          <t>58037</t>
        </is>
      </c>
      <c r="B106" t="inlineStr">
        <is>
          <t>California Business Bank</t>
        </is>
      </c>
      <c r="C106" t="inlineStr">
        <is>
          <t>1</t>
        </is>
      </c>
      <c r="D106" t="inlineStr">
        <is>
          <t>94272</t>
        </is>
      </c>
      <c r="E106" t="inlineStr">
        <is>
          <t>Oran</t>
        </is>
      </c>
      <c r="F106" t="inlineStr">
        <is>
          <t>Y</t>
        </is>
      </c>
      <c r="G106" t="inlineStr">
        <is>
          <t>COVERED</t>
        </is>
      </c>
      <c r="H106">
        <f> California Business Bank</f>
        <v/>
      </c>
      <c r="I106" s="7" t="inlineStr">
        <is>
          <t>✓ covered — California Credit Union</t>
        </is>
      </c>
    </row>
    <row r="107">
      <c r="A107" t="inlineStr">
        <is>
          <t>59204</t>
        </is>
      </c>
      <c r="B107" t="inlineStr">
        <is>
          <t>Legacy Bank</t>
        </is>
      </c>
      <c r="C107" t="inlineStr">
        <is>
          <t>1</t>
        </is>
      </c>
      <c r="D107" t="inlineStr">
        <is>
          <t>72724</t>
        </is>
      </c>
      <c r="E107" t="inlineStr">
        <is>
          <t>Rive</t>
        </is>
      </c>
      <c r="F107" t="inlineStr">
        <is>
          <t>Y</t>
        </is>
      </c>
      <c r="G107" t="inlineStr">
        <is>
          <t>COVERED</t>
        </is>
      </c>
      <c r="H107">
        <f> Legacy Bank (Murrieta, CA)</f>
        <v/>
      </c>
      <c r="I107" s="7" t="inlineStr">
        <is>
          <t>✓ covered — Legacy Bank (Murrieta, CA)</t>
        </is>
      </c>
    </row>
    <row r="108">
      <c r="A108" t="inlineStr">
        <is>
          <t>32908</t>
        </is>
      </c>
      <c r="B108" t="inlineStr">
        <is>
          <t>Tustin Community Bank</t>
        </is>
      </c>
      <c r="C108" t="inlineStr">
        <is>
          <t>1</t>
        </is>
      </c>
      <c r="D108" t="inlineStr">
        <is>
          <t>63278</t>
        </is>
      </c>
      <c r="E108" t="inlineStr">
        <is>
          <t>Oran</t>
        </is>
      </c>
      <c r="F108" t="inlineStr">
        <is>
          <t>Y</t>
        </is>
      </c>
      <c r="G108" t="inlineStr">
        <is>
          <t>COVERED</t>
        </is>
      </c>
      <c r="H108">
        <f> Tustin Community Bank</f>
        <v/>
      </c>
      <c r="I108" s="7" t="inlineStr">
        <is>
          <t>✓ covered — Tustin Community Bank</t>
        </is>
      </c>
    </row>
    <row r="109">
      <c r="A109" t="inlineStr">
        <is>
          <t>57974</t>
        </is>
      </c>
      <c r="B109" t="inlineStr">
        <is>
          <t>California International Bank, N.A.</t>
        </is>
      </c>
      <c r="C109" t="inlineStr">
        <is>
          <t>1</t>
        </is>
      </c>
      <c r="D109" t="inlineStr">
        <is>
          <t>62775</t>
        </is>
      </c>
      <c r="E109" t="inlineStr">
        <is>
          <t>Oran</t>
        </is>
      </c>
      <c r="F109" t="inlineStr">
        <is>
          <t>Y</t>
        </is>
      </c>
      <c r="G109" t="inlineStr">
        <is>
          <t>COVERED</t>
        </is>
      </c>
      <c r="H109">
        <f> California International Bank, N.A.</f>
        <v/>
      </c>
      <c r="I109" s="7" t="inlineStr">
        <is>
          <t>✓ covered — California Credit Union</t>
        </is>
      </c>
    </row>
    <row r="110">
      <c r="A110" t="inlineStr">
        <is>
          <t>25249</t>
        </is>
      </c>
      <c r="B110" t="inlineStr">
        <is>
          <t>C3bank, National Association</t>
        </is>
      </c>
      <c r="C110" t="inlineStr">
        <is>
          <t>1</t>
        </is>
      </c>
      <c r="D110" t="inlineStr">
        <is>
          <t>58045</t>
        </is>
      </c>
      <c r="E110" t="inlineStr">
        <is>
          <t>Rive</t>
        </is>
      </c>
      <c r="F110" t="inlineStr">
        <is>
          <t>N</t>
        </is>
      </c>
      <c r="G110" t="inlineStr">
        <is>
          <t>COVERED</t>
        </is>
      </c>
      <c r="H110">
        <f> C3bank, N.A.</f>
        <v/>
      </c>
      <c r="I110" s="7" t="inlineStr">
        <is>
          <t>✓ covered — C3bank, N.A.</t>
        </is>
      </c>
    </row>
    <row r="111">
      <c r="A111" t="inlineStr">
        <is>
          <t>58500</t>
        </is>
      </c>
      <c r="B111" t="inlineStr">
        <is>
          <t>Community Valley Bank</t>
        </is>
      </c>
      <c r="C111" t="inlineStr">
        <is>
          <t>1</t>
        </is>
      </c>
      <c r="D111" t="inlineStr">
        <is>
          <t>6829</t>
        </is>
      </c>
      <c r="E111" t="inlineStr">
        <is>
          <t>Rive</t>
        </is>
      </c>
      <c r="F111" t="inlineStr">
        <is>
          <t>N</t>
        </is>
      </c>
      <c r="G111" t="inlineStr">
        <is>
          <t>COVERED</t>
        </is>
      </c>
      <c r="H111">
        <f> Community Valley Bank (in 117 CA-HQ sweep)</f>
        <v/>
      </c>
      <c r="I111" s="7" t="inlineStr">
        <is>
          <t>✓ covered — Community Valley Bank</t>
        </is>
      </c>
    </row>
    <row r="112">
      <c r="A112" t="inlineStr">
        <is>
          <t>23472</t>
        </is>
      </c>
      <c r="B112" t="inlineStr">
        <is>
          <t>The Bank of New York Mellon Trust Company, National Association</t>
        </is>
      </c>
      <c r="C112" t="inlineStr">
        <is>
          <t>1</t>
        </is>
      </c>
      <c r="D112" t="inlineStr">
        <is>
          <t>797</t>
        </is>
      </c>
      <c r="E112" t="inlineStr">
        <is>
          <t xml:space="preserve">Los </t>
        </is>
      </c>
      <c r="F112" t="inlineStr">
        <is>
          <t>Y</t>
        </is>
      </c>
      <c r="G112" t="inlineStr">
        <is>
          <t>COVERED</t>
        </is>
      </c>
      <c r="H112">
        <f> The Bank of New York Mellon Trust Company, N.A.</f>
        <v/>
      </c>
      <c r="I112" s="7" t="inlineStr">
        <is>
          <t>✓ covered — The Bank of New York Mellon Trust Company, N.A.</t>
        </is>
      </c>
    </row>
    <row r="113">
      <c r="A113" t="inlineStr">
        <is>
          <t>35164</t>
        </is>
      </c>
      <c r="B113" t="inlineStr">
        <is>
          <t>Capital Bank and Trust Company</t>
        </is>
      </c>
      <c r="C113" t="inlineStr">
        <is>
          <t>1</t>
        </is>
      </c>
      <c r="D113" t="inlineStr">
        <is>
          <t>500</t>
        </is>
      </c>
      <c r="E113" t="inlineStr">
        <is>
          <t>Oran</t>
        </is>
      </c>
      <c r="F113" t="inlineStr">
        <is>
          <t>Y</t>
        </is>
      </c>
      <c r="G113" t="inlineStr">
        <is>
          <t>COVERED</t>
        </is>
      </c>
      <c r="H113">
        <f> Capital Bank and Trust Company</f>
        <v/>
      </c>
      <c r="I113" s="7" t="inlineStr">
        <is>
          <t>✓ covered — Capital Bank and Trust Company</t>
        </is>
      </c>
    </row>
    <row r="114">
      <c r="A114" t="inlineStr">
        <is>
          <t>57607</t>
        </is>
      </c>
      <c r="B114" t="inlineStr">
        <is>
          <t>First Western Trust Bank</t>
        </is>
      </c>
      <c r="C114" t="inlineStr">
        <is>
          <t>1</t>
        </is>
      </c>
      <c r="D114" t="inlineStr">
        <is>
          <t>0</t>
        </is>
      </c>
      <c r="E114" t="inlineStr">
        <is>
          <t xml:space="preserve">Los </t>
        </is>
      </c>
      <c r="F114" t="inlineStr">
        <is>
          <t>N</t>
        </is>
      </c>
      <c r="G114" t="inlineStr">
        <is>
          <t>COVERED</t>
        </is>
      </c>
      <c r="H114">
        <f> First Western Trust</f>
        <v/>
      </c>
      <c r="I114" s="7" t="inlineStr">
        <is>
          <t>✓ covered — First Western Trust Bank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25" t="inlineStr">
        <is>
          <t>CU#</t>
        </is>
      </c>
      <c r="B1" s="25" t="inlineStr">
        <is>
          <t>Credit Union</t>
        </is>
      </c>
      <c r="C1" s="25" t="inlineStr">
        <is>
          <t>Assets($)</t>
        </is>
      </c>
      <c r="D1" s="25" t="inlineStr">
        <is>
          <t>Branches(4cty)</t>
        </is>
      </c>
      <c r="E1" s="25" t="inlineStr">
        <is>
          <t>Counties</t>
        </is>
      </c>
      <c r="F1" s="25" t="inlineStr">
        <is>
          <t>Status</t>
        </is>
      </c>
      <c r="G1" s="25" t="inlineStr">
        <is>
          <t>Note</t>
        </is>
      </c>
      <c r="H1" s="25" t="inlineStr">
        <is>
          <t>In main table? (v5)</t>
        </is>
      </c>
    </row>
    <row r="2">
      <c r="A2" t="inlineStr">
        <is>
          <t>24694</t>
        </is>
      </c>
      <c r="B2" t="inlineStr">
        <is>
          <t>AMERICA FIRST</t>
        </is>
      </c>
      <c r="C2" t="inlineStr">
        <is>
          <t>24729579208</t>
        </is>
      </c>
      <c r="D2" t="inlineStr">
        <is>
          <t>1</t>
        </is>
      </c>
      <c r="E2" t="inlineStr">
        <is>
          <t xml:space="preserve">San </t>
        </is>
      </c>
      <c r="F2" t="inlineStr">
        <is>
          <t>GAP — never evaluated</t>
        </is>
      </c>
      <c r="G2" t="inlineStr">
        <is>
          <t>⭐ SCREEN FIRST: $24.7B; major business-card CU (UT) — top screen</t>
        </is>
      </c>
      <c r="H2" s="7" t="inlineStr">
        <is>
          <t>✓ covered — America First Credit Union</t>
        </is>
      </c>
    </row>
    <row r="3">
      <c r="A3" t="inlineStr">
        <is>
          <t>15732</t>
        </is>
      </c>
      <c r="B3" t="inlineStr">
        <is>
          <t>COMMUNITYAMERICA</t>
        </is>
      </c>
      <c r="C3" t="inlineStr">
        <is>
          <t>8983073793</t>
        </is>
      </c>
      <c r="D3" t="inlineStr">
        <is>
          <t>15</t>
        </is>
      </c>
      <c r="E3" t="inlineStr">
        <is>
          <t>Los +Oran</t>
        </is>
      </c>
      <c r="F3" t="inlineStr">
        <is>
          <t>GAP — never evaluated</t>
        </is>
      </c>
      <c r="G3" t="inlineStr">
        <is>
          <t>⭐ SCREEN FIRST: ex-UNIFY 15 LA/OC branches; has biz banking</t>
        </is>
      </c>
      <c r="H3" s="7" t="inlineStr">
        <is>
          <t>✓ covered — CommunityAmerica Credit Union (ex-UNIFY)</t>
        </is>
      </c>
    </row>
    <row r="4">
      <c r="A4" t="inlineStr">
        <is>
          <t>24877</t>
        </is>
      </c>
      <c r="B4" t="inlineStr">
        <is>
          <t>FIREFIGHTERS FIRST</t>
        </is>
      </c>
      <c r="C4" t="inlineStr">
        <is>
          <t>2470349300</t>
        </is>
      </c>
      <c r="D4" t="inlineStr">
        <is>
          <t>6</t>
        </is>
      </c>
      <c r="E4" t="inlineStr">
        <is>
          <t xml:space="preserve">Los +Oran+Rive+San </t>
        </is>
      </c>
      <c r="F4" t="inlineStr">
        <is>
          <t>GAP — never evaluated</t>
        </is>
      </c>
      <c r="G4" t="inlineStr">
        <is>
          <t>⭐ SCREEN FIRST: 6 br, all 4 counties; fire-family biz services</t>
        </is>
      </c>
      <c r="H4" s="7" t="inlineStr">
        <is>
          <t>✓ covered — Firefighters First Credit Union</t>
        </is>
      </c>
    </row>
    <row r="5">
      <c r="A5" t="inlineStr">
        <is>
          <t>24802</t>
        </is>
      </c>
      <c r="B5" t="inlineStr">
        <is>
          <t>SELF-HELP</t>
        </is>
      </c>
      <c r="C5" t="inlineStr">
        <is>
          <t>2405735320</t>
        </is>
      </c>
      <c r="D5" t="inlineStr">
        <is>
          <t>2</t>
        </is>
      </c>
      <c r="E5" t="inlineStr">
        <is>
          <t xml:space="preserve">Los </t>
        </is>
      </c>
      <c r="F5" t="inlineStr">
        <is>
          <t>GAP — never evaluated</t>
        </is>
      </c>
      <c r="G5" t="inlineStr">
        <is>
          <t>⭐ SCREEN FIRST: CDFI business lender</t>
        </is>
      </c>
      <c r="H5" s="7" t="inlineStr">
        <is>
          <t>✓ covered — Self-Help Federal Credit Union</t>
        </is>
      </c>
    </row>
    <row r="6">
      <c r="A6" t="inlineStr">
        <is>
          <t>97068</t>
        </is>
      </c>
      <c r="B6" t="inlineStr">
        <is>
          <t>CHRISTIAN COMMUNITY</t>
        </is>
      </c>
      <c r="C6" t="inlineStr">
        <is>
          <t>1443573352</t>
        </is>
      </c>
      <c r="D6" t="inlineStr">
        <is>
          <t>2</t>
        </is>
      </c>
      <c r="E6" t="inlineStr">
        <is>
          <t>Los +Oran</t>
        </is>
      </c>
      <c r="F6" t="inlineStr">
        <is>
          <t>GAP — never evaluated</t>
        </is>
      </c>
      <c r="G6" t="inlineStr">
        <is>
          <t>⭐ SCREEN FIRST: San Dimas; biz lending (Chex-puller per DoC)</t>
        </is>
      </c>
      <c r="H6" s="7" t="inlineStr">
        <is>
          <t>✓ covered — Christian Community Credit Union (AdelFi)</t>
        </is>
      </c>
    </row>
    <row r="7">
      <c r="A7" t="inlineStr">
        <is>
          <t>68485</t>
        </is>
      </c>
      <c r="B7" t="inlineStr">
        <is>
          <t>AMERICAN FIRST</t>
        </is>
      </c>
      <c r="C7" t="inlineStr">
        <is>
          <t>1310342468</t>
        </is>
      </c>
      <c r="D7" t="inlineStr">
        <is>
          <t>5</t>
        </is>
      </c>
      <c r="E7" t="inlineStr">
        <is>
          <t>Oran+Rive</t>
        </is>
      </c>
      <c r="F7" t="inlineStr">
        <is>
          <t>GAP — never evaluated</t>
        </is>
      </c>
      <c r="G7" t="inlineStr">
        <is>
          <t>⭐ SCREEN FIRST: Brea; OC+Riverside</t>
        </is>
      </c>
      <c r="H7" s="7" t="inlineStr">
        <is>
          <t>✓ covered — American First National Bank</t>
        </is>
      </c>
    </row>
    <row r="8">
      <c r="A8" t="inlineStr">
        <is>
          <t>9230</t>
        </is>
      </c>
      <c r="B8" t="inlineStr">
        <is>
          <t>CERTIFIED</t>
        </is>
      </c>
      <c r="C8" t="inlineStr">
        <is>
          <t>919973315</t>
        </is>
      </c>
      <c r="D8" t="inlineStr">
        <is>
          <t>10</t>
        </is>
      </c>
      <c r="E8" t="inlineStr">
        <is>
          <t xml:space="preserve">Los +Oran+San </t>
        </is>
      </c>
      <c r="F8" t="inlineStr">
        <is>
          <t>GAP — never evaluated</t>
        </is>
      </c>
      <c r="G8" t="inlineStr">
        <is>
          <t>⭐ SCREEN FIRST: 10 branches</t>
        </is>
      </c>
      <c r="H8" s="13" t="inlineStr">
        <is>
          <t>— not in main table</t>
        </is>
      </c>
    </row>
    <row r="9">
      <c r="A9" t="inlineStr">
        <is>
          <t>24875</t>
        </is>
      </c>
      <c r="B9" t="inlineStr">
        <is>
          <t>THE FIRST FINANCIAL</t>
        </is>
      </c>
      <c r="C9" t="inlineStr">
        <is>
          <t>746455820</t>
        </is>
      </c>
      <c r="D9" t="inlineStr">
        <is>
          <t>8</t>
        </is>
      </c>
      <c r="E9" t="inlineStr">
        <is>
          <t xml:space="preserve">Los +San </t>
        </is>
      </c>
      <c r="F9" t="inlineStr">
        <is>
          <t>GAP — never evaluated</t>
        </is>
      </c>
      <c r="G9" t="inlineStr">
        <is>
          <t>⭐ SCREEN FIRST: 8 branches LA+SB</t>
        </is>
      </c>
      <c r="H9" s="13" t="inlineStr">
        <is>
          <t>— not in main table</t>
        </is>
      </c>
    </row>
    <row r="10">
      <c r="A10" t="inlineStr">
        <is>
          <t>8187</t>
        </is>
      </c>
      <c r="B10" t="inlineStr">
        <is>
          <t>AMERICAN UNITED</t>
        </is>
      </c>
      <c r="C10" t="inlineStr">
        <is>
          <t>394236316</t>
        </is>
      </c>
      <c r="D10" t="inlineStr">
        <is>
          <t>3</t>
        </is>
      </c>
      <c r="E10" t="inlineStr">
        <is>
          <t>Rive</t>
        </is>
      </c>
      <c r="F10" t="inlineStr">
        <is>
          <t>GAP — never evaluated</t>
        </is>
      </c>
      <c r="G10" t="inlineStr">
        <is>
          <t>⭐ SCREEN FIRST: Riverside x3</t>
        </is>
      </c>
      <c r="H10" s="7" t="inlineStr">
        <is>
          <t>✓ covered — American United Federal Credit Union</t>
        </is>
      </c>
    </row>
    <row r="11">
      <c r="A11" t="inlineStr">
        <is>
          <t>68483</t>
        </is>
      </c>
      <c r="B11" t="inlineStr">
        <is>
          <t>MATADORS COMMUNITY</t>
        </is>
      </c>
      <c r="C11" t="inlineStr">
        <is>
          <t>359947577</t>
        </is>
      </c>
      <c r="D11" t="inlineStr">
        <is>
          <t>1</t>
        </is>
      </c>
      <c r="E11" t="inlineStr">
        <is>
          <t xml:space="preserve">Los </t>
        </is>
      </c>
      <c r="F11" t="inlineStr">
        <is>
          <t>GAP — never evaluated</t>
        </is>
      </c>
      <c r="G11" t="inlineStr">
        <is>
          <t>⭐ SCREEN FIRST: CSUN-area</t>
        </is>
      </c>
      <c r="H11" s="13" t="inlineStr">
        <is>
          <t>— not in main table</t>
        </is>
      </c>
    </row>
    <row r="12">
      <c r="A12" t="inlineStr">
        <is>
          <t>11870</t>
        </is>
      </c>
      <c r="B12" t="inlineStr">
        <is>
          <t>DOWNEY</t>
        </is>
      </c>
      <c r="C12" t="inlineStr">
        <is>
          <t>331199402</t>
        </is>
      </c>
      <c r="D12" t="inlineStr">
        <is>
          <t>3</t>
        </is>
      </c>
      <c r="E12" t="inlineStr">
        <is>
          <t xml:space="preserve">Los </t>
        </is>
      </c>
      <c r="F12" t="inlineStr">
        <is>
          <t>GAP — never evaluated</t>
        </is>
      </c>
      <c r="G12" t="inlineStr">
        <is>
          <t>⭐ SCREEN FIRST: 3 br LA</t>
        </is>
      </c>
      <c r="H12" s="13" t="inlineStr">
        <is>
          <t>— not in main table</t>
        </is>
      </c>
    </row>
    <row r="13">
      <c r="A13" t="inlineStr">
        <is>
          <t>60024</t>
        </is>
      </c>
      <c r="B13" t="inlineStr">
        <is>
          <t>PRIORITY ONE</t>
        </is>
      </c>
      <c r="C13" t="inlineStr">
        <is>
          <t>205736783</t>
        </is>
      </c>
      <c r="D13" t="inlineStr">
        <is>
          <t>3</t>
        </is>
      </c>
      <c r="E13" t="inlineStr">
        <is>
          <t xml:space="preserve">Los </t>
        </is>
      </c>
      <c r="F13" t="inlineStr">
        <is>
          <t>GAP — never evaluated</t>
        </is>
      </c>
      <c r="G13" t="inlineStr">
        <is>
          <t>⭐ SCREEN FIRST: 3 br LA</t>
        </is>
      </c>
      <c r="H13" s="13" t="inlineStr">
        <is>
          <t>— not in main table</t>
        </is>
      </c>
    </row>
    <row r="14">
      <c r="A14" t="inlineStr">
        <is>
          <t>23957</t>
        </is>
      </c>
      <c r="B14" t="inlineStr">
        <is>
          <t>AMERICAN AIRLINES</t>
        </is>
      </c>
      <c r="C14" t="inlineStr">
        <is>
          <t>9448440753</t>
        </is>
      </c>
      <c r="D14" t="inlineStr">
        <is>
          <t>2</t>
        </is>
      </c>
      <c r="E14" t="inlineStr">
        <is>
          <t xml:space="preserve">Los </t>
        </is>
      </c>
      <c r="F14" t="inlineStr">
        <is>
          <t>GAP — never evaluated</t>
        </is>
      </c>
      <c r="G14" t="inlineStr">
        <is>
          <t>likely SEG/employer-gated — verify FOM + biz card</t>
        </is>
      </c>
      <c r="H14" s="7" t="inlineStr">
        <is>
          <t>✓ covered — American Airlines Credit Union</t>
        </is>
      </c>
    </row>
    <row r="15">
      <c r="A15" t="inlineStr">
        <is>
          <t>68187</t>
        </is>
      </c>
      <c r="B15" t="inlineStr">
        <is>
          <t>BAXTER</t>
        </is>
      </c>
      <c r="C15" t="inlineStr">
        <is>
          <t>6501796742</t>
        </is>
      </c>
      <c r="D15" t="inlineStr">
        <is>
          <t>2</t>
        </is>
      </c>
      <c r="E15" t="inlineStr">
        <is>
          <t>Los +Oran</t>
        </is>
      </c>
      <c r="F15" t="inlineStr">
        <is>
          <t>GAP — never evaluated</t>
        </is>
      </c>
      <c r="G15" t="inlineStr">
        <is>
          <t>likely SEG/employer-gated — verify FOM + biz card</t>
        </is>
      </c>
      <c r="H15" s="7" t="inlineStr">
        <is>
          <t>✓ covered — Baxter Credit Union (BCU)</t>
        </is>
      </c>
    </row>
    <row r="16">
      <c r="A16" t="inlineStr">
        <is>
          <t>24326</t>
        </is>
      </c>
      <c r="B16" t="inlineStr">
        <is>
          <t>CHEVRON</t>
        </is>
      </c>
      <c r="C16" t="inlineStr">
        <is>
          <t>5440106627</t>
        </is>
      </c>
      <c r="D16" t="inlineStr">
        <is>
          <t>1</t>
        </is>
      </c>
      <c r="E16" t="inlineStr">
        <is>
          <t xml:space="preserve">Los </t>
        </is>
      </c>
      <c r="F16" t="inlineStr">
        <is>
          <t>GAP — never evaluated</t>
        </is>
      </c>
      <c r="G16" t="inlineStr">
        <is>
          <t>likely SEG/employer-gated — verify FOM + biz card</t>
        </is>
      </c>
      <c r="H16" s="13" t="inlineStr">
        <is>
          <t>— not in main table</t>
        </is>
      </c>
    </row>
    <row r="17">
      <c r="A17" t="inlineStr">
        <is>
          <t>62715</t>
        </is>
      </c>
      <c r="B17" t="inlineStr">
        <is>
          <t>TOGETHER</t>
        </is>
      </c>
      <c r="C17" t="inlineStr">
        <is>
          <t>2722399325</t>
        </is>
      </c>
      <c r="D17" t="inlineStr">
        <is>
          <t>1</t>
        </is>
      </c>
      <c r="E17" t="inlineStr">
        <is>
          <t xml:space="preserve">Los </t>
        </is>
      </c>
      <c r="F17" t="inlineStr">
        <is>
          <t>GAP — never evaluated</t>
        </is>
      </c>
      <c r="G17" t="inlineStr">
        <is>
          <t>likely SEG/employer-gated — verify FOM + biz card</t>
        </is>
      </c>
      <c r="H17" s="7" t="inlineStr">
        <is>
          <t>✓ covered — Together Credit Union</t>
        </is>
      </c>
    </row>
    <row r="18">
      <c r="A18" t="inlineStr">
        <is>
          <t>6681</t>
        </is>
      </c>
      <c r="B18" t="inlineStr">
        <is>
          <t>CALTECH EMPLOYEES</t>
        </is>
      </c>
      <c r="C18" t="inlineStr">
        <is>
          <t>2176332001</t>
        </is>
      </c>
      <c r="D18" t="inlineStr">
        <is>
          <t>4</t>
        </is>
      </c>
      <c r="E18" t="inlineStr">
        <is>
          <t xml:space="preserve">Los </t>
        </is>
      </c>
      <c r="F18" t="inlineStr">
        <is>
          <t>GAP — never evaluated</t>
        </is>
      </c>
      <c r="G18" t="inlineStr">
        <is>
          <t>likely SEG/employer-gated — verify FOM + biz card</t>
        </is>
      </c>
      <c r="H18" s="13" t="inlineStr">
        <is>
          <t>— not in main table</t>
        </is>
      </c>
    </row>
    <row r="19">
      <c r="A19" t="inlineStr">
        <is>
          <t>24808</t>
        </is>
      </c>
      <c r="B19" t="inlineStr">
        <is>
          <t>SKYLA</t>
        </is>
      </c>
      <c r="C19" t="inlineStr">
        <is>
          <t>1656044095</t>
        </is>
      </c>
      <c r="D19" t="inlineStr">
        <is>
          <t>1</t>
        </is>
      </c>
      <c r="E19" t="inlineStr">
        <is>
          <t xml:space="preserve">Los </t>
        </is>
      </c>
      <c r="F19" t="inlineStr">
        <is>
          <t>GAP — never evaluated</t>
        </is>
      </c>
      <c r="G19" t="inlineStr">
        <is>
          <t>likely SEG/employer-gated — verify FOM + biz card</t>
        </is>
      </c>
      <c r="H19" s="13" t="inlineStr">
        <is>
          <t>— not in main table</t>
        </is>
      </c>
    </row>
    <row r="20">
      <c r="A20" t="inlineStr">
        <is>
          <t>24292</t>
        </is>
      </c>
      <c r="B20" t="inlineStr">
        <is>
          <t>NORTHROP GRUMMAN</t>
        </is>
      </c>
      <c r="C20" t="inlineStr">
        <is>
          <t>1653497637</t>
        </is>
      </c>
      <c r="D20" t="inlineStr">
        <is>
          <t>8</t>
        </is>
      </c>
      <c r="E20" t="inlineStr">
        <is>
          <t xml:space="preserve">Los </t>
        </is>
      </c>
      <c r="F20" t="inlineStr">
        <is>
          <t>GAP — never evaluated</t>
        </is>
      </c>
      <c r="G20" t="inlineStr">
        <is>
          <t>likely SEG/employer-gated — verify FOM + biz card</t>
        </is>
      </c>
      <c r="H20" s="13" t="inlineStr">
        <is>
          <t>— not in main table</t>
        </is>
      </c>
    </row>
    <row r="21">
      <c r="A21" t="inlineStr">
        <is>
          <t>24235</t>
        </is>
      </c>
      <c r="B21" t="inlineStr">
        <is>
          <t>OPERATING ENGINEERS LOCAL UNION #3</t>
        </is>
      </c>
      <c r="C21" t="inlineStr">
        <is>
          <t>1650775391</t>
        </is>
      </c>
      <c r="D21" t="inlineStr">
        <is>
          <t>2</t>
        </is>
      </c>
      <c r="E21" t="inlineStr">
        <is>
          <t>Los +Oran</t>
        </is>
      </c>
      <c r="F21" t="inlineStr">
        <is>
          <t>GAP — never evaluated</t>
        </is>
      </c>
      <c r="G21" t="inlineStr">
        <is>
          <t>likely SEG/employer-gated — verify FOM + biz card</t>
        </is>
      </c>
      <c r="H21" s="13" t="inlineStr">
        <is>
          <t>— not in main table</t>
        </is>
      </c>
    </row>
    <row r="22">
      <c r="A22" t="inlineStr">
        <is>
          <t>17623</t>
        </is>
      </c>
      <c r="B22" t="inlineStr">
        <is>
          <t>HONDA</t>
        </is>
      </c>
      <c r="C22" t="inlineStr">
        <is>
          <t>1204192574</t>
        </is>
      </c>
      <c r="D22" t="inlineStr">
        <is>
          <t>2</t>
        </is>
      </c>
      <c r="E22" t="inlineStr">
        <is>
          <t xml:space="preserve">Los </t>
        </is>
      </c>
      <c r="F22" t="inlineStr">
        <is>
          <t>GAP — never evaluated</t>
        </is>
      </c>
      <c r="G22" t="inlineStr">
        <is>
          <t>likely SEG/employer-gated — verify FOM + biz card</t>
        </is>
      </c>
      <c r="H22" s="13" t="inlineStr">
        <is>
          <t>— not in main table</t>
        </is>
      </c>
    </row>
    <row r="23">
      <c r="A23" t="inlineStr">
        <is>
          <t>64171</t>
        </is>
      </c>
      <c r="B23" t="inlineStr">
        <is>
          <t>UNIVERSITY</t>
        </is>
      </c>
      <c r="C23" t="inlineStr">
        <is>
          <t>1187569456</t>
        </is>
      </c>
      <c r="D23" t="inlineStr">
        <is>
          <t>3</t>
        </is>
      </c>
      <c r="E23" t="inlineStr">
        <is>
          <t xml:space="preserve">Los </t>
        </is>
      </c>
      <c r="F23" t="inlineStr">
        <is>
          <t>GAP — never evaluated</t>
        </is>
      </c>
      <c r="G23" t="inlineStr">
        <is>
          <t>likely SEG/employer-gated — verify FOM + biz card</t>
        </is>
      </c>
      <c r="H23" s="7" t="inlineStr">
        <is>
          <t>✓ covered — University Credit Union (LA)</t>
        </is>
      </c>
    </row>
    <row r="24">
      <c r="A24" t="inlineStr">
        <is>
          <t>151</t>
        </is>
      </c>
      <c r="B24" t="inlineStr">
        <is>
          <t>JUSTICE</t>
        </is>
      </c>
      <c r="C24" t="inlineStr">
        <is>
          <t>1158996534</t>
        </is>
      </c>
      <c r="D24" t="inlineStr">
        <is>
          <t>1</t>
        </is>
      </c>
      <c r="E24" t="inlineStr">
        <is>
          <t xml:space="preserve">Los </t>
        </is>
      </c>
      <c r="F24" t="inlineStr">
        <is>
          <t>GAP — never evaluated</t>
        </is>
      </c>
      <c r="G24" t="inlineStr">
        <is>
          <t>likely SEG/employer-gated — verify FOM + biz card</t>
        </is>
      </c>
      <c r="H24" s="13" t="inlineStr">
        <is>
          <t>— not in main table</t>
        </is>
      </c>
    </row>
    <row r="25">
      <c r="A25" t="inlineStr">
        <is>
          <t>21751</t>
        </is>
      </c>
      <c r="B25" t="inlineStr">
        <is>
          <t>FEDEX EMPLOYEES CREDIT ASSOCIATION</t>
        </is>
      </c>
      <c r="C25" t="inlineStr">
        <is>
          <t>641452230</t>
        </is>
      </c>
      <c r="D25" t="inlineStr">
        <is>
          <t>1</t>
        </is>
      </c>
      <c r="E25" t="inlineStr">
        <is>
          <t xml:space="preserve">Los </t>
        </is>
      </c>
      <c r="F25" t="inlineStr">
        <is>
          <t>GAP — never evaluated</t>
        </is>
      </c>
      <c r="G25" t="inlineStr">
        <is>
          <t>likely SEG/employer-gated — verify FOM + biz card</t>
        </is>
      </c>
      <c r="H25" s="13" t="inlineStr">
        <is>
          <t>— not in main table</t>
        </is>
      </c>
    </row>
    <row r="26">
      <c r="A26" t="inlineStr">
        <is>
          <t>24916</t>
        </is>
      </c>
      <c r="B26" t="inlineStr">
        <is>
          <t>I.L.W.U.</t>
        </is>
      </c>
      <c r="C26" t="inlineStr">
        <is>
          <t>601926772</t>
        </is>
      </c>
      <c r="D26" t="inlineStr">
        <is>
          <t>3</t>
        </is>
      </c>
      <c r="E26" t="inlineStr">
        <is>
          <t xml:space="preserve">Los </t>
        </is>
      </c>
      <c r="F26" t="inlineStr">
        <is>
          <t>GAP — never evaluated</t>
        </is>
      </c>
      <c r="G26" t="inlineStr">
        <is>
          <t>likely SEG/employer-gated — verify FOM + biz card</t>
        </is>
      </c>
      <c r="H26" s="13" t="inlineStr">
        <is>
          <t>— not in main table</t>
        </is>
      </c>
    </row>
    <row r="27">
      <c r="A27" t="inlineStr">
        <is>
          <t>24927</t>
        </is>
      </c>
      <c r="B27" t="inlineStr">
        <is>
          <t>CREDIT UNION OF NEW JERSEY, A</t>
        </is>
      </c>
      <c r="C27" t="inlineStr">
        <is>
          <t>503973515</t>
        </is>
      </c>
      <c r="D27" t="inlineStr">
        <is>
          <t>1</t>
        </is>
      </c>
      <c r="E27" t="inlineStr">
        <is>
          <t>Oran</t>
        </is>
      </c>
      <c r="F27" t="inlineStr">
        <is>
          <t>GAP — never evaluated</t>
        </is>
      </c>
      <c r="G27" t="inlineStr">
        <is>
          <t>likely SEG/employer-gated — verify FOM + biz card</t>
        </is>
      </c>
      <c r="H27" s="7" t="inlineStr">
        <is>
          <t>✓ covered — Credit Union of New Jersey</t>
        </is>
      </c>
    </row>
    <row r="28">
      <c r="A28" t="inlineStr">
        <is>
          <t>3943</t>
        </is>
      </c>
      <c r="B28" t="inlineStr">
        <is>
          <t>GAIN</t>
        </is>
      </c>
      <c r="C28" t="inlineStr">
        <is>
          <t>439328634</t>
        </is>
      </c>
      <c r="D28" t="inlineStr">
        <is>
          <t>2</t>
        </is>
      </c>
      <c r="E28" t="inlineStr">
        <is>
          <t xml:space="preserve">Los </t>
        </is>
      </c>
      <c r="F28" t="inlineStr">
        <is>
          <t>GAP — never evaluated</t>
        </is>
      </c>
      <c r="G28" t="inlineStr">
        <is>
          <t>likely SEG/employer-gated — verify FOM + biz card</t>
        </is>
      </c>
      <c r="H28" s="13" t="inlineStr">
        <is>
          <t>— not in main table</t>
        </is>
      </c>
    </row>
    <row r="29">
      <c r="A29" t="inlineStr">
        <is>
          <t>14723</t>
        </is>
      </c>
      <c r="B29" t="inlineStr">
        <is>
          <t>AEROSPACE</t>
        </is>
      </c>
      <c r="C29" t="inlineStr">
        <is>
          <t>422785090</t>
        </is>
      </c>
      <c r="D29" t="inlineStr">
        <is>
          <t>1</t>
        </is>
      </c>
      <c r="E29" t="inlineStr">
        <is>
          <t xml:space="preserve">Los </t>
        </is>
      </c>
      <c r="F29" t="inlineStr">
        <is>
          <t>GAP — never evaluated</t>
        </is>
      </c>
      <c r="G29" t="inlineStr">
        <is>
          <t>likely SEG/employer-gated — verify FOM + biz card</t>
        </is>
      </c>
      <c r="H29" s="13" t="inlineStr">
        <is>
          <t>— not in main table</t>
        </is>
      </c>
    </row>
    <row r="30">
      <c r="A30" t="inlineStr">
        <is>
          <t>97101</t>
        </is>
      </c>
      <c r="B30" t="inlineStr">
        <is>
          <t>GLENDALE AREA SCHOOLS</t>
        </is>
      </c>
      <c r="C30" t="inlineStr">
        <is>
          <t>421654861</t>
        </is>
      </c>
      <c r="D30" t="inlineStr">
        <is>
          <t>2</t>
        </is>
      </c>
      <c r="E30" t="inlineStr">
        <is>
          <t xml:space="preserve">Los </t>
        </is>
      </c>
      <c r="F30" t="inlineStr">
        <is>
          <t>GAP — never evaluated</t>
        </is>
      </c>
      <c r="G30" t="inlineStr">
        <is>
          <t>likely SEG/employer-gated — verify FOM + biz card</t>
        </is>
      </c>
      <c r="H30" s="13" t="inlineStr">
        <is>
          <t>— not in main table</t>
        </is>
      </c>
    </row>
    <row r="31">
      <c r="A31" t="inlineStr">
        <is>
          <t>95071</t>
        </is>
      </c>
      <c r="B31" t="inlineStr">
        <is>
          <t>CAHP</t>
        </is>
      </c>
      <c r="C31" t="inlineStr">
        <is>
          <t>403972301</t>
        </is>
      </c>
      <c r="D31" t="inlineStr">
        <is>
          <t>1</t>
        </is>
      </c>
      <c r="E31" t="inlineStr">
        <is>
          <t xml:space="preserve">San </t>
        </is>
      </c>
      <c r="F31" t="inlineStr">
        <is>
          <t>GAP — never evaluated</t>
        </is>
      </c>
      <c r="G31" t="inlineStr">
        <is>
          <t>likely SEG/employer-gated — verify FOM + biz card</t>
        </is>
      </c>
      <c r="H31" s="13" t="inlineStr">
        <is>
          <t>— not in main table</t>
        </is>
      </c>
    </row>
    <row r="32">
      <c r="A32" t="inlineStr">
        <is>
          <t>23004</t>
        </is>
      </c>
      <c r="B32" t="inlineStr">
        <is>
          <t>POPA</t>
        </is>
      </c>
      <c r="C32" t="inlineStr">
        <is>
          <t>399419595</t>
        </is>
      </c>
      <c r="D32" t="inlineStr">
        <is>
          <t>4</t>
        </is>
      </c>
      <c r="E32" t="inlineStr">
        <is>
          <t xml:space="preserve">Los </t>
        </is>
      </c>
      <c r="F32" t="inlineStr">
        <is>
          <t>GAP — never evaluated</t>
        </is>
      </c>
      <c r="G32" t="inlineStr">
        <is>
          <t>likely SEG/employer-gated — verify FOM + biz card</t>
        </is>
      </c>
      <c r="H32" s="13" t="inlineStr">
        <is>
          <t>— not in main table</t>
        </is>
      </c>
    </row>
    <row r="33">
      <c r="A33" t="inlineStr">
        <is>
          <t>15317</t>
        </is>
      </c>
      <c r="B33" t="inlineStr">
        <is>
          <t>SAG-AFTRA</t>
        </is>
      </c>
      <c r="C33" t="inlineStr">
        <is>
          <t>340594835</t>
        </is>
      </c>
      <c r="D33" t="inlineStr">
        <is>
          <t>4</t>
        </is>
      </c>
      <c r="E33" t="inlineStr">
        <is>
          <t xml:space="preserve">Los </t>
        </is>
      </c>
      <c r="F33" t="inlineStr">
        <is>
          <t>GAP — never evaluated</t>
        </is>
      </c>
      <c r="G33" t="inlineStr">
        <is>
          <t>likely SEG/employer-gated — verify FOM + biz card</t>
        </is>
      </c>
      <c r="H33" s="13" t="inlineStr">
        <is>
          <t>— not in main table</t>
        </is>
      </c>
    </row>
    <row r="34">
      <c r="A34" t="inlineStr">
        <is>
          <t>15358</t>
        </is>
      </c>
      <c r="B34" t="inlineStr">
        <is>
          <t>ACTORS</t>
        </is>
      </c>
      <c r="C34" t="inlineStr">
        <is>
          <t>334790375</t>
        </is>
      </c>
      <c r="D34" t="inlineStr">
        <is>
          <t>2</t>
        </is>
      </c>
      <c r="E34" t="inlineStr">
        <is>
          <t xml:space="preserve">Los </t>
        </is>
      </c>
      <c r="F34" t="inlineStr">
        <is>
          <t>GAP — never evaluated</t>
        </is>
      </c>
      <c r="G34" t="inlineStr">
        <is>
          <t>likely SEG/employer-gated — verify FOM + biz card</t>
        </is>
      </c>
      <c r="H34" s="13" t="inlineStr">
        <is>
          <t>— not in main table</t>
        </is>
      </c>
    </row>
    <row r="35">
      <c r="A35" t="inlineStr">
        <is>
          <t>3945</t>
        </is>
      </c>
      <c r="B35" t="inlineStr">
        <is>
          <t>UME</t>
        </is>
      </c>
      <c r="C35" t="inlineStr">
        <is>
          <t>334142032</t>
        </is>
      </c>
      <c r="D35" t="inlineStr">
        <is>
          <t>1</t>
        </is>
      </c>
      <c r="E35" t="inlineStr">
        <is>
          <t xml:space="preserve">Los </t>
        </is>
      </c>
      <c r="F35" t="inlineStr">
        <is>
          <t>GAP — never evaluated</t>
        </is>
      </c>
      <c r="G35" t="inlineStr">
        <is>
          <t>likely SEG/employer-gated — verify FOM + biz card</t>
        </is>
      </c>
      <c r="H35" s="13" t="inlineStr">
        <is>
          <t>— not in main table</t>
        </is>
      </c>
    </row>
    <row r="36">
      <c r="A36" t="inlineStr">
        <is>
          <t>17127</t>
        </is>
      </c>
      <c r="B36" t="inlineStr">
        <is>
          <t>TRUGROCER</t>
        </is>
      </c>
      <c r="C36" t="inlineStr">
        <is>
          <t>319382979</t>
        </is>
      </c>
      <c r="D36" t="inlineStr">
        <is>
          <t>1</t>
        </is>
      </c>
      <c r="E36" t="inlineStr">
        <is>
          <t>Oran</t>
        </is>
      </c>
      <c r="F36" t="inlineStr">
        <is>
          <t>GAP — never evaluated</t>
        </is>
      </c>
      <c r="G36" t="inlineStr">
        <is>
          <t>likely SEG/employer-gated — verify FOM + biz card</t>
        </is>
      </c>
      <c r="H36" s="13" t="inlineStr">
        <is>
          <t>— not in main table</t>
        </is>
      </c>
    </row>
    <row r="37">
      <c r="A37" t="inlineStr">
        <is>
          <t>16402</t>
        </is>
      </c>
      <c r="B37" t="inlineStr">
        <is>
          <t>U S POSTAL SERVICE</t>
        </is>
      </c>
      <c r="C37" t="inlineStr">
        <is>
          <t>286334485</t>
        </is>
      </c>
      <c r="D37" t="inlineStr">
        <is>
          <t>1</t>
        </is>
      </c>
      <c r="E37" t="inlineStr">
        <is>
          <t xml:space="preserve">Los </t>
        </is>
      </c>
      <c r="F37" t="inlineStr">
        <is>
          <t>GAP — never evaluated</t>
        </is>
      </c>
      <c r="G37" t="inlineStr">
        <is>
          <t>likely SEG/employer-gated — verify FOM + biz card</t>
        </is>
      </c>
      <c r="H37" s="13" t="inlineStr">
        <is>
          <t>— not in main table</t>
        </is>
      </c>
    </row>
    <row r="38">
      <c r="A38" t="inlineStr">
        <is>
          <t>1438</t>
        </is>
      </c>
      <c r="B38" t="inlineStr">
        <is>
          <t>LONG BEACH CITY EMPLOYEES</t>
        </is>
      </c>
      <c r="C38" t="inlineStr">
        <is>
          <t>279271327</t>
        </is>
      </c>
      <c r="D38" t="inlineStr">
        <is>
          <t>2</t>
        </is>
      </c>
      <c r="E38" t="inlineStr">
        <is>
          <t xml:space="preserve">Los </t>
        </is>
      </c>
      <c r="F38" t="inlineStr">
        <is>
          <t>GAP — never evaluated</t>
        </is>
      </c>
      <c r="G38" t="inlineStr">
        <is>
          <t>likely SEG/employer-gated — verify FOM + biz card</t>
        </is>
      </c>
      <c r="H38" s="13" t="inlineStr">
        <is>
          <t>— not in main table</t>
        </is>
      </c>
    </row>
    <row r="39">
      <c r="A39" t="inlineStr">
        <is>
          <t>14830</t>
        </is>
      </c>
      <c r="B39" t="inlineStr">
        <is>
          <t>EDWARDS</t>
        </is>
      </c>
      <c r="C39" t="inlineStr">
        <is>
          <t>278913118</t>
        </is>
      </c>
      <c r="D39" t="inlineStr">
        <is>
          <t>1</t>
        </is>
      </c>
      <c r="E39" t="inlineStr">
        <is>
          <t xml:space="preserve">Los </t>
        </is>
      </c>
      <c r="F39" t="inlineStr">
        <is>
          <t>GAP — never evaluated</t>
        </is>
      </c>
      <c r="G39" t="inlineStr">
        <is>
          <t>likely SEG/employer-gated — verify FOM + biz card</t>
        </is>
      </c>
      <c r="H39" s="13" t="inlineStr">
        <is>
          <t>— not in main table</t>
        </is>
      </c>
    </row>
    <row r="40">
      <c r="A40" t="inlineStr">
        <is>
          <t>16030</t>
        </is>
      </c>
      <c r="B40" t="inlineStr">
        <is>
          <t>CHAFFEY</t>
        </is>
      </c>
      <c r="C40" t="inlineStr">
        <is>
          <t>229064484</t>
        </is>
      </c>
      <c r="D40" t="inlineStr">
        <is>
          <t>4</t>
        </is>
      </c>
      <c r="E40" t="inlineStr">
        <is>
          <t xml:space="preserve">Los +San </t>
        </is>
      </c>
      <c r="F40" t="inlineStr">
        <is>
          <t>GAP — never evaluated</t>
        </is>
      </c>
      <c r="G40" t="inlineStr">
        <is>
          <t>likely SEG/employer-gated — verify FOM + biz card</t>
        </is>
      </c>
      <c r="H40" s="13" t="inlineStr">
        <is>
          <t>— not in main table</t>
        </is>
      </c>
    </row>
    <row r="41">
      <c r="A41" t="inlineStr">
        <is>
          <t>9556</t>
        </is>
      </c>
      <c r="B41" t="inlineStr">
        <is>
          <t>CLEARPATH</t>
        </is>
      </c>
      <c r="C41" t="inlineStr">
        <is>
          <t>224391171</t>
        </is>
      </c>
      <c r="D41" t="inlineStr">
        <is>
          <t>2</t>
        </is>
      </c>
      <c r="E41" t="inlineStr">
        <is>
          <t xml:space="preserve">Los </t>
        </is>
      </c>
      <c r="F41" t="inlineStr">
        <is>
          <t>GAP — never evaluated</t>
        </is>
      </c>
      <c r="G41" t="inlineStr">
        <is>
          <t>likely SEG/employer-gated — verify FOM + biz card</t>
        </is>
      </c>
      <c r="H41" s="13" t="inlineStr">
        <is>
          <t>— not in main table</t>
        </is>
      </c>
    </row>
    <row r="42">
      <c r="A42" t="inlineStr">
        <is>
          <t>64531</t>
        </is>
      </c>
      <c r="B42" t="inlineStr">
        <is>
          <t>ALTA VISTA</t>
        </is>
      </c>
      <c r="C42" t="inlineStr">
        <is>
          <t>211726159</t>
        </is>
      </c>
      <c r="D42" t="inlineStr">
        <is>
          <t>2</t>
        </is>
      </c>
      <c r="E42" t="inlineStr">
        <is>
          <t xml:space="preserve">San </t>
        </is>
      </c>
      <c r="F42" t="inlineStr">
        <is>
          <t>GAP — never evaluated</t>
        </is>
      </c>
      <c r="G42" t="inlineStr">
        <is>
          <t>likely SEG/employer-gated — verify FOM + biz card</t>
        </is>
      </c>
      <c r="H42" s="13" t="inlineStr">
        <is>
          <t>— not in main table</t>
        </is>
      </c>
    </row>
    <row r="43">
      <c r="A43" t="inlineStr">
        <is>
          <t>67921</t>
        </is>
      </c>
      <c r="B43" t="inlineStr">
        <is>
          <t>LONG BEACH FIREMEN S</t>
        </is>
      </c>
      <c r="C43" t="inlineStr">
        <is>
          <t>204273146</t>
        </is>
      </c>
      <c r="D43" t="inlineStr">
        <is>
          <t>1</t>
        </is>
      </c>
      <c r="E43" t="inlineStr">
        <is>
          <t xml:space="preserve">Los </t>
        </is>
      </c>
      <c r="F43" t="inlineStr">
        <is>
          <t>GAP — never evaluated</t>
        </is>
      </c>
      <c r="G43" t="inlineStr">
        <is>
          <t>likely SEG/employer-gated — verify FOM + biz card</t>
        </is>
      </c>
      <c r="H43" s="13" t="inlineStr">
        <is>
          <t>— not in main table</t>
        </is>
      </c>
    </row>
    <row r="44">
      <c r="A44" t="inlineStr">
        <is>
          <t>62323</t>
        </is>
      </c>
      <c r="B44" t="inlineStr">
        <is>
          <t>E-CENTRAL</t>
        </is>
      </c>
      <c r="C44" t="inlineStr">
        <is>
          <t>174543984</t>
        </is>
      </c>
      <c r="D44" t="inlineStr">
        <is>
          <t>1</t>
        </is>
      </c>
      <c r="E44" t="inlineStr">
        <is>
          <t xml:space="preserve">Los </t>
        </is>
      </c>
      <c r="F44" t="inlineStr">
        <is>
          <t>GAP — never evaluated</t>
        </is>
      </c>
      <c r="G44" t="inlineStr">
        <is>
          <t>likely SEG/employer-gated — verify FOM + biz card</t>
        </is>
      </c>
      <c r="H44" s="13" t="inlineStr">
        <is>
          <t>— not in main table</t>
        </is>
      </c>
    </row>
    <row r="45">
      <c r="A45" t="inlineStr">
        <is>
          <t>14542</t>
        </is>
      </c>
      <c r="B45" t="inlineStr">
        <is>
          <t>VIDA</t>
        </is>
      </c>
      <c r="C45" t="inlineStr">
        <is>
          <t>172659135</t>
        </is>
      </c>
      <c r="D45" t="inlineStr">
        <is>
          <t>1</t>
        </is>
      </c>
      <c r="E45" t="inlineStr">
        <is>
          <t xml:space="preserve">San </t>
        </is>
      </c>
      <c r="F45" t="inlineStr">
        <is>
          <t>GAP — never evaluated</t>
        </is>
      </c>
      <c r="G45" t="inlineStr">
        <is>
          <t>likely SEG/employer-gated — verify FOM + biz card</t>
        </is>
      </c>
      <c r="H45" s="13" t="inlineStr">
        <is>
          <t>— not in main table</t>
        </is>
      </c>
    </row>
    <row r="46">
      <c r="A46" t="inlineStr">
        <is>
          <t>95052</t>
        </is>
      </c>
      <c r="B46" t="inlineStr">
        <is>
          <t>SOUTH BAY</t>
        </is>
      </c>
      <c r="C46" t="inlineStr">
        <is>
          <t>164333499</t>
        </is>
      </c>
      <c r="D46" t="inlineStr">
        <is>
          <t>3</t>
        </is>
      </c>
      <c r="E46" t="inlineStr">
        <is>
          <t xml:space="preserve">Los </t>
        </is>
      </c>
      <c r="F46" t="inlineStr">
        <is>
          <t>GAP — never evaluated</t>
        </is>
      </c>
      <c r="G46" t="inlineStr">
        <is>
          <t>likely SEG/employer-gated — verify FOM + biz card</t>
        </is>
      </c>
      <c r="H46" s="13" t="inlineStr">
        <is>
          <t>— not in main table</t>
        </is>
      </c>
    </row>
    <row r="47">
      <c r="A47" t="inlineStr">
        <is>
          <t>12543</t>
        </is>
      </c>
      <c r="B47" t="inlineStr">
        <is>
          <t>TORRANCE COMMUNITY</t>
        </is>
      </c>
      <c r="C47" t="inlineStr">
        <is>
          <t>160034712</t>
        </is>
      </c>
      <c r="D47" t="inlineStr">
        <is>
          <t>1</t>
        </is>
      </c>
      <c r="E47" t="inlineStr">
        <is>
          <t xml:space="preserve">Los </t>
        </is>
      </c>
      <c r="F47" t="inlineStr">
        <is>
          <t>GAP — never evaluated</t>
        </is>
      </c>
      <c r="G47" t="inlineStr">
        <is>
          <t>likely SEG/employer-gated — verify FOM + biz card</t>
        </is>
      </c>
      <c r="H47" s="13" t="inlineStr">
        <is>
          <t>— not in main table</t>
        </is>
      </c>
    </row>
    <row r="48">
      <c r="A48" t="inlineStr">
        <is>
          <t>5816</t>
        </is>
      </c>
      <c r="B48" t="inlineStr">
        <is>
          <t>INTERFAITH</t>
        </is>
      </c>
      <c r="C48" t="inlineStr">
        <is>
          <t>135351514</t>
        </is>
      </c>
      <c r="D48" t="inlineStr">
        <is>
          <t>1</t>
        </is>
      </c>
      <c r="E48" t="inlineStr">
        <is>
          <t xml:space="preserve">San </t>
        </is>
      </c>
      <c r="F48" t="inlineStr">
        <is>
          <t>GAP — never evaluated</t>
        </is>
      </c>
      <c r="G48" t="inlineStr">
        <is>
          <t>likely SEG/employer-gated — verify FOM + biz card</t>
        </is>
      </c>
      <c r="H48" s="13" t="inlineStr">
        <is>
          <t>— not in main table</t>
        </is>
      </c>
    </row>
    <row r="49">
      <c r="A49" t="inlineStr">
        <is>
          <t>64191</t>
        </is>
      </c>
      <c r="B49" t="inlineStr">
        <is>
          <t>NORTH IOWA COMMUNITY</t>
        </is>
      </c>
      <c r="C49" t="inlineStr">
        <is>
          <t>128521672</t>
        </is>
      </c>
      <c r="D49" t="inlineStr">
        <is>
          <t>1</t>
        </is>
      </c>
      <c r="E49" t="inlineStr">
        <is>
          <t>Oran</t>
        </is>
      </c>
      <c r="F49" t="inlineStr">
        <is>
          <t>GAP — never evaluated</t>
        </is>
      </c>
      <c r="G49" t="inlineStr">
        <is>
          <t>likely SEG/employer-gated — verify FOM + biz card</t>
        </is>
      </c>
      <c r="H49" s="13" t="inlineStr">
        <is>
          <t>— not in main table</t>
        </is>
      </c>
    </row>
    <row r="50">
      <c r="A50" t="inlineStr">
        <is>
          <t>7770</t>
        </is>
      </c>
      <c r="B50" t="inlineStr">
        <is>
          <t>THINKWISE</t>
        </is>
      </c>
      <c r="C50" t="inlineStr">
        <is>
          <t>121225084</t>
        </is>
      </c>
      <c r="D50" t="inlineStr">
        <is>
          <t>2</t>
        </is>
      </c>
      <c r="E50" t="inlineStr">
        <is>
          <t xml:space="preserve">San </t>
        </is>
      </c>
      <c r="F50" t="inlineStr">
        <is>
          <t>GAP — never evaluated</t>
        </is>
      </c>
      <c r="G50" t="inlineStr">
        <is>
          <t>likely SEG/employer-gated — verify FOM + biz card</t>
        </is>
      </c>
      <c r="H50" s="13" t="inlineStr">
        <is>
          <t>— not in main table</t>
        </is>
      </c>
    </row>
    <row r="51">
      <c r="A51" t="inlineStr">
        <is>
          <t>7817</t>
        </is>
      </c>
      <c r="B51" t="inlineStr">
        <is>
          <t>SEA AIR</t>
        </is>
      </c>
      <c r="C51" t="inlineStr">
        <is>
          <t>118185732</t>
        </is>
      </c>
      <c r="D51" t="inlineStr">
        <is>
          <t>3</t>
        </is>
      </c>
      <c r="E51" t="inlineStr">
        <is>
          <t>Oran+Rive</t>
        </is>
      </c>
      <c r="F51" t="inlineStr">
        <is>
          <t>GAP — never evaluated</t>
        </is>
      </c>
      <c r="G51" t="inlineStr">
        <is>
          <t>likely SEG/employer-gated — verify FOM + biz card</t>
        </is>
      </c>
      <c r="H51" s="13" t="inlineStr">
        <is>
          <t>— not in main table</t>
        </is>
      </c>
    </row>
    <row r="52">
      <c r="A52" t="inlineStr">
        <is>
          <t>10351</t>
        </is>
      </c>
      <c r="B52" t="inlineStr">
        <is>
          <t>LA LOMA</t>
        </is>
      </c>
      <c r="C52" t="inlineStr">
        <is>
          <t>114333182</t>
        </is>
      </c>
      <c r="D52" t="inlineStr">
        <is>
          <t>3</t>
        </is>
      </c>
      <c r="E52" t="inlineStr">
        <is>
          <t xml:space="preserve">Rive+San </t>
        </is>
      </c>
      <c r="F52" t="inlineStr">
        <is>
          <t>GAP — never evaluated</t>
        </is>
      </c>
      <c r="G52" t="inlineStr">
        <is>
          <t>likely SEG/employer-gated — verify FOM + biz card</t>
        </is>
      </c>
      <c r="H52" s="13" t="inlineStr">
        <is>
          <t>— not in main table</t>
        </is>
      </c>
    </row>
    <row r="53">
      <c r="A53" t="inlineStr">
        <is>
          <t>18273</t>
        </is>
      </c>
      <c r="B53" t="inlineStr">
        <is>
          <t>AMERICAN BROADCAST EMPLOYEES</t>
        </is>
      </c>
      <c r="C53" t="inlineStr">
        <is>
          <t>113628535</t>
        </is>
      </c>
      <c r="D53" t="inlineStr">
        <is>
          <t>3</t>
        </is>
      </c>
      <c r="E53" t="inlineStr">
        <is>
          <t xml:space="preserve">Los </t>
        </is>
      </c>
      <c r="F53" t="inlineStr">
        <is>
          <t>GAP — never evaluated</t>
        </is>
      </c>
      <c r="G53" t="inlineStr">
        <is>
          <t>likely SEG/employer-gated — verify FOM + biz card</t>
        </is>
      </c>
      <c r="H53" s="13" t="inlineStr">
        <is>
          <t>— not in main table</t>
        </is>
      </c>
    </row>
    <row r="54">
      <c r="A54" t="inlineStr">
        <is>
          <t>24520</t>
        </is>
      </c>
      <c r="B54" t="inlineStr">
        <is>
          <t>SANTA ANA</t>
        </is>
      </c>
      <c r="C54" t="inlineStr">
        <is>
          <t>112515965</t>
        </is>
      </c>
      <c r="D54" t="inlineStr">
        <is>
          <t>1</t>
        </is>
      </c>
      <c r="E54" t="inlineStr">
        <is>
          <t>Oran</t>
        </is>
      </c>
      <c r="F54" t="inlineStr">
        <is>
          <t>GAP — never evaluated</t>
        </is>
      </c>
      <c r="G54" t="inlineStr">
        <is>
          <t>likely SEG/employer-gated — verify FOM + biz card</t>
        </is>
      </c>
      <c r="H54" s="13" t="inlineStr">
        <is>
          <t>— not in main table</t>
        </is>
      </c>
    </row>
    <row r="55">
      <c r="A55" t="inlineStr">
        <is>
          <t>1204</t>
        </is>
      </c>
      <c r="B55" t="inlineStr">
        <is>
          <t>RANCHO</t>
        </is>
      </c>
      <c r="C55" t="inlineStr">
        <is>
          <t>110306322</t>
        </is>
      </c>
      <c r="D55" t="inlineStr">
        <is>
          <t>3</t>
        </is>
      </c>
      <c r="E55" t="inlineStr">
        <is>
          <t>Los +Oran</t>
        </is>
      </c>
      <c r="F55" t="inlineStr">
        <is>
          <t>GAP — never evaluated</t>
        </is>
      </c>
      <c r="G55" t="inlineStr">
        <is>
          <t>likely SEG/employer-gated — verify FOM + biz card</t>
        </is>
      </c>
      <c r="H55" s="13" t="inlineStr">
        <is>
          <t>— not in main table</t>
        </is>
      </c>
    </row>
    <row r="56">
      <c r="A56" t="inlineStr">
        <is>
          <t>7557</t>
        </is>
      </c>
      <c r="B56" t="inlineStr">
        <is>
          <t>GLENDALE</t>
        </is>
      </c>
      <c r="C56" t="inlineStr">
        <is>
          <t>102411161</t>
        </is>
      </c>
      <c r="D56" t="inlineStr">
        <is>
          <t>2</t>
        </is>
      </c>
      <c r="E56" t="inlineStr">
        <is>
          <t xml:space="preserve">Los </t>
        </is>
      </c>
      <c r="F56" t="inlineStr">
        <is>
          <t>GAP — never evaluated</t>
        </is>
      </c>
      <c r="G56" t="inlineStr">
        <is>
          <t>likely SEG/employer-gated — verify FOM + biz card</t>
        </is>
      </c>
      <c r="H56" s="13" t="inlineStr">
        <is>
          <t>— not in main table</t>
        </is>
      </c>
    </row>
    <row r="57">
      <c r="A57" t="inlineStr">
        <is>
          <t>5530</t>
        </is>
      </c>
      <c r="B57" t="inlineStr">
        <is>
          <t>VA DESERT PACIFIC</t>
        </is>
      </c>
      <c r="C57" t="inlineStr">
        <is>
          <t>98985355</t>
        </is>
      </c>
      <c r="D57" t="inlineStr">
        <is>
          <t>3</t>
        </is>
      </c>
      <c r="E57" t="inlineStr">
        <is>
          <t xml:space="preserve">Los </t>
        </is>
      </c>
      <c r="F57" t="inlineStr">
        <is>
          <t>GAP — never evaluated</t>
        </is>
      </c>
      <c r="G57" t="inlineStr">
        <is>
          <t>likely SEG/employer-gated — verify FOM + biz card</t>
        </is>
      </c>
      <c r="H57" s="13" t="inlineStr">
        <is>
          <t>— not in main table</t>
        </is>
      </c>
    </row>
    <row r="58">
      <c r="A58" t="inlineStr">
        <is>
          <t>24131</t>
        </is>
      </c>
      <c r="B58" t="inlineStr">
        <is>
          <t>UNION YES</t>
        </is>
      </c>
      <c r="C58" t="inlineStr">
        <is>
          <t>96920624</t>
        </is>
      </c>
      <c r="D58" t="inlineStr">
        <is>
          <t>1</t>
        </is>
      </c>
      <c r="E58" t="inlineStr">
        <is>
          <t>Oran</t>
        </is>
      </c>
      <c r="F58" t="inlineStr">
        <is>
          <t>GAP — never evaluated</t>
        </is>
      </c>
      <c r="G58" t="inlineStr">
        <is>
          <t>likely SEG/employer-gated — verify FOM + biz card</t>
        </is>
      </c>
      <c r="H58" s="13" t="inlineStr">
        <is>
          <t>— not in main table</t>
        </is>
      </c>
    </row>
    <row r="59">
      <c r="A59" t="inlineStr">
        <is>
          <t>8230</t>
        </is>
      </c>
      <c r="B59" t="inlineStr">
        <is>
          <t>TECHNICOLOR</t>
        </is>
      </c>
      <c r="C59" t="inlineStr">
        <is>
          <t>84893873</t>
        </is>
      </c>
      <c r="D59" t="inlineStr">
        <is>
          <t>1</t>
        </is>
      </c>
      <c r="E59" t="inlineStr">
        <is>
          <t xml:space="preserve">Los </t>
        </is>
      </c>
      <c r="F59" t="inlineStr">
        <is>
          <t>GAP — never evaluated</t>
        </is>
      </c>
      <c r="G59" t="inlineStr">
        <is>
          <t>likely SEG/employer-gated — verify FOM + biz card</t>
        </is>
      </c>
      <c r="H59" s="13" t="inlineStr">
        <is>
          <t>— not in main table</t>
        </is>
      </c>
    </row>
    <row r="60">
      <c r="A60" t="inlineStr">
        <is>
          <t>18623</t>
        </is>
      </c>
      <c r="B60" t="inlineStr">
        <is>
          <t>CALCOM</t>
        </is>
      </c>
      <c r="C60" t="inlineStr">
        <is>
          <t>82608794</t>
        </is>
      </c>
      <c r="D60" t="inlineStr">
        <is>
          <t>4</t>
        </is>
      </c>
      <c r="E60" t="inlineStr">
        <is>
          <t xml:space="preserve">Los </t>
        </is>
      </c>
      <c r="F60" t="inlineStr">
        <is>
          <t>GAP — never evaluated</t>
        </is>
      </c>
      <c r="G60" t="inlineStr">
        <is>
          <t>likely SEG/employer-gated — verify FOM + biz card</t>
        </is>
      </c>
      <c r="H60" s="13" t="inlineStr">
        <is>
          <t>— not in main table</t>
        </is>
      </c>
    </row>
    <row r="61">
      <c r="A61" t="inlineStr">
        <is>
          <t>65059</t>
        </is>
      </c>
      <c r="B61" t="inlineStr">
        <is>
          <t>NIKKEI</t>
        </is>
      </c>
      <c r="C61" t="inlineStr">
        <is>
          <t>80585718</t>
        </is>
      </c>
      <c r="D61" t="inlineStr">
        <is>
          <t>2</t>
        </is>
      </c>
      <c r="E61" t="inlineStr">
        <is>
          <t xml:space="preserve">Los </t>
        </is>
      </c>
      <c r="F61" t="inlineStr">
        <is>
          <t>GAP — never evaluated</t>
        </is>
      </c>
      <c r="G61" t="inlineStr">
        <is>
          <t>likely SEG/employer-gated — verify FOM + biz card</t>
        </is>
      </c>
      <c r="H61" s="13" t="inlineStr">
        <is>
          <t>— not in main table</t>
        </is>
      </c>
    </row>
    <row r="62">
      <c r="A62" t="inlineStr">
        <is>
          <t>14499</t>
        </is>
      </c>
      <c r="B62" t="inlineStr">
        <is>
          <t>CAL STATE L.A.</t>
        </is>
      </c>
      <c r="C62" t="inlineStr">
        <is>
          <t>79904552</t>
        </is>
      </c>
      <c r="D62" t="inlineStr">
        <is>
          <t>2</t>
        </is>
      </c>
      <c r="E62" t="inlineStr">
        <is>
          <t xml:space="preserve">Los </t>
        </is>
      </c>
      <c r="F62" t="inlineStr">
        <is>
          <t>GAP — never evaluated</t>
        </is>
      </c>
      <c r="G62" t="inlineStr">
        <is>
          <t>likely SEG/employer-gated — verify FOM + biz card</t>
        </is>
      </c>
      <c r="H62" s="13" t="inlineStr">
        <is>
          <t>— not in main table</t>
        </is>
      </c>
    </row>
    <row r="63">
      <c r="A63" t="inlineStr">
        <is>
          <t>86063</t>
        </is>
      </c>
      <c r="B63" t="inlineStr">
        <is>
          <t>POSTCITY FINANCIAL</t>
        </is>
      </c>
      <c r="C63" t="inlineStr">
        <is>
          <t>78185272</t>
        </is>
      </c>
      <c r="D63" t="inlineStr">
        <is>
          <t>2</t>
        </is>
      </c>
      <c r="E63" t="inlineStr">
        <is>
          <t xml:space="preserve">Los </t>
        </is>
      </c>
      <c r="F63" t="inlineStr">
        <is>
          <t>GAP — never evaluated</t>
        </is>
      </c>
      <c r="G63" t="inlineStr">
        <is>
          <t>likely SEG/employer-gated — verify FOM + biz card</t>
        </is>
      </c>
      <c r="H63" s="13" t="inlineStr">
        <is>
          <t>— not in main table</t>
        </is>
      </c>
    </row>
    <row r="64">
      <c r="A64" t="inlineStr">
        <is>
          <t>1034</t>
        </is>
      </c>
      <c r="B64" t="inlineStr">
        <is>
          <t>OLIVE VIEW EMPLOYEES</t>
        </is>
      </c>
      <c r="C64" t="inlineStr">
        <is>
          <t>75225960</t>
        </is>
      </c>
      <c r="D64" t="inlineStr">
        <is>
          <t>1</t>
        </is>
      </c>
      <c r="E64" t="inlineStr">
        <is>
          <t xml:space="preserve">Los </t>
        </is>
      </c>
      <c r="F64" t="inlineStr">
        <is>
          <t>GAP — never evaluated</t>
        </is>
      </c>
      <c r="G64" t="inlineStr">
        <is>
          <t>likely SEG/employer-gated — verify FOM + biz card</t>
        </is>
      </c>
      <c r="H64" s="13" t="inlineStr">
        <is>
          <t>— not in main table</t>
        </is>
      </c>
    </row>
    <row r="65">
      <c r="A65" t="inlineStr">
        <is>
          <t>19739</t>
        </is>
      </c>
      <c r="B65" t="inlineStr">
        <is>
          <t>POLAM</t>
        </is>
      </c>
      <c r="C65" t="inlineStr">
        <is>
          <t>73432824</t>
        </is>
      </c>
      <c r="D65" t="inlineStr">
        <is>
          <t>2</t>
        </is>
      </c>
      <c r="E65" t="inlineStr">
        <is>
          <t>Los +Oran</t>
        </is>
      </c>
      <c r="F65" t="inlineStr">
        <is>
          <t>GAP — never evaluated</t>
        </is>
      </c>
      <c r="G65" t="inlineStr">
        <is>
          <t>likely SEG/employer-gated — verify FOM + biz card</t>
        </is>
      </c>
      <c r="H65" s="13" t="inlineStr">
        <is>
          <t>— not in main table</t>
        </is>
      </c>
    </row>
    <row r="66">
      <c r="A66" t="inlineStr">
        <is>
          <t>64893</t>
        </is>
      </c>
      <c r="B66" t="inlineStr">
        <is>
          <t>UNIVERSAL CITY STUDIOS</t>
        </is>
      </c>
      <c r="C66" t="inlineStr">
        <is>
          <t>71839650</t>
        </is>
      </c>
      <c r="D66" t="inlineStr">
        <is>
          <t>2</t>
        </is>
      </c>
      <c r="E66" t="inlineStr">
        <is>
          <t xml:space="preserve">Los </t>
        </is>
      </c>
      <c r="F66" t="inlineStr">
        <is>
          <t>GAP — never evaluated</t>
        </is>
      </c>
      <c r="G66" t="inlineStr">
        <is>
          <t>likely SEG/employer-gated — verify FOM + biz card</t>
        </is>
      </c>
      <c r="H66" s="13" t="inlineStr">
        <is>
          <t>— not in main table</t>
        </is>
      </c>
    </row>
    <row r="67">
      <c r="A67" t="inlineStr">
        <is>
          <t>14650</t>
        </is>
      </c>
      <c r="B67" t="inlineStr">
        <is>
          <t>PARISHIONERS</t>
        </is>
      </c>
      <c r="C67" t="inlineStr">
        <is>
          <t>67162263</t>
        </is>
      </c>
      <c r="D67" t="inlineStr">
        <is>
          <t>1</t>
        </is>
      </c>
      <c r="E67" t="inlineStr">
        <is>
          <t xml:space="preserve">Los </t>
        </is>
      </c>
      <c r="F67" t="inlineStr">
        <is>
          <t>GAP — never evaluated</t>
        </is>
      </c>
      <c r="G67" t="inlineStr">
        <is>
          <t>likely SEG/employer-gated — verify FOM + biz card</t>
        </is>
      </c>
      <c r="H67" s="13" t="inlineStr">
        <is>
          <t>— not in main table</t>
        </is>
      </c>
    </row>
    <row r="68">
      <c r="A68" t="inlineStr">
        <is>
          <t>10433</t>
        </is>
      </c>
      <c r="B68" t="inlineStr">
        <is>
          <t>BOPTI</t>
        </is>
      </c>
      <c r="C68" t="inlineStr">
        <is>
          <t>64385017</t>
        </is>
      </c>
      <c r="D68" t="inlineStr">
        <is>
          <t>2</t>
        </is>
      </c>
      <c r="E68" t="inlineStr">
        <is>
          <t xml:space="preserve">Los </t>
        </is>
      </c>
      <c r="F68" t="inlineStr">
        <is>
          <t>GAP — never evaluated</t>
        </is>
      </c>
      <c r="G68" t="inlineStr">
        <is>
          <t>likely SEG/employer-gated — verify FOM + biz card</t>
        </is>
      </c>
      <c r="H68" s="13" t="inlineStr">
        <is>
          <t>— not in main table</t>
        </is>
      </c>
    </row>
    <row r="69">
      <c r="A69" t="inlineStr">
        <is>
          <t>60967</t>
        </is>
      </c>
      <c r="B69" t="inlineStr">
        <is>
          <t>HUNTINGTON BEACH</t>
        </is>
      </c>
      <c r="C69" t="inlineStr">
        <is>
          <t>55824368</t>
        </is>
      </c>
      <c r="D69" t="inlineStr">
        <is>
          <t>1</t>
        </is>
      </c>
      <c r="E69" t="inlineStr">
        <is>
          <t>Oran</t>
        </is>
      </c>
      <c r="F69" t="inlineStr">
        <is>
          <t>GAP — never evaluated</t>
        </is>
      </c>
      <c r="G69" t="inlineStr">
        <is>
          <t>likely SEG/employer-gated — verify FOM + biz card</t>
        </is>
      </c>
      <c r="H69" s="13" t="inlineStr">
        <is>
          <t>— not in main table</t>
        </is>
      </c>
    </row>
    <row r="70">
      <c r="A70" t="inlineStr">
        <is>
          <t>63589</t>
        </is>
      </c>
      <c r="B70" t="inlineStr">
        <is>
          <t>JACOM</t>
        </is>
      </c>
      <c r="C70" t="inlineStr">
        <is>
          <t>54866027</t>
        </is>
      </c>
      <c r="D70" t="inlineStr">
        <is>
          <t>1</t>
        </is>
      </c>
      <c r="E70" t="inlineStr">
        <is>
          <t xml:space="preserve">Los </t>
        </is>
      </c>
      <c r="F70" t="inlineStr">
        <is>
          <t>GAP — never evaluated</t>
        </is>
      </c>
      <c r="G70" t="inlineStr">
        <is>
          <t>likely SEG/employer-gated — verify FOM + biz card</t>
        </is>
      </c>
      <c r="H70" s="13" t="inlineStr">
        <is>
          <t>— not in main table</t>
        </is>
      </c>
    </row>
    <row r="71">
      <c r="A71" t="inlineStr">
        <is>
          <t>5684</t>
        </is>
      </c>
      <c r="B71" t="inlineStr">
        <is>
          <t>INLAND VALLEY</t>
        </is>
      </c>
      <c r="C71" t="inlineStr">
        <is>
          <t>54343947</t>
        </is>
      </c>
      <c r="D71" t="inlineStr">
        <is>
          <t>1</t>
        </is>
      </c>
      <c r="E71" t="inlineStr">
        <is>
          <t xml:space="preserve">San </t>
        </is>
      </c>
      <c r="F71" t="inlineStr">
        <is>
          <t>GAP — never evaluated</t>
        </is>
      </c>
      <c r="G71" t="inlineStr">
        <is>
          <t>likely SEG/employer-gated — verify FOM + biz card</t>
        </is>
      </c>
      <c r="H71" s="13" t="inlineStr">
        <is>
          <t>— not in main table</t>
        </is>
      </c>
    </row>
    <row r="72">
      <c r="A72" t="inlineStr">
        <is>
          <t>60755</t>
        </is>
      </c>
      <c r="B72" t="inlineStr">
        <is>
          <t>L. A. ELECTRICAL WORKERS CREDIT UN.</t>
        </is>
      </c>
      <c r="C72" t="inlineStr">
        <is>
          <t>53963437</t>
        </is>
      </c>
      <c r="D72" t="inlineStr">
        <is>
          <t>2</t>
        </is>
      </c>
      <c r="E72" t="inlineStr">
        <is>
          <t xml:space="preserve">Los </t>
        </is>
      </c>
      <c r="F72" t="inlineStr">
        <is>
          <t>GAP — never evaluated</t>
        </is>
      </c>
      <c r="G72" t="inlineStr">
        <is>
          <t>likely SEG/employer-gated — verify FOM + biz card</t>
        </is>
      </c>
      <c r="H72" s="13" t="inlineStr">
        <is>
          <t>— not in main table</t>
        </is>
      </c>
    </row>
    <row r="73">
      <c r="A73" t="inlineStr">
        <is>
          <t>12029</t>
        </is>
      </c>
      <c r="B73" t="inlineStr">
        <is>
          <t>UNITED CATHOLICS</t>
        </is>
      </c>
      <c r="C73" t="inlineStr">
        <is>
          <t>50035236</t>
        </is>
      </c>
      <c r="D73" t="inlineStr">
        <is>
          <t>1</t>
        </is>
      </c>
      <c r="E73" t="inlineStr">
        <is>
          <t xml:space="preserve">Los </t>
        </is>
      </c>
      <c r="F73" t="inlineStr">
        <is>
          <t>GAP — never evaluated</t>
        </is>
      </c>
      <c r="G73" t="inlineStr">
        <is>
          <t>likely SEG/employer-gated — verify FOM + biz card</t>
        </is>
      </c>
      <c r="H73" s="13" t="inlineStr">
        <is>
          <t>— not in main table</t>
        </is>
      </c>
    </row>
    <row r="74">
      <c r="A74" t="inlineStr">
        <is>
          <t>21532</t>
        </is>
      </c>
      <c r="B74" t="inlineStr">
        <is>
          <t>U.P.S. EMPLOYEES</t>
        </is>
      </c>
      <c r="C74" t="inlineStr">
        <is>
          <t>48924495</t>
        </is>
      </c>
      <c r="D74" t="inlineStr">
        <is>
          <t>1</t>
        </is>
      </c>
      <c r="E74" t="inlineStr">
        <is>
          <t xml:space="preserve">San </t>
        </is>
      </c>
      <c r="F74" t="inlineStr">
        <is>
          <t>GAP — never evaluated</t>
        </is>
      </c>
      <c r="G74" t="inlineStr">
        <is>
          <t>likely SEG/employer-gated — verify FOM + biz card</t>
        </is>
      </c>
      <c r="H74" s="13" t="inlineStr">
        <is>
          <t>— not in main table</t>
        </is>
      </c>
    </row>
    <row r="75">
      <c r="A75" t="inlineStr">
        <is>
          <t>68167</t>
        </is>
      </c>
      <c r="B75" t="inlineStr">
        <is>
          <t>COLLEGEDALE</t>
        </is>
      </c>
      <c r="C75" t="inlineStr">
        <is>
          <t>44663588</t>
        </is>
      </c>
      <c r="D75" t="inlineStr">
        <is>
          <t>1</t>
        </is>
      </c>
      <c r="E75" t="inlineStr">
        <is>
          <t xml:space="preserve">San </t>
        </is>
      </c>
      <c r="F75" t="inlineStr">
        <is>
          <t>GAP — never evaluated</t>
        </is>
      </c>
      <c r="G75" t="inlineStr">
        <is>
          <t>likely SEG/employer-gated — verify FOM + biz card</t>
        </is>
      </c>
      <c r="H75" s="13" t="inlineStr">
        <is>
          <t>— not in main table</t>
        </is>
      </c>
    </row>
    <row r="76">
      <c r="A76" t="inlineStr">
        <is>
          <t>16954</t>
        </is>
      </c>
      <c r="B76" t="inlineStr">
        <is>
          <t>FOX</t>
        </is>
      </c>
      <c r="C76" t="inlineStr">
        <is>
          <t>38149010</t>
        </is>
      </c>
      <c r="D76" t="inlineStr">
        <is>
          <t>4</t>
        </is>
      </c>
      <c r="E76" t="inlineStr">
        <is>
          <t xml:space="preserve">Los </t>
        </is>
      </c>
      <c r="F76" t="inlineStr">
        <is>
          <t>GAP — never evaluated</t>
        </is>
      </c>
      <c r="G76" t="inlineStr">
        <is>
          <t>likely SEG/employer-gated — verify FOM + biz card</t>
        </is>
      </c>
      <c r="H76" s="13" t="inlineStr">
        <is>
          <t>— not in main table</t>
        </is>
      </c>
    </row>
    <row r="77">
      <c r="A77" t="inlineStr">
        <is>
          <t>68549</t>
        </is>
      </c>
      <c r="B77" t="inlineStr">
        <is>
          <t>MEDIA CITY</t>
        </is>
      </c>
      <c r="C77" t="inlineStr">
        <is>
          <t>37814881</t>
        </is>
      </c>
      <c r="D77" t="inlineStr">
        <is>
          <t>1</t>
        </is>
      </c>
      <c r="E77" t="inlineStr">
        <is>
          <t xml:space="preserve">Los </t>
        </is>
      </c>
      <c r="F77" t="inlineStr">
        <is>
          <t>GAP — never evaluated</t>
        </is>
      </c>
      <c r="G77" t="inlineStr">
        <is>
          <t>likely SEG/employer-gated — verify FOM + biz card</t>
        </is>
      </c>
      <c r="H77" s="13" t="inlineStr">
        <is>
          <t>— not in main table</t>
        </is>
      </c>
    </row>
    <row r="78">
      <c r="A78" t="inlineStr">
        <is>
          <t>16268</t>
        </is>
      </c>
      <c r="B78" t="inlineStr">
        <is>
          <t>W S S C</t>
        </is>
      </c>
      <c r="C78" t="inlineStr">
        <is>
          <t>34955726</t>
        </is>
      </c>
      <c r="D78" t="inlineStr">
        <is>
          <t>1</t>
        </is>
      </c>
      <c r="E78" t="inlineStr">
        <is>
          <t xml:space="preserve">San </t>
        </is>
      </c>
      <c r="F78" t="inlineStr">
        <is>
          <t>GAP — never evaluated</t>
        </is>
      </c>
      <c r="G78" t="inlineStr">
        <is>
          <t>likely SEG/employer-gated — verify FOM + biz card</t>
        </is>
      </c>
      <c r="H78" s="13" t="inlineStr">
        <is>
          <t>— not in main table</t>
        </is>
      </c>
    </row>
    <row r="79">
      <c r="A79" t="inlineStr">
        <is>
          <t>8611</t>
        </is>
      </c>
      <c r="B79" t="inlineStr">
        <is>
          <t>CAPSTONE</t>
        </is>
      </c>
      <c r="C79" t="inlineStr">
        <is>
          <t>34573149</t>
        </is>
      </c>
      <c r="D79" t="inlineStr">
        <is>
          <t>1</t>
        </is>
      </c>
      <c r="E79" t="inlineStr">
        <is>
          <t>Oran</t>
        </is>
      </c>
      <c r="F79" t="inlineStr">
        <is>
          <t>GAP — never evaluated</t>
        </is>
      </c>
      <c r="G79" t="inlineStr">
        <is>
          <t>likely SEG/employer-gated — verify FOM + biz card</t>
        </is>
      </c>
      <c r="H79" s="13" t="inlineStr">
        <is>
          <t>— not in main table</t>
        </is>
      </c>
    </row>
    <row r="80">
      <c r="A80" t="inlineStr">
        <is>
          <t>95072</t>
        </is>
      </c>
      <c r="B80" t="inlineStr">
        <is>
          <t>EL MONTE COMMUNITY</t>
        </is>
      </c>
      <c r="C80" t="inlineStr">
        <is>
          <t>32961526</t>
        </is>
      </c>
      <c r="D80" t="inlineStr">
        <is>
          <t>1</t>
        </is>
      </c>
      <c r="E80" t="inlineStr">
        <is>
          <t xml:space="preserve">Los </t>
        </is>
      </c>
      <c r="F80" t="inlineStr">
        <is>
          <t>GAP — never evaluated</t>
        </is>
      </c>
      <c r="G80" t="inlineStr">
        <is>
          <t>likely SEG/employer-gated — verify FOM + biz card</t>
        </is>
      </c>
      <c r="H80" s="13" t="inlineStr">
        <is>
          <t>— not in main table</t>
        </is>
      </c>
    </row>
    <row r="81">
      <c r="A81" t="inlineStr">
        <is>
          <t>24549</t>
        </is>
      </c>
      <c r="B81" t="inlineStr">
        <is>
          <t>HANIN</t>
        </is>
      </c>
      <c r="C81" t="inlineStr">
        <is>
          <t>31725210</t>
        </is>
      </c>
      <c r="D81" t="inlineStr">
        <is>
          <t>1</t>
        </is>
      </c>
      <c r="E81" t="inlineStr">
        <is>
          <t xml:space="preserve">Los </t>
        </is>
      </c>
      <c r="F81" t="inlineStr">
        <is>
          <t>GAP — never evaluated</t>
        </is>
      </c>
      <c r="G81" t="inlineStr">
        <is>
          <t>likely SEG/employer-gated — verify FOM + biz card</t>
        </is>
      </c>
      <c r="H81" s="13" t="inlineStr">
        <is>
          <t>— not in main table</t>
        </is>
      </c>
    </row>
    <row r="82">
      <c r="A82" t="inlineStr">
        <is>
          <t>8261</t>
        </is>
      </c>
      <c r="B82" t="inlineStr">
        <is>
          <t>MATTEL</t>
        </is>
      </c>
      <c r="C82" t="inlineStr">
        <is>
          <t>29130616</t>
        </is>
      </c>
      <c r="D82" t="inlineStr">
        <is>
          <t>4</t>
        </is>
      </c>
      <c r="E82" t="inlineStr">
        <is>
          <t xml:space="preserve">Los </t>
        </is>
      </c>
      <c r="F82" t="inlineStr">
        <is>
          <t>GAP — never evaluated</t>
        </is>
      </c>
      <c r="G82" t="inlineStr">
        <is>
          <t>likely SEG/employer-gated — verify FOM + biz card</t>
        </is>
      </c>
      <c r="H82" s="13" t="inlineStr">
        <is>
          <t>— not in main table</t>
        </is>
      </c>
    </row>
    <row r="83">
      <c r="A83" t="inlineStr">
        <is>
          <t>68052</t>
        </is>
      </c>
      <c r="B83" t="inlineStr">
        <is>
          <t>CENTER CITY COMMUNITY</t>
        </is>
      </c>
      <c r="C83" t="inlineStr">
        <is>
          <t>25266816</t>
        </is>
      </c>
      <c r="D83" t="inlineStr">
        <is>
          <t>1</t>
        </is>
      </c>
      <c r="E83" t="inlineStr">
        <is>
          <t>Oran</t>
        </is>
      </c>
      <c r="F83" t="inlineStr">
        <is>
          <t>GAP — never evaluated</t>
        </is>
      </c>
      <c r="G83" t="inlineStr">
        <is>
          <t>likely SEG/employer-gated — verify FOM + biz card</t>
        </is>
      </c>
      <c r="H83" s="13" t="inlineStr">
        <is>
          <t>— not in main table</t>
        </is>
      </c>
    </row>
    <row r="84">
      <c r="A84" t="inlineStr">
        <is>
          <t>13044</t>
        </is>
      </c>
      <c r="B84" t="inlineStr">
        <is>
          <t>ONTARIO PUBLIC EMPLOYEES</t>
        </is>
      </c>
      <c r="C84" t="inlineStr">
        <is>
          <t>23434614</t>
        </is>
      </c>
      <c r="D84" t="inlineStr">
        <is>
          <t>1</t>
        </is>
      </c>
      <c r="E84" t="inlineStr">
        <is>
          <t xml:space="preserve">San </t>
        </is>
      </c>
      <c r="F84" t="inlineStr">
        <is>
          <t>GAP — never evaluated</t>
        </is>
      </c>
      <c r="G84" t="inlineStr">
        <is>
          <t>likely SEG/employer-gated — verify FOM + biz card</t>
        </is>
      </c>
      <c r="H84" s="13" t="inlineStr">
        <is>
          <t>— not in main table</t>
        </is>
      </c>
    </row>
    <row r="85">
      <c r="A85" t="inlineStr">
        <is>
          <t>15784</t>
        </is>
      </c>
      <c r="B85" t="inlineStr">
        <is>
          <t>NOVO</t>
        </is>
      </c>
      <c r="C85" t="inlineStr">
        <is>
          <t>20774379</t>
        </is>
      </c>
      <c r="D85" t="inlineStr">
        <is>
          <t>2</t>
        </is>
      </c>
      <c r="E85" t="inlineStr">
        <is>
          <t>Rive</t>
        </is>
      </c>
      <c r="F85" t="inlineStr">
        <is>
          <t>GAP — never evaluated</t>
        </is>
      </c>
      <c r="G85" t="inlineStr">
        <is>
          <t>likely SEG/employer-gated — verify FOM + biz card</t>
        </is>
      </c>
      <c r="H85" s="13" t="inlineStr">
        <is>
          <t>— not in main table</t>
        </is>
      </c>
    </row>
    <row r="86">
      <c r="A86" t="inlineStr">
        <is>
          <t>12898</t>
        </is>
      </c>
      <c r="B86" t="inlineStr">
        <is>
          <t>FONTANA</t>
        </is>
      </c>
      <c r="C86" t="inlineStr">
        <is>
          <t>17231223</t>
        </is>
      </c>
      <c r="D86" t="inlineStr">
        <is>
          <t>2</t>
        </is>
      </c>
      <c r="E86" t="inlineStr">
        <is>
          <t xml:space="preserve">San </t>
        </is>
      </c>
      <c r="F86" t="inlineStr">
        <is>
          <t>GAP — never evaluated</t>
        </is>
      </c>
      <c r="G86" t="inlineStr">
        <is>
          <t>likely SEG/employer-gated — verify FOM + biz card</t>
        </is>
      </c>
      <c r="H86" s="13" t="inlineStr">
        <is>
          <t>— not in main table</t>
        </is>
      </c>
    </row>
    <row r="87">
      <c r="A87" t="inlineStr">
        <is>
          <t>95073</t>
        </is>
      </c>
      <c r="B87" t="inlineStr">
        <is>
          <t>MID-CITIES</t>
        </is>
      </c>
      <c r="C87" t="inlineStr">
        <is>
          <t>16279430</t>
        </is>
      </c>
      <c r="D87" t="inlineStr">
        <is>
          <t>1</t>
        </is>
      </c>
      <c r="E87" t="inlineStr">
        <is>
          <t xml:space="preserve">Los </t>
        </is>
      </c>
      <c r="F87" t="inlineStr">
        <is>
          <t>GAP — never evaluated</t>
        </is>
      </c>
      <c r="G87" t="inlineStr">
        <is>
          <t>likely SEG/employer-gated — verify FOM + biz card</t>
        </is>
      </c>
      <c r="H87" s="13" t="inlineStr">
        <is>
          <t>— not in main table</t>
        </is>
      </c>
    </row>
    <row r="88">
      <c r="A88" t="inlineStr">
        <is>
          <t>16571</t>
        </is>
      </c>
      <c r="B88" t="inlineStr">
        <is>
          <t>L.A. HEALTHCARE</t>
        </is>
      </c>
      <c r="C88" t="inlineStr">
        <is>
          <t>14970369</t>
        </is>
      </c>
      <c r="D88" t="inlineStr">
        <is>
          <t>2</t>
        </is>
      </c>
      <c r="E88" t="inlineStr">
        <is>
          <t xml:space="preserve">Los </t>
        </is>
      </c>
      <c r="F88" t="inlineStr">
        <is>
          <t>GAP — never evaluated</t>
        </is>
      </c>
      <c r="G88" t="inlineStr">
        <is>
          <t>likely SEG/employer-gated — verify FOM + biz card</t>
        </is>
      </c>
      <c r="H88" s="13" t="inlineStr">
        <is>
          <t>— not in main table</t>
        </is>
      </c>
    </row>
    <row r="89">
      <c r="A89" t="inlineStr">
        <is>
          <t>9823</t>
        </is>
      </c>
      <c r="B89" t="inlineStr">
        <is>
          <t>BEVERLY HILLS CITY EMPLOYEES</t>
        </is>
      </c>
      <c r="C89" t="inlineStr">
        <is>
          <t>14904068</t>
        </is>
      </c>
      <c r="D89" t="inlineStr">
        <is>
          <t>1</t>
        </is>
      </c>
      <c r="E89" t="inlineStr">
        <is>
          <t xml:space="preserve">Los </t>
        </is>
      </c>
      <c r="F89" t="inlineStr">
        <is>
          <t>GAP — never evaluated</t>
        </is>
      </c>
      <c r="G89" t="inlineStr">
        <is>
          <t>likely SEG/employer-gated — verify FOM + biz card</t>
        </is>
      </c>
      <c r="H89" s="13" t="inlineStr">
        <is>
          <t>— not in main table</t>
        </is>
      </c>
    </row>
    <row r="90">
      <c r="A90" t="inlineStr">
        <is>
          <t>24776</t>
        </is>
      </c>
      <c r="B90" t="inlineStr">
        <is>
          <t>COMUNIDAD LATINA</t>
        </is>
      </c>
      <c r="C90" t="inlineStr">
        <is>
          <t>11186420</t>
        </is>
      </c>
      <c r="D90" t="inlineStr">
        <is>
          <t>1</t>
        </is>
      </c>
      <c r="E90" t="inlineStr">
        <is>
          <t>Oran</t>
        </is>
      </c>
      <c r="F90" t="inlineStr">
        <is>
          <t>GAP — never evaluated</t>
        </is>
      </c>
      <c r="G90" t="inlineStr">
        <is>
          <t>likely SEG/employer-gated — verify FOM + biz card</t>
        </is>
      </c>
      <c r="H90" s="13" t="inlineStr">
        <is>
          <t>— not in main table</t>
        </is>
      </c>
    </row>
    <row r="91">
      <c r="A91" t="inlineStr">
        <is>
          <t>9778</t>
        </is>
      </c>
      <c r="B91" t="inlineStr">
        <is>
          <t>REDLANDS CITY EMPLOYEES</t>
        </is>
      </c>
      <c r="C91" t="inlineStr">
        <is>
          <t>10290642</t>
        </is>
      </c>
      <c r="D91" t="inlineStr">
        <is>
          <t>1</t>
        </is>
      </c>
      <c r="E91" t="inlineStr">
        <is>
          <t xml:space="preserve">San </t>
        </is>
      </c>
      <c r="F91" t="inlineStr">
        <is>
          <t>GAP — never evaluated</t>
        </is>
      </c>
      <c r="G91" t="inlineStr">
        <is>
          <t>likely SEG/employer-gated — verify FOM + biz card</t>
        </is>
      </c>
      <c r="H91" s="13" t="inlineStr">
        <is>
          <t>— not in main table</t>
        </is>
      </c>
    </row>
    <row r="92">
      <c r="A92" t="inlineStr">
        <is>
          <t>24506</t>
        </is>
      </c>
      <c r="B92" t="inlineStr">
        <is>
          <t>EPISCOPAL COMMUNITY</t>
        </is>
      </c>
      <c r="C92" t="inlineStr">
        <is>
          <t>6625294</t>
        </is>
      </c>
      <c r="D92" t="inlineStr">
        <is>
          <t>1</t>
        </is>
      </c>
      <c r="E92" t="inlineStr">
        <is>
          <t xml:space="preserve">Los </t>
        </is>
      </c>
      <c r="F92" t="inlineStr">
        <is>
          <t>GAP — never evaluated</t>
        </is>
      </c>
      <c r="G92" t="inlineStr">
        <is>
          <t>likely SEG/employer-gated — verify FOM + biz card</t>
        </is>
      </c>
      <c r="H92" s="13" t="inlineStr">
        <is>
          <t>— not in main table</t>
        </is>
      </c>
    </row>
    <row r="93">
      <c r="A93" t="inlineStr">
        <is>
          <t>17841</t>
        </is>
      </c>
      <c r="B93" t="inlineStr">
        <is>
          <t>VALLEY AGRICULTURAL</t>
        </is>
      </c>
      <c r="C93" t="inlineStr">
        <is>
          <t>4755068</t>
        </is>
      </c>
      <c r="D93" t="inlineStr">
        <is>
          <t>1</t>
        </is>
      </c>
      <c r="E93" t="inlineStr">
        <is>
          <t xml:space="preserve">Los </t>
        </is>
      </c>
      <c r="F93" t="inlineStr">
        <is>
          <t>GAP — never evaluated</t>
        </is>
      </c>
      <c r="G93" t="inlineStr">
        <is>
          <t>likely SEG/employer-gated — verify FOM + biz card</t>
        </is>
      </c>
      <c r="H93" s="13" t="inlineStr">
        <is>
          <t>— not in main table</t>
        </is>
      </c>
    </row>
    <row r="94">
      <c r="A94" t="inlineStr">
        <is>
          <t>4393</t>
        </is>
      </c>
      <c r="B94" t="inlineStr">
        <is>
          <t>SUNKIST EMPLOYEES</t>
        </is>
      </c>
      <c r="C94" t="inlineStr">
        <is>
          <t>3959286</t>
        </is>
      </c>
      <c r="D94" t="inlineStr">
        <is>
          <t>1</t>
        </is>
      </c>
      <c r="E94" t="inlineStr">
        <is>
          <t xml:space="preserve">Los </t>
        </is>
      </c>
      <c r="F94" t="inlineStr">
        <is>
          <t>GAP — never evaluated</t>
        </is>
      </c>
      <c r="G94" t="inlineStr">
        <is>
          <t>likely SEG/employer-gated — verify FOM + biz card</t>
        </is>
      </c>
      <c r="H94" s="13" t="inlineStr">
        <is>
          <t>— not in main table</t>
        </is>
      </c>
    </row>
    <row r="95">
      <c r="A95" t="inlineStr">
        <is>
          <t>5960</t>
        </is>
      </c>
      <c r="B95" t="inlineStr">
        <is>
          <t>U.S.B. EMPLOYEES</t>
        </is>
      </c>
      <c r="C95" t="inlineStr">
        <is>
          <t>3207028</t>
        </is>
      </c>
      <c r="D95" t="inlineStr">
        <is>
          <t>1</t>
        </is>
      </c>
      <c r="E95" t="inlineStr">
        <is>
          <t xml:space="preserve">Los </t>
        </is>
      </c>
      <c r="F95" t="inlineStr">
        <is>
          <t>GAP — never evaluated</t>
        </is>
      </c>
      <c r="G95" t="inlineStr">
        <is>
          <t>likely SEG/employer-gated — verify FOM + biz card</t>
        </is>
      </c>
      <c r="H95" s="13" t="inlineStr">
        <is>
          <t>— not in main table</t>
        </is>
      </c>
    </row>
    <row r="96">
      <c r="A96" t="inlineStr">
        <is>
          <t>9044</t>
        </is>
      </c>
      <c r="B96" t="inlineStr">
        <is>
          <t>COLUMBUS CLUB</t>
        </is>
      </c>
      <c r="C96" t="inlineStr">
        <is>
          <t>3040635</t>
        </is>
      </c>
      <c r="D96" t="inlineStr">
        <is>
          <t>1</t>
        </is>
      </c>
      <c r="E96" t="inlineStr">
        <is>
          <t xml:space="preserve">Los </t>
        </is>
      </c>
      <c r="F96" t="inlineStr">
        <is>
          <t>GAP — never evaluated</t>
        </is>
      </c>
      <c r="G96" t="inlineStr">
        <is>
          <t>likely SEG/employer-gated — verify FOM + biz card</t>
        </is>
      </c>
      <c r="H96" s="13" t="inlineStr">
        <is>
          <t>— not in main table</t>
        </is>
      </c>
    </row>
    <row r="97">
      <c r="A97" t="inlineStr">
        <is>
          <t>64108</t>
        </is>
      </c>
      <c r="B97" t="inlineStr">
        <is>
          <t>FOUNTAIN VALLEY</t>
        </is>
      </c>
      <c r="C97" t="inlineStr">
        <is>
          <t>1964804</t>
        </is>
      </c>
      <c r="D97" t="inlineStr">
        <is>
          <t>1</t>
        </is>
      </c>
      <c r="E97" t="inlineStr">
        <is>
          <t>Oran</t>
        </is>
      </c>
      <c r="F97" t="inlineStr">
        <is>
          <t>GAP — never evaluated</t>
        </is>
      </c>
      <c r="G97" t="inlineStr">
        <is>
          <t>likely SEG/employer-gated — verify FOM + biz card</t>
        </is>
      </c>
      <c r="H97" s="13" t="inlineStr">
        <is>
          <t>— not in main table</t>
        </is>
      </c>
    </row>
    <row r="98">
      <c r="A98" t="inlineStr">
        <is>
          <t>10648</t>
        </is>
      </c>
      <c r="B98" t="inlineStr">
        <is>
          <t>MARYKNOLL OF L A</t>
        </is>
      </c>
      <c r="C98" t="inlineStr">
        <is>
          <t>1151903</t>
        </is>
      </c>
      <c r="D98" t="inlineStr">
        <is>
          <t>2</t>
        </is>
      </c>
      <c r="E98" t="inlineStr">
        <is>
          <t xml:space="preserve">Los </t>
        </is>
      </c>
      <c r="F98" t="inlineStr">
        <is>
          <t>GAP — never evaluated</t>
        </is>
      </c>
      <c r="G98" t="inlineStr">
        <is>
          <t>likely SEG/employer-gated — verify FOM + biz card</t>
        </is>
      </c>
      <c r="H98" s="13" t="inlineStr">
        <is>
          <t>— not in main table</t>
        </is>
      </c>
    </row>
    <row r="99">
      <c r="A99" t="inlineStr">
        <is>
          <t>5536</t>
        </is>
      </c>
      <c r="B99" t="inlineStr">
        <is>
          <t>NAVY FEDERAL CREDIT UNION</t>
        </is>
      </c>
      <c r="C99" t="inlineStr">
        <is>
          <t>203558954708</t>
        </is>
      </c>
      <c r="D99" t="inlineStr">
        <is>
          <t>19</t>
        </is>
      </c>
      <c r="E99" t="inlineStr">
        <is>
          <t xml:space="preserve">Los +Oran+Rive+San </t>
        </is>
      </c>
      <c r="F99" t="inlineStr">
        <is>
          <t>COVERED</t>
        </is>
      </c>
      <c r="G99">
        <f> Navy Federal Credit Union</f>
        <v/>
      </c>
      <c r="H99" s="13" t="inlineStr">
        <is>
          <t>— not in main table</t>
        </is>
      </c>
    </row>
    <row r="100">
      <c r="A100" t="inlineStr">
        <is>
          <t>24212</t>
        </is>
      </c>
      <c r="B100" t="inlineStr">
        <is>
          <t>SCHOOLSFIRST</t>
        </is>
      </c>
      <c r="C100" t="inlineStr">
        <is>
          <t>36737428874</t>
        </is>
      </c>
      <c r="D100" t="inlineStr">
        <is>
          <t>63</t>
        </is>
      </c>
      <c r="E100" t="inlineStr">
        <is>
          <t xml:space="preserve">Los +Oran+Rive+San </t>
        </is>
      </c>
      <c r="F100" t="inlineStr">
        <is>
          <t>COVERED</t>
        </is>
      </c>
      <c r="G100">
        <f> SchoolsFirst</f>
        <v/>
      </c>
      <c r="H100" s="7" t="inlineStr">
        <is>
          <t>✓ covered — SchoolsFirst Federal Credit Union</t>
        </is>
      </c>
    </row>
    <row r="101">
      <c r="A101" t="inlineStr">
        <is>
          <t>61650</t>
        </is>
      </c>
      <c r="B101" t="inlineStr">
        <is>
          <t>THE GOLDEN 1</t>
        </is>
      </c>
      <c r="C101" t="inlineStr">
        <is>
          <t>21737187207</t>
        </is>
      </c>
      <c r="D101" t="inlineStr">
        <is>
          <t>1</t>
        </is>
      </c>
      <c r="E101" t="inlineStr">
        <is>
          <t xml:space="preserve">San </t>
        </is>
      </c>
      <c r="F101" t="inlineStr">
        <is>
          <t>COVERED</t>
        </is>
      </c>
      <c r="G101">
        <f> Golden 1 Credit Union</f>
        <v/>
      </c>
      <c r="H101" s="7" t="inlineStr">
        <is>
          <t>✓ covered — Golden 1 Credit Union</t>
        </is>
      </c>
    </row>
    <row r="102">
      <c r="A102" t="inlineStr">
        <is>
          <t>5913</t>
        </is>
      </c>
      <c r="B102" t="inlineStr">
        <is>
          <t>GLOBAL</t>
        </is>
      </c>
      <c r="C102" t="inlineStr">
        <is>
          <t>12863315758</t>
        </is>
      </c>
      <c r="D102" t="inlineStr">
        <is>
          <t>6</t>
        </is>
      </c>
      <c r="E102" t="inlineStr">
        <is>
          <t xml:space="preserve">San </t>
        </is>
      </c>
      <c r="F102" t="inlineStr">
        <is>
          <t>COVERED</t>
        </is>
      </c>
      <c r="G102">
        <f> Global Credit Union</f>
        <v/>
      </c>
      <c r="H102" s="13" t="inlineStr">
        <is>
          <t>— not in main table</t>
        </is>
      </c>
    </row>
    <row r="103">
      <c r="A103" t="inlineStr">
        <is>
          <t>1999</t>
        </is>
      </c>
      <c r="B103" t="inlineStr">
        <is>
          <t>LOGIX</t>
        </is>
      </c>
      <c r="C103" t="inlineStr">
        <is>
          <t>9716129809</t>
        </is>
      </c>
      <c r="D103" t="inlineStr">
        <is>
          <t>14</t>
        </is>
      </c>
      <c r="E103" t="inlineStr">
        <is>
          <t xml:space="preserve">Los </t>
        </is>
      </c>
      <c r="F103" t="inlineStr">
        <is>
          <t>COVERED</t>
        </is>
      </c>
      <c r="G103">
        <f> Logix Federal Credit Union</f>
        <v/>
      </c>
      <c r="H103" s="13" t="inlineStr">
        <is>
          <t>— not in main table</t>
        </is>
      </c>
    </row>
    <row r="104">
      <c r="A104" t="inlineStr">
        <is>
          <t>61004</t>
        </is>
      </c>
      <c r="B104" t="inlineStr">
        <is>
          <t>SAN DIEGO COUNTY</t>
        </is>
      </c>
      <c r="C104" t="inlineStr">
        <is>
          <t>9382858048</t>
        </is>
      </c>
      <c r="D104" t="inlineStr">
        <is>
          <t>8</t>
        </is>
      </c>
      <c r="E104" t="inlineStr">
        <is>
          <t>Oran+Rive</t>
        </is>
      </c>
      <c r="F104" t="inlineStr">
        <is>
          <t>COVERED</t>
        </is>
      </c>
      <c r="G104">
        <f> San Diego County Credit Union (SDCCU)</f>
        <v/>
      </c>
      <c r="H104" s="7" t="inlineStr">
        <is>
          <t>✓ covered — San Diego County Credit Union (SDCCU)</t>
        </is>
      </c>
    </row>
    <row r="105">
      <c r="A105" t="inlineStr">
        <is>
          <t>66703</t>
        </is>
      </c>
      <c r="B105" t="inlineStr">
        <is>
          <t>WESCOM CENTRAL</t>
        </is>
      </c>
      <c r="C105" t="inlineStr">
        <is>
          <t>6472794298</t>
        </is>
      </c>
      <c r="D105" t="inlineStr">
        <is>
          <t>25</t>
        </is>
      </c>
      <c r="E105" t="inlineStr">
        <is>
          <t xml:space="preserve">Los +Oran+Rive+San </t>
        </is>
      </c>
      <c r="F105" t="inlineStr">
        <is>
          <t>COVERED</t>
        </is>
      </c>
      <c r="G105">
        <f> Wescom Credit Union</f>
        <v/>
      </c>
      <c r="H105" s="7" t="inlineStr">
        <is>
          <t>✓ covered — Wescom Credit Union</t>
        </is>
      </c>
    </row>
    <row r="106">
      <c r="A106" t="inlineStr">
        <is>
          <t>4142</t>
        </is>
      </c>
      <c r="B106" t="inlineStr">
        <is>
          <t>KINECTA</t>
        </is>
      </c>
      <c r="C106" t="inlineStr">
        <is>
          <t>6443715004</t>
        </is>
      </c>
      <c r="D106" t="inlineStr">
        <is>
          <t>20</t>
        </is>
      </c>
      <c r="E106" t="inlineStr">
        <is>
          <t>Los +Oran</t>
        </is>
      </c>
      <c r="F106" t="inlineStr">
        <is>
          <t>COVERED</t>
        </is>
      </c>
      <c r="G106">
        <f> Kinecta Federal Credit Union</f>
        <v/>
      </c>
      <c r="H106" s="7" t="inlineStr">
        <is>
          <t>✓ covered — Kinecta Federal Credit Union</t>
        </is>
      </c>
    </row>
    <row r="107">
      <c r="A107" t="inlineStr">
        <is>
          <t>24980</t>
        </is>
      </c>
      <c r="B107" t="inlineStr">
        <is>
          <t>CALIFORNIA</t>
        </is>
      </c>
      <c r="C107" t="inlineStr">
        <is>
          <t>5413638046</t>
        </is>
      </c>
      <c r="D107" t="inlineStr">
        <is>
          <t>14</t>
        </is>
      </c>
      <c r="E107" t="inlineStr">
        <is>
          <t>Los +Oran</t>
        </is>
      </c>
      <c r="F107" t="inlineStr">
        <is>
          <t>COVERED</t>
        </is>
      </c>
      <c r="G107">
        <f> California Credit Union</f>
        <v/>
      </c>
      <c r="H107" s="7" t="inlineStr">
        <is>
          <t>✓ covered — California Bank &amp; Trust</t>
        </is>
      </c>
    </row>
    <row r="108">
      <c r="A108" t="inlineStr">
        <is>
          <t>24983</t>
        </is>
      </c>
      <c r="B108" t="inlineStr">
        <is>
          <t>CREDIT UNION OF SOUTHERN CA, A</t>
        </is>
      </c>
      <c r="C108" t="inlineStr">
        <is>
          <t>3942853719</t>
        </is>
      </c>
      <c r="D108" t="inlineStr">
        <is>
          <t>26</t>
        </is>
      </c>
      <c r="E108" t="inlineStr">
        <is>
          <t xml:space="preserve">Los +Oran+Rive+San </t>
        </is>
      </c>
      <c r="F108" t="inlineStr">
        <is>
          <t>COVERED</t>
        </is>
      </c>
      <c r="G108">
        <f> Credit Union of Southern California</f>
        <v/>
      </c>
      <c r="H108" s="13" t="inlineStr">
        <is>
          <t>— not in main table</t>
        </is>
      </c>
    </row>
    <row r="109">
      <c r="A109" t="inlineStr">
        <is>
          <t>566</t>
        </is>
      </c>
      <c r="B109" t="inlineStr">
        <is>
          <t>NUVISION</t>
        </is>
      </c>
      <c r="C109" t="inlineStr">
        <is>
          <t>3935777489</t>
        </is>
      </c>
      <c r="D109" t="inlineStr">
        <is>
          <t>12</t>
        </is>
      </c>
      <c r="E109" t="inlineStr">
        <is>
          <t>Los +Oran</t>
        </is>
      </c>
      <c r="F109" t="inlineStr">
        <is>
          <t>COVERED</t>
        </is>
      </c>
      <c r="G109">
        <f> Nuvision Credit Union</f>
        <v/>
      </c>
      <c r="H109" s="7" t="inlineStr">
        <is>
          <t>✓ covered — Nuvision Credit Union</t>
        </is>
      </c>
    </row>
    <row r="110">
      <c r="A110" t="inlineStr">
        <is>
          <t>66584</t>
        </is>
      </c>
      <c r="B110" t="inlineStr">
        <is>
          <t>CALIFORNIA COAST</t>
        </is>
      </c>
      <c r="C110" t="inlineStr">
        <is>
          <t>3469511167</t>
        </is>
      </c>
      <c r="D110" t="inlineStr">
        <is>
          <t>4</t>
        </is>
      </c>
      <c r="E110" t="inlineStr">
        <is>
          <t>Rive</t>
        </is>
      </c>
      <c r="F110" t="inlineStr">
        <is>
          <t>COVERED</t>
        </is>
      </c>
      <c r="G110">
        <f> California Coast</f>
        <v/>
      </c>
      <c r="H110" s="7" t="inlineStr">
        <is>
          <t>✓ covered — California Credit Union</t>
        </is>
      </c>
    </row>
    <row r="111">
      <c r="A111" t="inlineStr">
        <is>
          <t>68428</t>
        </is>
      </c>
      <c r="B111" t="inlineStr">
        <is>
          <t>PREMIER AMERICA</t>
        </is>
      </c>
      <c r="C111" t="inlineStr">
        <is>
          <t>3313105523</t>
        </is>
      </c>
      <c r="D111" t="inlineStr">
        <is>
          <t>11</t>
        </is>
      </c>
      <c r="E111" t="inlineStr">
        <is>
          <t xml:space="preserve">Los </t>
        </is>
      </c>
      <c r="F111" t="inlineStr">
        <is>
          <t>COVERED</t>
        </is>
      </c>
      <c r="G111">
        <f> Premier America Credit Union</f>
        <v/>
      </c>
      <c r="H111" s="7" t="inlineStr">
        <is>
          <t>✓ covered — Premier America Credit Union</t>
        </is>
      </c>
    </row>
    <row r="112">
      <c r="A112" t="inlineStr">
        <is>
          <t>24981</t>
        </is>
      </c>
      <c r="B112" t="inlineStr">
        <is>
          <t>ORANGE COUNTY'S</t>
        </is>
      </c>
      <c r="C112" t="inlineStr">
        <is>
          <t>3074685797</t>
        </is>
      </c>
      <c r="D112" t="inlineStr">
        <is>
          <t>12</t>
        </is>
      </c>
      <c r="E112" t="inlineStr">
        <is>
          <t xml:space="preserve">Los +Oran+San </t>
        </is>
      </c>
      <c r="F112" t="inlineStr">
        <is>
          <t>COVERED</t>
        </is>
      </c>
      <c r="G112">
        <f> Orange County's Credit Union</f>
        <v/>
      </c>
      <c r="H112" s="7" t="inlineStr">
        <is>
          <t>✓ covered — Orange County's Credit Union</t>
        </is>
      </c>
    </row>
    <row r="113">
      <c r="A113" t="inlineStr">
        <is>
          <t>1493</t>
        </is>
      </c>
      <c r="B113" t="inlineStr">
        <is>
          <t>F &amp; A</t>
        </is>
      </c>
      <c r="C113" t="inlineStr">
        <is>
          <t>3056609908</t>
        </is>
      </c>
      <c r="D113" t="inlineStr">
        <is>
          <t>2</t>
        </is>
      </c>
      <c r="E113" t="inlineStr">
        <is>
          <t xml:space="preserve">Los </t>
        </is>
      </c>
      <c r="F113" t="inlineStr">
        <is>
          <t>COVERED</t>
        </is>
      </c>
      <c r="G113">
        <f> F&amp;A Federal Credit Union</f>
        <v/>
      </c>
      <c r="H113" s="7" t="inlineStr">
        <is>
          <t>✓ covered — Wells Fargo</t>
        </is>
      </c>
    </row>
    <row r="114">
      <c r="A114" t="inlineStr">
        <is>
          <t>24973</t>
        </is>
      </c>
      <c r="B114" t="inlineStr">
        <is>
          <t>ARROWHEAD</t>
        </is>
      </c>
      <c r="C114" t="inlineStr">
        <is>
          <t>2905838677</t>
        </is>
      </c>
      <c r="D114" t="inlineStr">
        <is>
          <t>20</t>
        </is>
      </c>
      <c r="E114" t="inlineStr">
        <is>
          <t xml:space="preserve">Los +Rive+San </t>
        </is>
      </c>
      <c r="F114" t="inlineStr">
        <is>
          <t>COVERED</t>
        </is>
      </c>
      <c r="G114">
        <f> Arrowhead Credit Union</f>
        <v/>
      </c>
      <c r="H114" s="7" t="inlineStr">
        <is>
          <t>✓ covered — Arrowhead Credit Union</t>
        </is>
      </c>
    </row>
    <row r="115">
      <c r="A115" t="inlineStr">
        <is>
          <t>18708</t>
        </is>
      </c>
      <c r="B115" t="inlineStr">
        <is>
          <t>PARTNERS</t>
        </is>
      </c>
      <c r="C115" t="inlineStr">
        <is>
          <t>2799229823</t>
        </is>
      </c>
      <c r="D115" t="inlineStr">
        <is>
          <t>8</t>
        </is>
      </c>
      <c r="E115" t="inlineStr">
        <is>
          <t>Los +Oran</t>
        </is>
      </c>
      <c r="F115" t="inlineStr">
        <is>
          <t>COVERED</t>
        </is>
      </c>
      <c r="G115">
        <f> Partners Bank of California</f>
        <v/>
      </c>
      <c r="H115" s="7" t="inlineStr">
        <is>
          <t>✓ covered — Partners Bank of California</t>
        </is>
      </c>
    </row>
    <row r="116">
      <c r="A116" t="inlineStr">
        <is>
          <t>24969</t>
        </is>
      </c>
      <c r="B116" t="inlineStr">
        <is>
          <t>ALTURA</t>
        </is>
      </c>
      <c r="C116" t="inlineStr">
        <is>
          <t>2665893053</t>
        </is>
      </c>
      <c r="D116" t="inlineStr">
        <is>
          <t>24</t>
        </is>
      </c>
      <c r="E116" t="inlineStr">
        <is>
          <t>Rive</t>
        </is>
      </c>
      <c r="F116" t="inlineStr">
        <is>
          <t>COVERED</t>
        </is>
      </c>
      <c r="G116">
        <f> Altura Credit Union</f>
        <v/>
      </c>
      <c r="H116" s="7" t="inlineStr">
        <is>
          <t>✓ covered — Altura Credit Union</t>
        </is>
      </c>
    </row>
    <row r="117">
      <c r="A117" t="inlineStr">
        <is>
          <t>68457</t>
        </is>
      </c>
      <c r="B117" t="inlineStr">
        <is>
          <t>FINANCIAL PARTNERS</t>
        </is>
      </c>
      <c r="C117" t="inlineStr">
        <is>
          <t>2247378836</t>
        </is>
      </c>
      <c r="D117" t="inlineStr">
        <is>
          <t>13</t>
        </is>
      </c>
      <c r="E117" t="inlineStr">
        <is>
          <t xml:space="preserve">Los +Oran+San </t>
        </is>
      </c>
      <c r="F117" t="inlineStr">
        <is>
          <t>COVERED</t>
        </is>
      </c>
      <c r="G117">
        <f> Financial Partners Credit Union</f>
        <v/>
      </c>
      <c r="H117" s="7" t="inlineStr">
        <is>
          <t>✓ covered — Financial Partners Credit Union</t>
        </is>
      </c>
    </row>
    <row r="118">
      <c r="A118" t="inlineStr">
        <is>
          <t>68460</t>
        </is>
      </c>
      <c r="B118" t="inlineStr">
        <is>
          <t>LBS FINANCIAL</t>
        </is>
      </c>
      <c r="C118" t="inlineStr">
        <is>
          <t>2191340672</t>
        </is>
      </c>
      <c r="D118" t="inlineStr">
        <is>
          <t>8</t>
        </is>
      </c>
      <c r="E118" t="inlineStr">
        <is>
          <t>Los +Oran</t>
        </is>
      </c>
      <c r="F118" t="inlineStr">
        <is>
          <t>COVERED</t>
        </is>
      </c>
      <c r="G118">
        <f> LBS Financial Credit Union</f>
        <v/>
      </c>
      <c r="H118" s="7" t="inlineStr">
        <is>
          <t>✓ covered — LBS Financial Credit Union</t>
        </is>
      </c>
    </row>
    <row r="119">
      <c r="A119" t="inlineStr">
        <is>
          <t>68373</t>
        </is>
      </c>
      <c r="B119" t="inlineStr">
        <is>
          <t>FIRST ENTERTAINMENT</t>
        </is>
      </c>
      <c r="C119" t="inlineStr">
        <is>
          <t>2122095658</t>
        </is>
      </c>
      <c r="D119" t="inlineStr">
        <is>
          <t>7</t>
        </is>
      </c>
      <c r="E119" t="inlineStr">
        <is>
          <t xml:space="preserve">Los </t>
        </is>
      </c>
      <c r="F119" t="inlineStr">
        <is>
          <t>COVERED</t>
        </is>
      </c>
      <c r="G119">
        <f> First Entertainment Credit Union</f>
        <v/>
      </c>
      <c r="H119" s="13" t="inlineStr">
        <is>
          <t>— not in main table</t>
        </is>
      </c>
    </row>
    <row r="120">
      <c r="A120" t="inlineStr">
        <is>
          <t>68494</t>
        </is>
      </c>
      <c r="B120" t="inlineStr">
        <is>
          <t>FRONTWAVE</t>
        </is>
      </c>
      <c r="C120" t="inlineStr">
        <is>
          <t>1764704265</t>
        </is>
      </c>
      <c r="D120" t="inlineStr">
        <is>
          <t>6</t>
        </is>
      </c>
      <c r="E120" t="inlineStr">
        <is>
          <t xml:space="preserve">Rive+San </t>
        </is>
      </c>
      <c r="F120" t="inlineStr">
        <is>
          <t>COVERED</t>
        </is>
      </c>
      <c r="G120">
        <f> Frontwave Credit Union</f>
        <v/>
      </c>
      <c r="H120" s="7" t="inlineStr">
        <is>
          <t>✓ covered — Frontwave Credit Union</t>
        </is>
      </c>
    </row>
    <row r="121">
      <c r="A121" t="inlineStr">
        <is>
          <t>24553</t>
        </is>
      </c>
      <c r="B121" t="inlineStr">
        <is>
          <t>LOS ANGELES POLICE</t>
        </is>
      </c>
      <c r="C121" t="inlineStr">
        <is>
          <t>1402266653</t>
        </is>
      </c>
      <c r="D121" t="inlineStr">
        <is>
          <t>4</t>
        </is>
      </c>
      <c r="E121" t="inlineStr">
        <is>
          <t xml:space="preserve">Los </t>
        </is>
      </c>
      <c r="F121" t="inlineStr">
        <is>
          <t>COVERED</t>
        </is>
      </c>
      <c r="G121">
        <f> Los Angeles Federal Credit Union</f>
        <v/>
      </c>
      <c r="H121" s="13" t="inlineStr">
        <is>
          <t>— not in main table</t>
        </is>
      </c>
    </row>
    <row r="122">
      <c r="A122" t="inlineStr">
        <is>
          <t>1074</t>
        </is>
      </c>
      <c r="B122" t="inlineStr">
        <is>
          <t>FARMERS INSURANCE</t>
        </is>
      </c>
      <c r="C122" t="inlineStr">
        <is>
          <t>1366674086</t>
        </is>
      </c>
      <c r="D122" t="inlineStr">
        <is>
          <t>3</t>
        </is>
      </c>
      <c r="E122" t="inlineStr">
        <is>
          <t xml:space="preserve">Los </t>
        </is>
      </c>
      <c r="F122" t="inlineStr">
        <is>
          <t>COVERED</t>
        </is>
      </c>
      <c r="G122">
        <f> Farmers Insurance Federal Credit Union</f>
        <v/>
      </c>
      <c r="H122" s="13" t="inlineStr">
        <is>
          <t>— not in main table</t>
        </is>
      </c>
    </row>
    <row r="123">
      <c r="A123" t="inlineStr">
        <is>
          <t>7835</t>
        </is>
      </c>
      <c r="B123" t="inlineStr">
        <is>
          <t>RIZE</t>
        </is>
      </c>
      <c r="C123" t="inlineStr">
        <is>
          <t>1309314002</t>
        </is>
      </c>
      <c r="D123" t="inlineStr">
        <is>
          <t>5</t>
        </is>
      </c>
      <c r="E123" t="inlineStr">
        <is>
          <t xml:space="preserve">Los +San </t>
        </is>
      </c>
      <c r="F123" t="inlineStr">
        <is>
          <t>COVERED</t>
        </is>
      </c>
      <c r="G123">
        <f> Rize Credit Union</f>
        <v/>
      </c>
      <c r="H123" s="13" t="inlineStr">
        <is>
          <t>— not in main table</t>
        </is>
      </c>
    </row>
    <row r="124">
      <c r="A124" t="inlineStr">
        <is>
          <t>68415</t>
        </is>
      </c>
      <c r="B124" t="inlineStr">
        <is>
          <t>SOUTHLAND</t>
        </is>
      </c>
      <c r="C124" t="inlineStr">
        <is>
          <t>1292891510</t>
        </is>
      </c>
      <c r="D124" t="inlineStr">
        <is>
          <t>11</t>
        </is>
      </c>
      <c r="E124" t="inlineStr">
        <is>
          <t>Los +Oran</t>
        </is>
      </c>
      <c r="F124" t="inlineStr">
        <is>
          <t>COVERED</t>
        </is>
      </c>
      <c r="G124">
        <f> Southland Credit Union</f>
        <v/>
      </c>
      <c r="H124" s="13" t="inlineStr">
        <is>
          <t>— not in main table</t>
        </is>
      </c>
    </row>
    <row r="125">
      <c r="A125" t="inlineStr">
        <is>
          <t>1207</t>
        </is>
      </c>
      <c r="B125" t="inlineStr">
        <is>
          <t>LOS ANGELES</t>
        </is>
      </c>
      <c r="C125" t="inlineStr">
        <is>
          <t>1278292282</t>
        </is>
      </c>
      <c r="D125" t="inlineStr">
        <is>
          <t>8</t>
        </is>
      </c>
      <c r="E125" t="inlineStr">
        <is>
          <t xml:space="preserve">Los </t>
        </is>
      </c>
      <c r="F125" t="inlineStr">
        <is>
          <t>COVERED</t>
        </is>
      </c>
      <c r="G125">
        <f> Los Angeles Federal Credit Union</f>
        <v/>
      </c>
      <c r="H125" s="7" t="inlineStr">
        <is>
          <t>✓ covered — Los Angeles Federal Credit Union (LAFCU)</t>
        </is>
      </c>
    </row>
    <row r="126">
      <c r="A126" t="inlineStr">
        <is>
          <t>68493</t>
        </is>
      </c>
      <c r="B126" t="inlineStr">
        <is>
          <t>WATER AND POWER COMMUNITY</t>
        </is>
      </c>
      <c r="C126" t="inlineStr">
        <is>
          <t>990764424</t>
        </is>
      </c>
      <c r="D126" t="inlineStr">
        <is>
          <t>5</t>
        </is>
      </c>
      <c r="E126" t="inlineStr">
        <is>
          <t xml:space="preserve">Los </t>
        </is>
      </c>
      <c r="F126" t="inlineStr">
        <is>
          <t>COVERED</t>
        </is>
      </c>
      <c r="G126">
        <f> Water and Power Community Credit Union</f>
        <v/>
      </c>
      <c r="H126" s="7" t="inlineStr">
        <is>
          <t>✓ covered — Water and Power Community Credit Union</t>
        </is>
      </c>
    </row>
    <row r="127">
      <c r="A127" t="inlineStr">
        <is>
          <t>68503</t>
        </is>
      </c>
      <c r="B127" t="inlineStr">
        <is>
          <t>FIRST CITY</t>
        </is>
      </c>
      <c r="C127" t="inlineStr">
        <is>
          <t>952449258</t>
        </is>
      </c>
      <c r="D127" t="inlineStr">
        <is>
          <t>7</t>
        </is>
      </c>
      <c r="E127" t="inlineStr">
        <is>
          <t xml:space="preserve">Los </t>
        </is>
      </c>
      <c r="F127" t="inlineStr">
        <is>
          <t>COVERED</t>
        </is>
      </c>
      <c r="G127">
        <f> First City Credit Union</f>
        <v/>
      </c>
      <c r="H127" s="7" t="inlineStr">
        <is>
          <t>✓ covered — First City Credit Union</t>
        </is>
      </c>
    </row>
    <row r="128">
      <c r="A128" t="inlineStr">
        <is>
          <t>9296</t>
        </is>
      </c>
      <c r="B128" t="inlineStr">
        <is>
          <t>SUN COMMUNITY</t>
        </is>
      </c>
      <c r="C128" t="inlineStr">
        <is>
          <t>896540774</t>
        </is>
      </c>
      <c r="D128" t="inlineStr">
        <is>
          <t>2</t>
        </is>
      </c>
      <c r="E128" t="inlineStr">
        <is>
          <t>Rive</t>
        </is>
      </c>
      <c r="F128" t="inlineStr">
        <is>
          <t>COVERED</t>
        </is>
      </c>
      <c r="G128">
        <f> Sun Community Federal Credit Union</f>
        <v/>
      </c>
      <c r="H128" s="13" t="inlineStr">
        <is>
          <t>— not in main table</t>
        </is>
      </c>
    </row>
    <row r="129">
      <c r="A129" t="inlineStr">
        <is>
          <t>6248</t>
        </is>
      </c>
      <c r="B129" t="inlineStr">
        <is>
          <t>SKYONE</t>
        </is>
      </c>
      <c r="C129" t="inlineStr">
        <is>
          <t>875824070</t>
        </is>
      </c>
      <c r="D129" t="inlineStr">
        <is>
          <t>2</t>
        </is>
      </c>
      <c r="E129" t="inlineStr">
        <is>
          <t xml:space="preserve">Los </t>
        </is>
      </c>
      <c r="F129" t="inlineStr">
        <is>
          <t>COVERED</t>
        </is>
      </c>
      <c r="G129">
        <f> SkyOne Federal Credit Union</f>
        <v/>
      </c>
      <c r="H129" s="13" t="inlineStr">
        <is>
          <t>— not in main table</t>
        </is>
      </c>
    </row>
    <row r="130">
      <c r="A130" t="inlineStr">
        <is>
          <t>68062</t>
        </is>
      </c>
      <c r="B130" t="inlineStr">
        <is>
          <t>AMERICA'S CHRISTIAN</t>
        </is>
      </c>
      <c r="C130" t="inlineStr">
        <is>
          <t>818406188</t>
        </is>
      </c>
      <c r="D130" t="inlineStr">
        <is>
          <t>1</t>
        </is>
      </c>
      <c r="E130" t="inlineStr">
        <is>
          <t xml:space="preserve">Los </t>
        </is>
      </c>
      <c r="F130" t="inlineStr">
        <is>
          <t>COVERED</t>
        </is>
      </c>
      <c r="G130">
        <f> America's Christian Credit Union</f>
        <v/>
      </c>
      <c r="H130" s="13" t="inlineStr">
        <is>
          <t>— not in main table</t>
        </is>
      </c>
    </row>
    <row r="131">
      <c r="A131" t="inlineStr">
        <is>
          <t>9071</t>
        </is>
      </c>
      <c r="B131" t="inlineStr">
        <is>
          <t>DIRECT</t>
        </is>
      </c>
      <c r="C131" t="inlineStr">
        <is>
          <t>789820428</t>
        </is>
      </c>
      <c r="D131" t="inlineStr">
        <is>
          <t>1</t>
        </is>
      </c>
      <c r="E131" t="inlineStr">
        <is>
          <t>Oran</t>
        </is>
      </c>
      <c r="F131" t="inlineStr">
        <is>
          <t>COVERED</t>
        </is>
      </c>
      <c r="G131">
        <f> U.S. Bank (direct)</f>
        <v/>
      </c>
      <c r="H131" s="7" t="inlineStr">
        <is>
          <t>✓ covered — U.S. Bank (direct)</t>
        </is>
      </c>
    </row>
    <row r="132">
      <c r="A132" t="inlineStr">
        <is>
          <t>12425</t>
        </is>
      </c>
      <c r="B132" t="inlineStr">
        <is>
          <t>FOOTHILL</t>
        </is>
      </c>
      <c r="C132" t="inlineStr">
        <is>
          <t>772237101</t>
        </is>
      </c>
      <c r="D132" t="inlineStr">
        <is>
          <t>5</t>
        </is>
      </c>
      <c r="E132" t="inlineStr">
        <is>
          <t xml:space="preserve">Los +San </t>
        </is>
      </c>
      <c r="F132" t="inlineStr">
        <is>
          <t>COVERED</t>
        </is>
      </c>
      <c r="G132">
        <f> Foothill Credit Union</f>
        <v/>
      </c>
      <c r="H132" s="13" t="inlineStr">
        <is>
          <t>— not in main table</t>
        </is>
      </c>
    </row>
    <row r="133">
      <c r="A133" t="inlineStr">
        <is>
          <t>68459</t>
        </is>
      </c>
      <c r="B133" t="inlineStr">
        <is>
          <t>USC</t>
        </is>
      </c>
      <c r="C133" t="inlineStr">
        <is>
          <t>719189202</t>
        </is>
      </c>
      <c r="D133" t="inlineStr">
        <is>
          <t>5</t>
        </is>
      </c>
      <c r="E133" t="inlineStr">
        <is>
          <t xml:space="preserve">Los </t>
        </is>
      </c>
      <c r="F133" t="inlineStr">
        <is>
          <t>COVERED</t>
        </is>
      </c>
      <c r="G133">
        <f> USC Credit Union</f>
        <v/>
      </c>
      <c r="H133" s="13" t="inlineStr">
        <is>
          <t>— not in main table</t>
        </is>
      </c>
    </row>
    <row r="134">
      <c r="A134" t="inlineStr">
        <is>
          <t>66847</t>
        </is>
      </c>
      <c r="B134" t="inlineStr">
        <is>
          <t>EAGLE COMMUNITY</t>
        </is>
      </c>
      <c r="C134" t="inlineStr">
        <is>
          <t>411440538</t>
        </is>
      </c>
      <c r="D134" t="inlineStr">
        <is>
          <t>6</t>
        </is>
      </c>
      <c r="E134" t="inlineStr">
        <is>
          <t>Los +Oran</t>
        </is>
      </c>
      <c r="F134" t="inlineStr">
        <is>
          <t>COVERED</t>
        </is>
      </c>
      <c r="G134">
        <f> Eagle Community Credit Union</f>
        <v/>
      </c>
      <c r="H134" s="13" t="inlineStr">
        <is>
          <t>— not in main table</t>
        </is>
      </c>
    </row>
    <row r="135">
      <c r="A135" t="inlineStr">
        <is>
          <t>594</t>
        </is>
      </c>
      <c r="B135" t="inlineStr">
        <is>
          <t>PASADENA</t>
        </is>
      </c>
      <c r="C135" t="inlineStr">
        <is>
          <t>381308071</t>
        </is>
      </c>
      <c r="D135" t="inlineStr">
        <is>
          <t>5</t>
        </is>
      </c>
      <c r="E135" t="inlineStr">
        <is>
          <t xml:space="preserve">Los </t>
        </is>
      </c>
      <c r="F135" t="inlineStr">
        <is>
          <t>COVERED</t>
        </is>
      </c>
      <c r="G135">
        <f> Pasadena Federal Credit Union</f>
        <v/>
      </c>
      <c r="H135" s="13" t="inlineStr">
        <is>
          <t>— not in main table</t>
        </is>
      </c>
    </row>
    <row r="136">
      <c r="A136" t="inlineStr">
        <is>
          <t>3526</t>
        </is>
      </c>
      <c r="B136" t="inlineStr">
        <is>
          <t>SCHOOLS</t>
        </is>
      </c>
      <c r="C136" t="inlineStr">
        <is>
          <t>192652276</t>
        </is>
      </c>
      <c r="D136" t="inlineStr">
        <is>
          <t>2</t>
        </is>
      </c>
      <c r="E136" t="inlineStr">
        <is>
          <t xml:space="preserve">Los </t>
        </is>
      </c>
      <c r="F136" t="inlineStr">
        <is>
          <t>COVERED</t>
        </is>
      </c>
      <c r="G136">
        <f> SchoolsFirst</f>
        <v/>
      </c>
      <c r="H136" s="7" t="inlineStr">
        <is>
          <t>✓ covered — SchoolsFirst Federal Credit Union</t>
        </is>
      </c>
    </row>
    <row r="137">
      <c r="A137" t="inlineStr">
        <is>
          <t>4633</t>
        </is>
      </c>
      <c r="B137" t="inlineStr">
        <is>
          <t>CAMINO</t>
        </is>
      </c>
      <c r="C137" t="inlineStr">
        <is>
          <t>179244240</t>
        </is>
      </c>
      <c r="D137" t="inlineStr">
        <is>
          <t>1</t>
        </is>
      </c>
      <c r="E137" t="inlineStr">
        <is>
          <t xml:space="preserve">Los </t>
        </is>
      </c>
      <c r="F137" t="inlineStr">
        <is>
          <t>COVERED</t>
        </is>
      </c>
      <c r="G137">
        <f> Camino Federal Credit Union</f>
        <v/>
      </c>
      <c r="H137" s="13" t="inlineStr">
        <is>
          <t>— not in main table</t>
        </is>
      </c>
    </row>
    <row r="138">
      <c r="A138" t="inlineStr">
        <is>
          <t>64834</t>
        </is>
      </c>
      <c r="B138" t="inlineStr">
        <is>
          <t>CALIFORNIA LITHUANIAN</t>
        </is>
      </c>
      <c r="C138" t="inlineStr">
        <is>
          <t>157863523</t>
        </is>
      </c>
      <c r="D138" t="inlineStr">
        <is>
          <t>2</t>
        </is>
      </c>
      <c r="E138" t="inlineStr">
        <is>
          <t xml:space="preserve">Los </t>
        </is>
      </c>
      <c r="F138" t="inlineStr">
        <is>
          <t>COVERED</t>
        </is>
      </c>
      <c r="G138">
        <f> California Credit Union</f>
        <v/>
      </c>
      <c r="H138" s="7" t="inlineStr">
        <is>
          <t>✓ covered — California Credit Union</t>
        </is>
      </c>
    </row>
    <row r="139">
      <c r="A139" t="inlineStr">
        <is>
          <t>24238</t>
        </is>
      </c>
      <c r="B139" t="inlineStr">
        <is>
          <t>CALIFORNIA ADVENTIST</t>
        </is>
      </c>
      <c r="C139" t="inlineStr">
        <is>
          <t>46063173</t>
        </is>
      </c>
      <c r="D139" t="inlineStr">
        <is>
          <t>1</t>
        </is>
      </c>
      <c r="E139" t="inlineStr">
        <is>
          <t xml:space="preserve">Los </t>
        </is>
      </c>
      <c r="F139" t="inlineStr">
        <is>
          <t>COVERED</t>
        </is>
      </c>
      <c r="G139">
        <f> California Credit Union</f>
        <v/>
      </c>
      <c r="H139" s="7" t="inlineStr">
        <is>
          <t>✓ covered — California Credit Union</t>
        </is>
      </c>
    </row>
    <row r="140">
      <c r="A140" t="inlineStr">
        <is>
          <t>20720</t>
        </is>
      </c>
      <c r="B140" t="inlineStr">
        <is>
          <t>L. A. MISSION</t>
        </is>
      </c>
      <c r="C140" t="inlineStr">
        <is>
          <t>8606027</t>
        </is>
      </c>
      <c r="D140" t="inlineStr">
        <is>
          <t>1</t>
        </is>
      </c>
      <c r="E140" t="inlineStr">
        <is>
          <t xml:space="preserve">Los </t>
        </is>
      </c>
      <c r="F140" t="inlineStr">
        <is>
          <t>COVERED</t>
        </is>
      </c>
      <c r="G140">
        <f> Mission Federal Credit Union</f>
        <v/>
      </c>
      <c r="H140" s="13" t="inlineStr">
        <is>
          <t>— not in main table</t>
        </is>
      </c>
    </row>
    <row r="141">
      <c r="A141" t="inlineStr">
        <is>
          <t>16570</t>
        </is>
      </c>
      <c r="B141" t="inlineStr">
        <is>
          <t>LOS ANGELES LEE</t>
        </is>
      </c>
      <c r="C141" t="inlineStr">
        <is>
          <t>644510</t>
        </is>
      </c>
      <c r="D141" t="inlineStr">
        <is>
          <t>2</t>
        </is>
      </c>
      <c r="E141" t="inlineStr">
        <is>
          <t xml:space="preserve">Los </t>
        </is>
      </c>
      <c r="F141" t="inlineStr">
        <is>
          <t>COVERED</t>
        </is>
      </c>
      <c r="G141">
        <f> Los Angeles Federal Credit Union</f>
        <v/>
      </c>
      <c r="H141" s="13" t="inlineStr">
        <is>
          <t>— not in main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2026-06-10T17:35:21Z</dcterms:created>
  <dcterms:modified xsi:type="dcterms:W3CDTF">2026-06-10T17:35:21Z</dcterms:modified>
</cp:coreProperties>
</file>